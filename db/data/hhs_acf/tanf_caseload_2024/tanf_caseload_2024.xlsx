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TANFDATA\TANFSSP\caseload\FY2024\FY2024_WEB_013025\"/>
    </mc:Choice>
  </mc:AlternateContent>
  <xr:revisionPtr revIDLastSave="0" documentId="13_ncr:1_{20223BB7-4A96-4500-9EB5-974FC74240F6}" xr6:coauthVersionLast="47" xr6:coauthVersionMax="47" xr10:uidLastSave="{00000000-0000-0000-0000-000000000000}"/>
  <bookViews>
    <workbookView xWindow="-108" yWindow="-108" windowWidth="19416" windowHeight="10296" tabRatio="822" firstSheet="10" activeTab="21" xr2:uid="{00000000-000D-0000-FFFF-FFFF00000000}"/>
  </bookViews>
  <sheets>
    <sheet name="List of Tables" sheetId="28" r:id="rId1"/>
    <sheet name="TFam" sheetId="1" r:id="rId2"/>
    <sheet name="Two-par" sheetId="2" r:id="rId3"/>
    <sheet name="One-par" sheetId="3" r:id="rId4"/>
    <sheet name="Zero-par" sheetId="4" r:id="rId5"/>
    <sheet name="TRec" sheetId="5" r:id="rId6"/>
    <sheet name="Adults" sheetId="6" r:id="rId7"/>
    <sheet name="Children" sheetId="7" r:id="rId8"/>
    <sheet name="Oct23" sheetId="8" r:id="rId9"/>
    <sheet name="Nov23" sheetId="9" r:id="rId10"/>
    <sheet name="Dec23" sheetId="10" r:id="rId11"/>
    <sheet name="Jan24" sheetId="11" r:id="rId12"/>
    <sheet name="Feb24" sheetId="12" r:id="rId13"/>
    <sheet name="Mar24" sheetId="13" r:id="rId14"/>
    <sheet name="Apr24" sheetId="14" r:id="rId15"/>
    <sheet name="May24" sheetId="15" r:id="rId16"/>
    <sheet name="Jun24" sheetId="16" r:id="rId17"/>
    <sheet name="Jul24" sheetId="17" r:id="rId18"/>
    <sheet name="Aug24" sheetId="18" r:id="rId19"/>
    <sheet name="Sep24" sheetId="19" r:id="rId20"/>
    <sheet name="FYCY2024-Families" sheetId="25" r:id="rId21"/>
    <sheet name="FYCY2024-Recipients" sheetId="27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5" l="1"/>
  <c r="C4" i="5"/>
  <c r="D4" i="5"/>
  <c r="E4" i="5"/>
  <c r="F4" i="5"/>
  <c r="G4" i="5"/>
  <c r="H4" i="5"/>
  <c r="I4" i="5"/>
  <c r="J4" i="5"/>
  <c r="K4" i="5"/>
  <c r="L4" i="5"/>
  <c r="M4" i="5"/>
  <c r="N4" i="5"/>
  <c r="B4" i="7"/>
  <c r="C4" i="7"/>
  <c r="D4" i="7"/>
  <c r="E4" i="7"/>
  <c r="F4" i="7"/>
  <c r="G4" i="7"/>
  <c r="H4" i="7"/>
  <c r="I4" i="7"/>
  <c r="J4" i="7"/>
  <c r="K4" i="7"/>
  <c r="L4" i="7"/>
  <c r="M4" i="7"/>
  <c r="N4" i="7"/>
  <c r="B4" i="6"/>
  <c r="C4" i="6"/>
  <c r="D4" i="6"/>
  <c r="E4" i="6"/>
  <c r="F4" i="6"/>
  <c r="G4" i="6"/>
  <c r="H4" i="6"/>
  <c r="I4" i="6"/>
  <c r="J4" i="6"/>
  <c r="K4" i="6"/>
  <c r="L4" i="6"/>
  <c r="M4" i="6"/>
  <c r="N4" i="6"/>
  <c r="C64" i="27" l="1"/>
  <c r="H5" i="8"/>
  <c r="H5" i="10"/>
  <c r="H5" i="12"/>
  <c r="H5" i="13"/>
  <c r="H5" i="16"/>
  <c r="H5" i="18"/>
  <c r="H6" i="13"/>
  <c r="H6" i="14"/>
  <c r="H6" i="17"/>
  <c r="H7" i="14"/>
  <c r="H7" i="15"/>
  <c r="H8" i="8"/>
  <c r="H8" i="15"/>
  <c r="H8" i="16"/>
  <c r="H8" i="17"/>
  <c r="H9" i="8"/>
  <c r="H9" i="9"/>
  <c r="H9" i="12"/>
  <c r="H9" i="14"/>
  <c r="H9" i="16"/>
  <c r="H9" i="17"/>
  <c r="H10" i="9"/>
  <c r="H10" i="15"/>
  <c r="H10" i="17"/>
  <c r="H10" i="18"/>
  <c r="H11" i="8"/>
  <c r="H11" i="10"/>
  <c r="H11" i="16"/>
  <c r="H11" i="18"/>
  <c r="H11" i="19"/>
  <c r="H12" i="9"/>
  <c r="H12" i="11"/>
  <c r="H12" i="12"/>
  <c r="H12" i="15"/>
  <c r="H12" i="17"/>
  <c r="H12" i="19"/>
  <c r="H13" i="8"/>
  <c r="H13" i="10"/>
  <c r="H13" i="12"/>
  <c r="H13" i="13"/>
  <c r="H13" i="16"/>
  <c r="H13" i="18"/>
  <c r="H14" i="13"/>
  <c r="H14" i="14"/>
  <c r="H14" i="17"/>
  <c r="H15" i="10"/>
  <c r="H15" i="14"/>
  <c r="H15" i="15"/>
  <c r="H16" i="8"/>
  <c r="H16" i="15"/>
  <c r="H16" i="16"/>
  <c r="H16" i="17"/>
  <c r="H17" i="8"/>
  <c r="H17" i="9"/>
  <c r="H17" i="12"/>
  <c r="H17" i="14"/>
  <c r="H17" i="16"/>
  <c r="H17" i="17"/>
  <c r="H17" i="18"/>
  <c r="H18" i="9"/>
  <c r="H18" i="10"/>
  <c r="H18" i="15"/>
  <c r="H18" i="17"/>
  <c r="H18" i="18"/>
  <c r="H18" i="19"/>
  <c r="H19" i="8"/>
  <c r="H19" i="10"/>
  <c r="H19" i="14"/>
  <c r="H19" i="18"/>
  <c r="H19" i="19"/>
  <c r="H20" i="9"/>
  <c r="H20" i="11"/>
  <c r="H20" i="12"/>
  <c r="H20" i="15"/>
  <c r="H20" i="19"/>
  <c r="H21" i="12"/>
  <c r="H21" i="13"/>
  <c r="H25" i="16"/>
  <c r="H26" i="16"/>
  <c r="H29" i="16"/>
  <c r="H33" i="16"/>
  <c r="H34" i="16"/>
  <c r="H37" i="16"/>
  <c r="H41" i="16"/>
  <c r="H42" i="16"/>
  <c r="H43" i="16"/>
  <c r="H49" i="16"/>
  <c r="H50" i="16"/>
  <c r="H53" i="16"/>
  <c r="H57" i="16"/>
  <c r="H58" i="16"/>
  <c r="H21" i="17"/>
  <c r="H22" i="8"/>
  <c r="H22" i="9"/>
  <c r="H22" i="17"/>
  <c r="H22" i="18"/>
  <c r="H22" i="19"/>
  <c r="H23" i="10"/>
  <c r="H23" i="17"/>
  <c r="H23" i="19"/>
  <c r="H24" i="10"/>
  <c r="H24" i="12"/>
  <c r="H24" i="13"/>
  <c r="H25" i="8"/>
  <c r="H25" i="14"/>
  <c r="H25" i="15"/>
  <c r="H26" i="8"/>
  <c r="H26" i="9"/>
  <c r="H26" i="10"/>
  <c r="H26" i="17"/>
  <c r="H26" i="18"/>
  <c r="H26" i="19"/>
  <c r="H27" i="10"/>
  <c r="H27" i="12"/>
  <c r="H27" i="19"/>
  <c r="H28" i="12"/>
  <c r="H28" i="14"/>
  <c r="H28" i="19"/>
  <c r="H29" i="8"/>
  <c r="H29" i="14"/>
  <c r="H29" i="15"/>
  <c r="H30" i="8"/>
  <c r="H30" i="9"/>
  <c r="H30" i="17"/>
  <c r="H30" i="18"/>
  <c r="H30" i="19"/>
  <c r="H31" i="10"/>
  <c r="H31" i="19"/>
  <c r="H32" i="12"/>
  <c r="H32" i="13"/>
  <c r="H32" i="14"/>
  <c r="H33" i="14"/>
  <c r="H33" i="15"/>
  <c r="H33" i="17"/>
  <c r="H34" i="8"/>
  <c r="H34" i="9"/>
  <c r="H34" i="17"/>
  <c r="H34" i="18"/>
  <c r="H35" i="8"/>
  <c r="H35" i="10"/>
  <c r="H35" i="12"/>
  <c r="H35" i="17"/>
  <c r="H35" i="19"/>
  <c r="H36" i="10"/>
  <c r="H36" i="12"/>
  <c r="H36" i="19"/>
  <c r="H37" i="8"/>
  <c r="H37" i="12"/>
  <c r="H37" i="15"/>
  <c r="H37" i="17"/>
  <c r="H38" i="8"/>
  <c r="H38" i="9"/>
  <c r="H38" i="10"/>
  <c r="H38" i="14"/>
  <c r="H38" i="17"/>
  <c r="H38" i="18"/>
  <c r="H38" i="19"/>
  <c r="H39" i="10"/>
  <c r="H39" i="17"/>
  <c r="H39" i="19"/>
  <c r="H40" i="12"/>
  <c r="H40" i="13"/>
  <c r="H40" i="19"/>
  <c r="H41" i="12"/>
  <c r="H41" i="14"/>
  <c r="H41" i="15"/>
  <c r="H42" i="8"/>
  <c r="H42" i="9"/>
  <c r="H42" i="10"/>
  <c r="H42" i="14"/>
  <c r="H42" i="17"/>
  <c r="H42" i="18"/>
  <c r="H43" i="10"/>
  <c r="H43" i="12"/>
  <c r="H43" i="17"/>
  <c r="H43" i="19"/>
  <c r="H44" i="12"/>
  <c r="H44" i="14"/>
  <c r="H44" i="19"/>
  <c r="H45" i="8"/>
  <c r="H45" i="15"/>
  <c r="H45" i="17"/>
  <c r="H46" i="8"/>
  <c r="H46" i="9"/>
  <c r="H46" i="10"/>
  <c r="H46" i="14"/>
  <c r="H46" i="17"/>
  <c r="H46" i="18"/>
  <c r="H46" i="19"/>
  <c r="H47" i="10"/>
  <c r="H47" i="12"/>
  <c r="H47" i="17"/>
  <c r="H47" i="19"/>
  <c r="H48" i="12"/>
  <c r="H48" i="13"/>
  <c r="H48" i="14"/>
  <c r="H49" i="14"/>
  <c r="H49" i="15"/>
  <c r="H49" i="17"/>
  <c r="H50" i="8"/>
  <c r="H50" i="9"/>
  <c r="H50" i="10"/>
  <c r="H50" i="14"/>
  <c r="H50" i="17"/>
  <c r="H50" i="18"/>
  <c r="H50" i="19"/>
  <c r="H51" i="8"/>
  <c r="H51" i="10"/>
  <c r="H51" i="12"/>
  <c r="H51" i="17"/>
  <c r="H51" i="19"/>
  <c r="H52" i="10"/>
  <c r="H52" i="12"/>
  <c r="H52" i="13"/>
  <c r="H52" i="14"/>
  <c r="H53" i="8"/>
  <c r="H53" i="14"/>
  <c r="H53" i="15"/>
  <c r="H54" i="8"/>
  <c r="H54" i="9"/>
  <c r="H54" i="10"/>
  <c r="H54" i="14"/>
  <c r="H54" i="17"/>
  <c r="H54" i="18"/>
  <c r="H54" i="19"/>
  <c r="H55" i="10"/>
  <c r="H55" i="17"/>
  <c r="H55" i="19"/>
  <c r="H56" i="10"/>
  <c r="H56" i="12"/>
  <c r="H56" i="13"/>
  <c r="H56" i="19"/>
  <c r="H57" i="8"/>
  <c r="H57" i="12"/>
  <c r="H57" i="14"/>
  <c r="H57" i="15"/>
  <c r="H57" i="17"/>
  <c r="H58" i="8"/>
  <c r="H58" i="9"/>
  <c r="H58" i="10"/>
  <c r="H58" i="14"/>
  <c r="H58" i="17"/>
  <c r="H58" i="18"/>
  <c r="H58" i="19"/>
  <c r="G5" i="18"/>
  <c r="G5" i="19"/>
  <c r="G6" i="11"/>
  <c r="G6" i="12"/>
  <c r="G6" i="19"/>
  <c r="G7" i="10"/>
  <c r="G7" i="12"/>
  <c r="G7" i="13"/>
  <c r="G7" i="18"/>
  <c r="G8" i="13"/>
  <c r="G8" i="14"/>
  <c r="G8" i="15"/>
  <c r="G8" i="19"/>
  <c r="G9" i="12"/>
  <c r="G9" i="15"/>
  <c r="G9" i="16"/>
  <c r="G10" i="13"/>
  <c r="G10" i="16"/>
  <c r="G10" i="17"/>
  <c r="G11" i="8"/>
  <c r="G11" i="9"/>
  <c r="G11" i="10"/>
  <c r="G11" i="16"/>
  <c r="G11" i="17"/>
  <c r="G12" i="9"/>
  <c r="G12" i="10"/>
  <c r="G12" i="11"/>
  <c r="G12" i="15"/>
  <c r="G12" i="17"/>
  <c r="G12" i="18"/>
  <c r="G13" i="10"/>
  <c r="G13" i="16"/>
  <c r="G13" i="18"/>
  <c r="G13" i="19"/>
  <c r="G14" i="9"/>
  <c r="G14" i="11"/>
  <c r="G14" i="12"/>
  <c r="G14" i="17"/>
  <c r="G14" i="19"/>
  <c r="G15" i="12"/>
  <c r="G15" i="13"/>
  <c r="G16" i="13"/>
  <c r="G16" i="14"/>
  <c r="G16" i="19"/>
  <c r="G17" i="8"/>
  <c r="G17" i="12"/>
  <c r="G17" i="14"/>
  <c r="G17" i="15"/>
  <c r="G18" i="15"/>
  <c r="G18" i="16"/>
  <c r="G19" i="8"/>
  <c r="G19" i="9"/>
  <c r="G19" i="10"/>
  <c r="G19" i="14"/>
  <c r="G19" i="16"/>
  <c r="G19" i="17"/>
  <c r="G20" i="9"/>
  <c r="G20" i="10"/>
  <c r="G20" i="11"/>
  <c r="G24" i="13"/>
  <c r="G25" i="13"/>
  <c r="G26" i="13"/>
  <c r="G32" i="13"/>
  <c r="G33" i="13"/>
  <c r="G34" i="13"/>
  <c r="G40" i="13"/>
  <c r="G41" i="13"/>
  <c r="G48" i="13"/>
  <c r="G49" i="13"/>
  <c r="G56" i="13"/>
  <c r="G57" i="13"/>
  <c r="G58" i="13"/>
  <c r="G20" i="17"/>
  <c r="G20" i="19"/>
  <c r="G21" i="10"/>
  <c r="G21" i="12"/>
  <c r="G21" i="14"/>
  <c r="G22" i="15"/>
  <c r="G22" i="16"/>
  <c r="G23" i="8"/>
  <c r="G23" i="9"/>
  <c r="G23" i="15"/>
  <c r="G23" i="17"/>
  <c r="G23" i="18"/>
  <c r="G23" i="19"/>
  <c r="G24" i="10"/>
  <c r="G24" i="17"/>
  <c r="G24" i="19"/>
  <c r="G25" i="14"/>
  <c r="G25" i="19"/>
  <c r="G26" i="12"/>
  <c r="G26" i="15"/>
  <c r="G26" i="16"/>
  <c r="G26" i="17"/>
  <c r="G27" i="8"/>
  <c r="G27" i="9"/>
  <c r="G27" i="10"/>
  <c r="G27" i="15"/>
  <c r="G27" i="17"/>
  <c r="G27" i="19"/>
  <c r="G28" i="10"/>
  <c r="G28" i="17"/>
  <c r="G28" i="19"/>
  <c r="G29" i="10"/>
  <c r="G29" i="12"/>
  <c r="G29" i="14"/>
  <c r="G29" i="19"/>
  <c r="G30" i="12"/>
  <c r="G30" i="15"/>
  <c r="G30" i="16"/>
  <c r="G30" i="17"/>
  <c r="G31" i="8"/>
  <c r="G31" i="9"/>
  <c r="G31" i="15"/>
  <c r="G31" i="17"/>
  <c r="G31" i="18"/>
  <c r="G31" i="19"/>
  <c r="G32" i="10"/>
  <c r="G32" i="12"/>
  <c r="G32" i="17"/>
  <c r="G32" i="19"/>
  <c r="G33" i="10"/>
  <c r="G33" i="14"/>
  <c r="G34" i="12"/>
  <c r="G34" i="15"/>
  <c r="G34" i="16"/>
  <c r="G34" i="17"/>
  <c r="G35" i="8"/>
  <c r="G35" i="9"/>
  <c r="G35" i="17"/>
  <c r="G35" i="19"/>
  <c r="G36" i="10"/>
  <c r="G36" i="12"/>
  <c r="G36" i="17"/>
  <c r="G36" i="19"/>
  <c r="G37" i="10"/>
  <c r="G37" i="12"/>
  <c r="G37" i="14"/>
  <c r="G37" i="19"/>
  <c r="G38" i="12"/>
  <c r="G38" i="15"/>
  <c r="G38" i="16"/>
  <c r="G38" i="17"/>
  <c r="G39" i="8"/>
  <c r="G39" i="9"/>
  <c r="G39" i="10"/>
  <c r="G39" i="15"/>
  <c r="G39" i="17"/>
  <c r="G39" i="18"/>
  <c r="G39" i="19"/>
  <c r="G40" i="10"/>
  <c r="G40" i="17"/>
  <c r="G40" i="19"/>
  <c r="G41" i="10"/>
  <c r="G41" i="12"/>
  <c r="G41" i="14"/>
  <c r="G41" i="15"/>
  <c r="G41" i="19"/>
  <c r="G42" i="8"/>
  <c r="G42" i="12"/>
  <c r="G42" i="15"/>
  <c r="G42" i="16"/>
  <c r="G42" i="17"/>
  <c r="G43" i="9"/>
  <c r="G43" i="10"/>
  <c r="G43" i="15"/>
  <c r="G43" i="17"/>
  <c r="G43" i="19"/>
  <c r="G44" i="10"/>
  <c r="G44" i="17"/>
  <c r="G44" i="19"/>
  <c r="G45" i="10"/>
  <c r="G45" i="12"/>
  <c r="G45" i="14"/>
  <c r="G45" i="15"/>
  <c r="G45" i="19"/>
  <c r="G46" i="8"/>
  <c r="G46" i="12"/>
  <c r="G46" i="15"/>
  <c r="G46" i="16"/>
  <c r="G46" i="17"/>
  <c r="G47" i="8"/>
  <c r="G47" i="9"/>
  <c r="G47" i="10"/>
  <c r="G47" i="15"/>
  <c r="G47" i="17"/>
  <c r="G47" i="18"/>
  <c r="G48" i="10"/>
  <c r="G48" i="12"/>
  <c r="G48" i="17"/>
  <c r="G48" i="19"/>
  <c r="G49" i="10"/>
  <c r="G49" i="12"/>
  <c r="G49" i="14"/>
  <c r="G49" i="19"/>
  <c r="G50" i="8"/>
  <c r="G50" i="12"/>
  <c r="G50" i="15"/>
  <c r="G50" i="16"/>
  <c r="G50" i="17"/>
  <c r="G51" i="8"/>
  <c r="G51" i="9"/>
  <c r="G51" i="15"/>
  <c r="G51" i="17"/>
  <c r="G51" i="19"/>
  <c r="G52" i="10"/>
  <c r="G52" i="12"/>
  <c r="G52" i="17"/>
  <c r="G52" i="19"/>
  <c r="G53" i="10"/>
  <c r="G53" i="12"/>
  <c r="G53" i="14"/>
  <c r="G53" i="19"/>
  <c r="G54" i="12"/>
  <c r="G54" i="15"/>
  <c r="G54" i="16"/>
  <c r="G55" i="8"/>
  <c r="G55" i="9"/>
  <c r="G55" i="10"/>
  <c r="G55" i="15"/>
  <c r="G55" i="17"/>
  <c r="G55" i="18"/>
  <c r="G55" i="19"/>
  <c r="G56" i="10"/>
  <c r="G56" i="17"/>
  <c r="G56" i="19"/>
  <c r="G57" i="10"/>
  <c r="G57" i="12"/>
  <c r="G57" i="14"/>
  <c r="G57" i="19"/>
  <c r="G58" i="8"/>
  <c r="G58" i="15"/>
  <c r="G58" i="16"/>
  <c r="G58" i="17"/>
  <c r="F5" i="8"/>
  <c r="F5" i="9"/>
  <c r="F5" i="10"/>
  <c r="F5" i="16"/>
  <c r="F5" i="17"/>
  <c r="F5" i="18"/>
  <c r="F6" i="9"/>
  <c r="F6" i="10"/>
  <c r="F6" i="11"/>
  <c r="F6" i="15"/>
  <c r="F6" i="17"/>
  <c r="F6" i="18"/>
  <c r="F6" i="19"/>
  <c r="F7" i="10"/>
  <c r="F7" i="12"/>
  <c r="F7" i="16"/>
  <c r="F7" i="18"/>
  <c r="F7" i="19"/>
  <c r="F8" i="11"/>
  <c r="F8" i="12"/>
  <c r="F8" i="13"/>
  <c r="F8" i="17"/>
  <c r="F8" i="19"/>
  <c r="F9" i="10"/>
  <c r="F9" i="12"/>
  <c r="F9" i="13"/>
  <c r="F9" i="14"/>
  <c r="F9" i="18"/>
  <c r="F10" i="13"/>
  <c r="F10" i="14"/>
  <c r="F10" i="19"/>
  <c r="F11" i="8"/>
  <c r="F11" i="14"/>
  <c r="F11" i="15"/>
  <c r="F11" i="16"/>
  <c r="F12" i="9"/>
  <c r="F12" i="13"/>
  <c r="F12" i="15"/>
  <c r="F12" i="16"/>
  <c r="F12" i="17"/>
  <c r="F13" i="8"/>
  <c r="F13" i="9"/>
  <c r="F13" i="10"/>
  <c r="F13" i="14"/>
  <c r="F13" i="17"/>
  <c r="F13" i="18"/>
  <c r="F14" i="9"/>
  <c r="F14" i="10"/>
  <c r="F14" i="15"/>
  <c r="F14" i="17"/>
  <c r="F14" i="18"/>
  <c r="F14" i="19"/>
  <c r="F15" i="10"/>
  <c r="F15" i="16"/>
  <c r="F15" i="18"/>
  <c r="F15" i="19"/>
  <c r="F16" i="9"/>
  <c r="F16" i="12"/>
  <c r="F16" i="19"/>
  <c r="F17" i="12"/>
  <c r="F17" i="13"/>
  <c r="F17" i="14"/>
  <c r="F17" i="18"/>
  <c r="F18" i="14"/>
  <c r="F18" i="19"/>
  <c r="F19" i="8"/>
  <c r="F19" i="12"/>
  <c r="F19" i="14"/>
  <c r="F19" i="15"/>
  <c r="F20" i="13"/>
  <c r="F20" i="16"/>
  <c r="F20" i="17"/>
  <c r="F21" i="8"/>
  <c r="F21" i="9"/>
  <c r="F21" i="10"/>
  <c r="F21" i="16"/>
  <c r="F21" i="17"/>
  <c r="F21" i="18"/>
  <c r="F22" i="9"/>
  <c r="F22" i="10"/>
  <c r="F22" i="11"/>
  <c r="F22" i="17"/>
  <c r="F22" i="18"/>
  <c r="F22" i="19"/>
  <c r="F23" i="10"/>
  <c r="F28" i="14"/>
  <c r="F29" i="14"/>
  <c r="F36" i="14"/>
  <c r="F37" i="14"/>
  <c r="F43" i="14"/>
  <c r="F44" i="14"/>
  <c r="F45" i="14"/>
  <c r="F51" i="14"/>
  <c r="F52" i="14"/>
  <c r="F53" i="14"/>
  <c r="F23" i="15"/>
  <c r="F23" i="16"/>
  <c r="F24" i="8"/>
  <c r="F24" i="9"/>
  <c r="F24" i="17"/>
  <c r="F24" i="18"/>
  <c r="F25" i="17"/>
  <c r="F25" i="19"/>
  <c r="F26" i="10"/>
  <c r="F26" i="13"/>
  <c r="F26" i="17"/>
  <c r="F26" i="18"/>
  <c r="F26" i="19"/>
  <c r="F27" i="12"/>
  <c r="F27" i="15"/>
  <c r="F28" i="15"/>
  <c r="F28" i="18"/>
  <c r="F29" i="10"/>
  <c r="F29" i="12"/>
  <c r="F29" i="16"/>
  <c r="F29" i="19"/>
  <c r="F30" i="9"/>
  <c r="F30" i="13"/>
  <c r="F30" i="17"/>
  <c r="F30" i="18"/>
  <c r="F31" i="10"/>
  <c r="F31" i="16"/>
  <c r="F32" i="9"/>
  <c r="F32" i="16"/>
  <c r="F32" i="18"/>
  <c r="F32" i="19"/>
  <c r="F33" i="9"/>
  <c r="F33" i="12"/>
  <c r="F33" i="16"/>
  <c r="F34" i="12"/>
  <c r="F34" i="13"/>
  <c r="F34" i="17"/>
  <c r="F34" i="18"/>
  <c r="F35" i="15"/>
  <c r="N37" i="5"/>
  <c r="D38" i="27" s="1"/>
  <c r="F37" i="9"/>
  <c r="F37" i="10"/>
  <c r="F37" i="11"/>
  <c r="F37" i="13"/>
  <c r="F37" i="16"/>
  <c r="F37" i="19"/>
  <c r="F38" i="9"/>
  <c r="F39" i="16"/>
  <c r="F40" i="8"/>
  <c r="F40" i="12"/>
  <c r="F40" i="15"/>
  <c r="F40" i="17"/>
  <c r="F41" i="9"/>
  <c r="F41" i="10"/>
  <c r="F41" i="15"/>
  <c r="F41" i="18"/>
  <c r="F41" i="19"/>
  <c r="F42" i="11"/>
  <c r="F42" i="12"/>
  <c r="F42" i="17"/>
  <c r="F43" i="10"/>
  <c r="F43" i="13"/>
  <c r="F43" i="15"/>
  <c r="F43" i="19"/>
  <c r="F44" i="8"/>
  <c r="F44" i="16"/>
  <c r="F44" i="17"/>
  <c r="F45" i="9"/>
  <c r="F45" i="18"/>
  <c r="F46" i="10"/>
  <c r="F46" i="11"/>
  <c r="F46" i="12"/>
  <c r="F46" i="19"/>
  <c r="F47" i="10"/>
  <c r="F47" i="13"/>
  <c r="F47" i="15"/>
  <c r="F47" i="19"/>
  <c r="F48" i="12"/>
  <c r="F48" i="15"/>
  <c r="F48" i="16"/>
  <c r="F48" i="17"/>
  <c r="F49" i="9"/>
  <c r="F49" i="10"/>
  <c r="F49" i="15"/>
  <c r="F49" i="17"/>
  <c r="F49" i="18"/>
  <c r="F49" i="19"/>
  <c r="F50" i="10"/>
  <c r="F50" i="12"/>
  <c r="F50" i="17"/>
  <c r="F50" i="18"/>
  <c r="F50" i="19"/>
  <c r="F51" i="9"/>
  <c r="F51" i="12"/>
  <c r="F51" i="13"/>
  <c r="F51" i="15"/>
  <c r="F51" i="18"/>
  <c r="F52" i="13"/>
  <c r="F52" i="15"/>
  <c r="F52" i="16"/>
  <c r="F53" i="9"/>
  <c r="F53" i="13"/>
  <c r="F53" i="16"/>
  <c r="F53" i="17"/>
  <c r="F53" i="18"/>
  <c r="F53" i="19"/>
  <c r="F54" i="10"/>
  <c r="F54" i="11"/>
  <c r="F54" i="12"/>
  <c r="F54" i="16"/>
  <c r="F54" i="19"/>
  <c r="F55" i="9"/>
  <c r="F55" i="10"/>
  <c r="F55" i="13"/>
  <c r="F55" i="15"/>
  <c r="F55" i="18"/>
  <c r="F56" i="8"/>
  <c r="F56" i="15"/>
  <c r="F56" i="17"/>
  <c r="F57" i="9"/>
  <c r="F57" i="10"/>
  <c r="F57" i="15"/>
  <c r="F57" i="16"/>
  <c r="F57" i="19"/>
  <c r="F58" i="10"/>
  <c r="N59" i="5"/>
  <c r="D60" i="27" s="1"/>
  <c r="F58" i="13"/>
  <c r="F58" i="17"/>
  <c r="F58" i="18"/>
  <c r="F58" i="19"/>
  <c r="E5" i="13"/>
  <c r="E6" i="14"/>
  <c r="E7" i="15"/>
  <c r="E8" i="8"/>
  <c r="E8" i="11"/>
  <c r="E8" i="14"/>
  <c r="E8" i="16"/>
  <c r="E8" i="19"/>
  <c r="E9" i="9"/>
  <c r="E10" i="9"/>
  <c r="E10" i="10"/>
  <c r="E10" i="16"/>
  <c r="E10" i="18"/>
  <c r="E11" i="9"/>
  <c r="E11" i="11"/>
  <c r="E11" i="19"/>
  <c r="E12" i="9"/>
  <c r="E12" i="10"/>
  <c r="E12" i="12"/>
  <c r="E12" i="18"/>
  <c r="E13" i="13"/>
  <c r="E14" i="12"/>
  <c r="E14" i="14"/>
  <c r="E14" i="17"/>
  <c r="E15" i="15"/>
  <c r="E16" i="16"/>
  <c r="E16" i="19"/>
  <c r="N18" i="4"/>
  <c r="G19" i="25" s="1"/>
  <c r="E17" i="9"/>
  <c r="E17" i="14"/>
  <c r="E17" i="16"/>
  <c r="E17" i="17"/>
  <c r="E18" i="9"/>
  <c r="E18" i="10"/>
  <c r="E18" i="18"/>
  <c r="E19" i="10"/>
  <c r="E19" i="17"/>
  <c r="E19" i="19"/>
  <c r="E20" i="10"/>
  <c r="E20" i="12"/>
  <c r="E20" i="18"/>
  <c r="E20" i="19"/>
  <c r="E21" i="13"/>
  <c r="E22" i="12"/>
  <c r="E22" i="14"/>
  <c r="E22" i="17"/>
  <c r="E23" i="13"/>
  <c r="N24" i="4"/>
  <c r="G25" i="25" s="1"/>
  <c r="E23" i="15"/>
  <c r="E24" i="8"/>
  <c r="E24" i="11"/>
  <c r="E24" i="14"/>
  <c r="E24" i="15"/>
  <c r="E24" i="16"/>
  <c r="N26" i="4"/>
  <c r="G27" i="25" s="1"/>
  <c r="E25" i="15"/>
  <c r="E25" i="17"/>
  <c r="E26" i="10"/>
  <c r="E26" i="18"/>
  <c r="E27" i="9"/>
  <c r="E27" i="17"/>
  <c r="E27" i="19"/>
  <c r="E28" i="10"/>
  <c r="E28" i="12"/>
  <c r="E28" i="18"/>
  <c r="E28" i="19"/>
  <c r="E29" i="13"/>
  <c r="E30" i="12"/>
  <c r="E30" i="14"/>
  <c r="E30" i="17"/>
  <c r="E30" i="19"/>
  <c r="E31" i="13"/>
  <c r="E31" i="15"/>
  <c r="E32" i="9"/>
  <c r="E32" i="16"/>
  <c r="E32" i="19"/>
  <c r="E33" i="8"/>
  <c r="E33" i="9"/>
  <c r="E33" i="10"/>
  <c r="E33" i="15"/>
  <c r="E33" i="17"/>
  <c r="E34" i="10"/>
  <c r="E34" i="18"/>
  <c r="E35" i="9"/>
  <c r="E35" i="11"/>
  <c r="E35" i="17"/>
  <c r="E35" i="18"/>
  <c r="E35" i="19"/>
  <c r="E36" i="11"/>
  <c r="E36" i="12"/>
  <c r="E36" i="13"/>
  <c r="E36" i="18"/>
  <c r="E36" i="19"/>
  <c r="E37" i="8"/>
  <c r="E37" i="13"/>
  <c r="E37" i="14"/>
  <c r="E38" i="12"/>
  <c r="E38" i="14"/>
  <c r="E38" i="17"/>
  <c r="E39" i="13"/>
  <c r="E39" i="16"/>
  <c r="E40" i="8"/>
  <c r="N41" i="4"/>
  <c r="G42" i="25" s="1"/>
  <c r="E40" i="16"/>
  <c r="E40" i="19"/>
  <c r="E41" i="9"/>
  <c r="E41" i="17"/>
  <c r="E42" i="10"/>
  <c r="E42" i="18"/>
  <c r="E43" i="9"/>
  <c r="E43" i="10"/>
  <c r="E43" i="18"/>
  <c r="E43" i="19"/>
  <c r="E44" i="9"/>
  <c r="E44" i="12"/>
  <c r="E44" i="17"/>
  <c r="E44" i="19"/>
  <c r="E45" i="13"/>
  <c r="E45" i="14"/>
  <c r="E45" i="15"/>
  <c r="E45" i="18"/>
  <c r="E46" i="13"/>
  <c r="E46" i="17"/>
  <c r="E46" i="19"/>
  <c r="E47" i="14"/>
  <c r="E47" i="15"/>
  <c r="E47" i="16"/>
  <c r="E48" i="9"/>
  <c r="E48" i="14"/>
  <c r="E48" i="15"/>
  <c r="E48" i="16"/>
  <c r="E49" i="9"/>
  <c r="E49" i="10"/>
  <c r="E49" i="13"/>
  <c r="E49" i="14"/>
  <c r="E49" i="15"/>
  <c r="E49" i="16"/>
  <c r="E49" i="17"/>
  <c r="E50" i="9"/>
  <c r="E50" i="10"/>
  <c r="E50" i="12"/>
  <c r="E50" i="17"/>
  <c r="E50" i="18"/>
  <c r="E51" i="9"/>
  <c r="E51" i="10"/>
  <c r="E51" i="11"/>
  <c r="E51" i="13"/>
  <c r="E51" i="18"/>
  <c r="E51" i="19"/>
  <c r="E52" i="9"/>
  <c r="E52" i="10"/>
  <c r="E52" i="11"/>
  <c r="E52" i="14"/>
  <c r="E52" i="17"/>
  <c r="E52" i="19"/>
  <c r="E53" i="12"/>
  <c r="E53" i="13"/>
  <c r="E53" i="15"/>
  <c r="E53" i="17"/>
  <c r="E54" i="9"/>
  <c r="E54" i="12"/>
  <c r="E54" i="13"/>
  <c r="E54" i="14"/>
  <c r="E55" i="9"/>
  <c r="E55" i="14"/>
  <c r="E55" i="15"/>
  <c r="E55" i="17"/>
  <c r="E56" i="8"/>
  <c r="E56" i="10"/>
  <c r="E56" i="12"/>
  <c r="E56" i="14"/>
  <c r="E56" i="16"/>
  <c r="E56" i="18"/>
  <c r="E56" i="19"/>
  <c r="E57" i="9"/>
  <c r="E57" i="10"/>
  <c r="E57" i="17"/>
  <c r="E57" i="18"/>
  <c r="E58" i="10"/>
  <c r="E58" i="15"/>
  <c r="E58" i="16"/>
  <c r="E58" i="17"/>
  <c r="E58" i="18"/>
  <c r="E58" i="19"/>
  <c r="C5" i="8"/>
  <c r="C5" i="11"/>
  <c r="C5" i="16"/>
  <c r="C5" i="17"/>
  <c r="C5" i="18"/>
  <c r="C5" i="19"/>
  <c r="C6" i="10"/>
  <c r="C6" i="11"/>
  <c r="C6" i="12"/>
  <c r="C6" i="14"/>
  <c r="C6" i="16"/>
  <c r="C6" i="17"/>
  <c r="C6" i="18"/>
  <c r="C6" i="19"/>
  <c r="C7" i="10"/>
  <c r="C7" i="11"/>
  <c r="C7" i="13"/>
  <c r="C7" i="16"/>
  <c r="C7" i="17"/>
  <c r="C7" i="18"/>
  <c r="C7" i="19"/>
  <c r="C8" i="9"/>
  <c r="C8" i="10"/>
  <c r="C8" i="11"/>
  <c r="C8" i="17"/>
  <c r="C8" i="19"/>
  <c r="C9" i="9"/>
  <c r="C9" i="10"/>
  <c r="C9" i="12"/>
  <c r="C9" i="13"/>
  <c r="C9" i="14"/>
  <c r="C9" i="18"/>
  <c r="C10" i="8"/>
  <c r="C10" i="10"/>
  <c r="C10" i="13"/>
  <c r="C10" i="14"/>
  <c r="C10" i="15"/>
  <c r="C10" i="18"/>
  <c r="C11" i="13"/>
  <c r="C11" i="15"/>
  <c r="C12" i="8"/>
  <c r="C12" i="10"/>
  <c r="C12" i="12"/>
  <c r="C12" i="14"/>
  <c r="C12" i="16"/>
  <c r="C12" i="17"/>
  <c r="C13" i="8"/>
  <c r="C13" i="9"/>
  <c r="C13" i="10"/>
  <c r="C13" i="16"/>
  <c r="C13" i="17"/>
  <c r="C13" i="18"/>
  <c r="C14" i="9"/>
  <c r="C14" i="11"/>
  <c r="C14" i="14"/>
  <c r="C14" i="16"/>
  <c r="C14" i="19"/>
  <c r="C15" i="9"/>
  <c r="C15" i="10"/>
  <c r="C15" i="11"/>
  <c r="C15" i="15"/>
  <c r="C15" i="18"/>
  <c r="C15" i="19"/>
  <c r="C16" i="8"/>
  <c r="C16" i="11"/>
  <c r="C16" i="12"/>
  <c r="C16" i="13"/>
  <c r="C16" i="16"/>
  <c r="C16" i="19"/>
  <c r="C17" i="9"/>
  <c r="C17" i="12"/>
  <c r="C17" i="13"/>
  <c r="C17" i="14"/>
  <c r="C17" i="17"/>
  <c r="C18" i="10"/>
  <c r="C18" i="13"/>
  <c r="C18" i="18"/>
  <c r="C19" i="13"/>
  <c r="C20" i="14"/>
  <c r="C20" i="15"/>
  <c r="C21" i="8"/>
  <c r="C21" i="16"/>
  <c r="C22" i="8"/>
  <c r="C22" i="16"/>
  <c r="C24" i="10"/>
  <c r="C24" i="18"/>
  <c r="C24" i="19"/>
  <c r="C25" i="9"/>
  <c r="C25" i="11"/>
  <c r="C25" i="19"/>
  <c r="C26" i="9"/>
  <c r="C26" i="12"/>
  <c r="C26" i="13"/>
  <c r="C27" i="18"/>
  <c r="C28" i="9"/>
  <c r="C28" i="14"/>
  <c r="C28" i="19"/>
  <c r="C29" i="8"/>
  <c r="C30" i="8"/>
  <c r="C30" i="9"/>
  <c r="C30" i="16"/>
  <c r="C31" i="9"/>
  <c r="C31" i="10"/>
  <c r="C31" i="17"/>
  <c r="C32" i="9"/>
  <c r="C32" i="10"/>
  <c r="C32" i="19"/>
  <c r="C33" i="9"/>
  <c r="C33" i="14"/>
  <c r="C33" i="19"/>
  <c r="C34" i="9"/>
  <c r="C34" i="12"/>
  <c r="N35" i="2"/>
  <c r="E36" i="25" s="1"/>
  <c r="C35" i="9"/>
  <c r="C35" i="13"/>
  <c r="C35" i="18"/>
  <c r="C36" i="14"/>
  <c r="C36" i="19"/>
  <c r="C37" i="10"/>
  <c r="C37" i="15"/>
  <c r="C38" i="16"/>
  <c r="C39" i="9"/>
  <c r="C39" i="10"/>
  <c r="C39" i="17"/>
  <c r="C40" i="10"/>
  <c r="C40" i="18"/>
  <c r="C40" i="19"/>
  <c r="C41" i="11"/>
  <c r="C41" i="19"/>
  <c r="C42" i="9"/>
  <c r="C42" i="12"/>
  <c r="C43" i="9"/>
  <c r="C43" i="13"/>
  <c r="C44" i="14"/>
  <c r="C44" i="19"/>
  <c r="C45" i="15"/>
  <c r="C45" i="16"/>
  <c r="C46" i="9"/>
  <c r="C46" i="16"/>
  <c r="C46" i="17"/>
  <c r="C46" i="19"/>
  <c r="C47" i="9"/>
  <c r="C47" i="10"/>
  <c r="C47" i="17"/>
  <c r="C48" i="11"/>
  <c r="C48" i="18"/>
  <c r="C48" i="19"/>
  <c r="C49" i="9"/>
  <c r="N50" i="2"/>
  <c r="E51" i="25" s="1"/>
  <c r="C49" i="14"/>
  <c r="C50" i="9"/>
  <c r="C51" i="9"/>
  <c r="C51" i="18"/>
  <c r="C52" i="14"/>
  <c r="C52" i="19"/>
  <c r="N54" i="2"/>
  <c r="E55" i="25" s="1"/>
  <c r="C53" i="9"/>
  <c r="C54" i="8"/>
  <c r="C54" i="16"/>
  <c r="C55" i="9"/>
  <c r="C55" i="12"/>
  <c r="C55" i="17"/>
  <c r="C56" i="13"/>
  <c r="C56" i="18"/>
  <c r="C56" i="19"/>
  <c r="C57" i="19"/>
  <c r="C58" i="9"/>
  <c r="C58" i="13"/>
  <c r="C58" i="15"/>
  <c r="C58" i="17"/>
  <c r="D5" i="8"/>
  <c r="D5" i="12"/>
  <c r="D5" i="13"/>
  <c r="D5" i="17"/>
  <c r="D6" i="13"/>
  <c r="D8" i="8"/>
  <c r="D8" i="15"/>
  <c r="D8" i="16"/>
  <c r="D9" i="8"/>
  <c r="D12" i="10"/>
  <c r="D22" i="10"/>
  <c r="D23" i="10"/>
  <c r="D28" i="10"/>
  <c r="D30" i="10"/>
  <c r="D36" i="10"/>
  <c r="D38" i="10"/>
  <c r="D39" i="10"/>
  <c r="D44" i="10"/>
  <c r="D46" i="10"/>
  <c r="D47" i="10"/>
  <c r="D52" i="10"/>
  <c r="D54" i="10"/>
  <c r="D55" i="10"/>
  <c r="D9" i="14"/>
  <c r="D9" i="15"/>
  <c r="D10" i="8"/>
  <c r="D10" i="14"/>
  <c r="D10" i="19"/>
  <c r="D11" i="8"/>
  <c r="D11" i="9"/>
  <c r="D11" i="18"/>
  <c r="D11" i="19"/>
  <c r="D12" i="16"/>
  <c r="D13" i="8"/>
  <c r="D13" i="9"/>
  <c r="D14" i="8"/>
  <c r="D14" i="18"/>
  <c r="D15" i="17"/>
  <c r="D16" i="8"/>
  <c r="D17" i="8"/>
  <c r="D17" i="13"/>
  <c r="D17" i="14"/>
  <c r="D18" i="8"/>
  <c r="D18" i="13"/>
  <c r="D18" i="16"/>
  <c r="D18" i="19"/>
  <c r="D19" i="8"/>
  <c r="D19" i="9"/>
  <c r="D19" i="15"/>
  <c r="D19" i="18"/>
  <c r="D20" i="8"/>
  <c r="D20" i="12"/>
  <c r="D20" i="16"/>
  <c r="D20" i="17"/>
  <c r="D20" i="19"/>
  <c r="D21" i="8"/>
  <c r="D21" i="13"/>
  <c r="D21" i="17"/>
  <c r="D22" i="8"/>
  <c r="D22" i="13"/>
  <c r="D22" i="18"/>
  <c r="D23" i="9"/>
  <c r="D23" i="15"/>
  <c r="D23" i="18"/>
  <c r="D23" i="19"/>
  <c r="D24" i="8"/>
  <c r="D24" i="19"/>
  <c r="D25" i="8"/>
  <c r="D25" i="9"/>
  <c r="D25" i="13"/>
  <c r="D25" i="15"/>
  <c r="D25" i="18"/>
  <c r="D26" i="14"/>
  <c r="D26" i="15"/>
  <c r="D26" i="19"/>
  <c r="D27" i="8"/>
  <c r="D27" i="15"/>
  <c r="D28" i="8"/>
  <c r="D28" i="9"/>
  <c r="D28" i="11"/>
  <c r="D28" i="16"/>
  <c r="D28" i="18"/>
  <c r="D28" i="19"/>
  <c r="D29" i="13"/>
  <c r="D29" i="14"/>
  <c r="D29" i="17"/>
  <c r="D31" i="8"/>
  <c r="D31" i="16"/>
  <c r="D31" i="17"/>
  <c r="D32" i="8"/>
  <c r="D32" i="12"/>
  <c r="D32" i="18"/>
  <c r="D32" i="19"/>
  <c r="D33" i="8"/>
  <c r="D33" i="13"/>
  <c r="D33" i="16"/>
  <c r="D34" i="9"/>
  <c r="D34" i="14"/>
  <c r="D34" i="15"/>
  <c r="D34" i="19"/>
  <c r="D35" i="15"/>
  <c r="D35" i="16"/>
  <c r="D36" i="8"/>
  <c r="D36" i="9"/>
  <c r="D36" i="12"/>
  <c r="D36" i="17"/>
  <c r="D37" i="8"/>
  <c r="D37" i="12"/>
  <c r="D37" i="17"/>
  <c r="D37" i="19"/>
  <c r="D38" i="8"/>
  <c r="D38" i="13"/>
  <c r="D38" i="14"/>
  <c r="D39" i="15"/>
  <c r="D39" i="16"/>
  <c r="D40" i="8"/>
  <c r="D40" i="12"/>
  <c r="D40" i="16"/>
  <c r="D41" i="9"/>
  <c r="D41" i="13"/>
  <c r="D41" i="16"/>
  <c r="D41" i="18"/>
  <c r="D42" i="8"/>
  <c r="D42" i="12"/>
  <c r="D42" i="13"/>
  <c r="D42" i="14"/>
  <c r="D42" i="19"/>
  <c r="D43" i="8"/>
  <c r="D43" i="15"/>
  <c r="D44" i="16"/>
  <c r="D44" i="19"/>
  <c r="D45" i="9"/>
  <c r="D45" i="18"/>
  <c r="D45" i="19"/>
  <c r="D46" i="8"/>
  <c r="D47" i="14"/>
  <c r="D47" i="15"/>
  <c r="D47" i="16"/>
  <c r="D48" i="8"/>
  <c r="D48" i="12"/>
  <c r="D48" i="17"/>
  <c r="D48" i="19"/>
  <c r="D49" i="8"/>
  <c r="D49" i="9"/>
  <c r="D49" i="13"/>
  <c r="D49" i="17"/>
  <c r="D50" i="8"/>
  <c r="D50" i="12"/>
  <c r="D50" i="14"/>
  <c r="D50" i="17"/>
  <c r="D50" i="19"/>
  <c r="D51" i="8"/>
  <c r="D51" i="13"/>
  <c r="D51" i="15"/>
  <c r="D52" i="8"/>
  <c r="D52" i="9"/>
  <c r="D52" i="14"/>
  <c r="D52" i="15"/>
  <c r="D52" i="16"/>
  <c r="D52" i="19"/>
  <c r="D53" i="8"/>
  <c r="D53" i="9"/>
  <c r="D53" i="16"/>
  <c r="D53" i="17"/>
  <c r="D54" i="13"/>
  <c r="D55" i="13"/>
  <c r="D55" i="15"/>
  <c r="D55" i="16"/>
  <c r="D56" i="14"/>
  <c r="D56" i="15"/>
  <c r="D56" i="17"/>
  <c r="D57" i="8"/>
  <c r="D57" i="9"/>
  <c r="D57" i="15"/>
  <c r="D57" i="16"/>
  <c r="D57" i="18"/>
  <c r="D58" i="8"/>
  <c r="D58" i="9"/>
  <c r="D58" i="17"/>
  <c r="D58" i="18"/>
  <c r="D58" i="19"/>
  <c r="B5" i="19"/>
  <c r="B6" i="14"/>
  <c r="B6" i="19"/>
  <c r="B7" i="13"/>
  <c r="B7" i="15"/>
  <c r="B8" i="16"/>
  <c r="B9" i="9"/>
  <c r="B9" i="17"/>
  <c r="B10" i="10"/>
  <c r="B11" i="10"/>
  <c r="B11" i="11"/>
  <c r="B11" i="19"/>
  <c r="B12" i="19"/>
  <c r="B13" i="13"/>
  <c r="B14" i="13"/>
  <c r="B14" i="19"/>
  <c r="B16" i="8"/>
  <c r="B17" i="8"/>
  <c r="B18" i="9"/>
  <c r="B18" i="17"/>
  <c r="B19" i="10"/>
  <c r="B19" i="11"/>
  <c r="B19" i="18"/>
  <c r="B19" i="19"/>
  <c r="B20" i="8"/>
  <c r="B20" i="12"/>
  <c r="B20" i="19"/>
  <c r="B21" i="13"/>
  <c r="B22" i="12"/>
  <c r="B22" i="19"/>
  <c r="B23" i="13"/>
  <c r="B23" i="15"/>
  <c r="B24" i="16"/>
  <c r="B25" i="15"/>
  <c r="B25" i="17"/>
  <c r="B26" i="10"/>
  <c r="B26" i="18"/>
  <c r="B27" i="8"/>
  <c r="B27" i="11"/>
  <c r="B27" i="16"/>
  <c r="B28" i="16"/>
  <c r="B29" i="13"/>
  <c r="B29" i="17"/>
  <c r="B30" i="10"/>
  <c r="B30" i="14"/>
  <c r="B30" i="17"/>
  <c r="B30" i="19"/>
  <c r="B31" i="19"/>
  <c r="B32" i="19"/>
  <c r="B33" i="12"/>
  <c r="B33" i="16"/>
  <c r="B34" i="14"/>
  <c r="B35" i="10"/>
  <c r="B35" i="11"/>
  <c r="B35" i="19"/>
  <c r="B36" i="11"/>
  <c r="B36" i="12"/>
  <c r="B36" i="16"/>
  <c r="B37" i="10"/>
  <c r="B37" i="13"/>
  <c r="B38" i="11"/>
  <c r="B38" i="13"/>
  <c r="B38" i="14"/>
  <c r="B38" i="19"/>
  <c r="B40" i="16"/>
  <c r="B41" i="9"/>
  <c r="B41" i="12"/>
  <c r="B41" i="17"/>
  <c r="B42" i="18"/>
  <c r="B43" i="11"/>
  <c r="B43" i="19"/>
  <c r="B44" i="9"/>
  <c r="B44" i="12"/>
  <c r="B44" i="15"/>
  <c r="B45" i="9"/>
  <c r="B45" i="13"/>
  <c r="B46" i="9"/>
  <c r="B46" i="14"/>
  <c r="B46" i="19"/>
  <c r="B47" i="14"/>
  <c r="B47" i="15"/>
  <c r="B47" i="18"/>
  <c r="B48" i="19"/>
  <c r="B49" i="13"/>
  <c r="B49" i="17"/>
  <c r="B50" i="10"/>
  <c r="B50" i="17"/>
  <c r="B51" i="11"/>
  <c r="B51" i="19"/>
  <c r="B52" i="11"/>
  <c r="B53" i="16"/>
  <c r="B54" i="14"/>
  <c r="B54" i="15"/>
  <c r="B54" i="19"/>
  <c r="B55" i="18"/>
  <c r="B55" i="19"/>
  <c r="B56" i="8"/>
  <c r="B56" i="15"/>
  <c r="B56" i="16"/>
  <c r="B56" i="18"/>
  <c r="B57" i="9"/>
  <c r="B57" i="12"/>
  <c r="B57" i="14"/>
  <c r="B57" i="17"/>
  <c r="B58" i="10"/>
  <c r="B58" i="12"/>
  <c r="B58" i="18"/>
  <c r="A59" i="8"/>
  <c r="A2" i="19"/>
  <c r="A2" i="18"/>
  <c r="A2" i="17"/>
  <c r="A2" i="16"/>
  <c r="A2" i="15"/>
  <c r="A2" i="14"/>
  <c r="A2" i="13"/>
  <c r="A2" i="12"/>
  <c r="A2" i="11"/>
  <c r="A2" i="10"/>
  <c r="A2" i="9"/>
  <c r="A62" i="12"/>
  <c r="A61" i="12"/>
  <c r="A60" i="12"/>
  <c r="B4" i="4"/>
  <c r="C4" i="4"/>
  <c r="D4" i="4"/>
  <c r="E4" i="4"/>
  <c r="F4" i="4"/>
  <c r="G4" i="4"/>
  <c r="H4" i="4"/>
  <c r="I4" i="4"/>
  <c r="J4" i="4"/>
  <c r="K4" i="4"/>
  <c r="L4" i="4"/>
  <c r="M4" i="4"/>
  <c r="N4" i="4"/>
  <c r="B4" i="3"/>
  <c r="C4" i="3"/>
  <c r="D4" i="3"/>
  <c r="E4" i="3"/>
  <c r="F4" i="3"/>
  <c r="G4" i="3"/>
  <c r="H4" i="3"/>
  <c r="I4" i="3"/>
  <c r="J4" i="3"/>
  <c r="K4" i="3"/>
  <c r="L4" i="3"/>
  <c r="M4" i="3"/>
  <c r="N4" i="3"/>
  <c r="B4" i="2"/>
  <c r="C4" i="2"/>
  <c r="D4" i="2"/>
  <c r="E4" i="2"/>
  <c r="F4" i="2"/>
  <c r="G4" i="2"/>
  <c r="H4" i="2"/>
  <c r="I4" i="2"/>
  <c r="J4" i="2"/>
  <c r="K4" i="2"/>
  <c r="L4" i="2"/>
  <c r="M4" i="2"/>
  <c r="N4" i="2"/>
  <c r="H6" i="10"/>
  <c r="H6" i="18"/>
  <c r="H7" i="19"/>
  <c r="H8" i="12"/>
  <c r="H10" i="14"/>
  <c r="H11" i="15"/>
  <c r="H12" i="8"/>
  <c r="H12" i="16"/>
  <c r="H13" i="17"/>
  <c r="H14" i="10"/>
  <c r="H14" i="18"/>
  <c r="H15" i="19"/>
  <c r="H16" i="12"/>
  <c r="H19" i="15"/>
  <c r="H20" i="8"/>
  <c r="H22" i="13"/>
  <c r="H23" i="14"/>
  <c r="H24" i="15"/>
  <c r="H27" i="15"/>
  <c r="H27" i="18"/>
  <c r="H28" i="8"/>
  <c r="H29" i="9"/>
  <c r="H30" i="13"/>
  <c r="H31" i="14"/>
  <c r="H32" i="17"/>
  <c r="H33" i="13"/>
  <c r="H35" i="15"/>
  <c r="H35" i="18"/>
  <c r="H37" i="9"/>
  <c r="H38" i="13"/>
  <c r="H39" i="14"/>
  <c r="H41" i="13"/>
  <c r="H41" i="18"/>
  <c r="H43" i="15"/>
  <c r="H44" i="8"/>
  <c r="H44" i="16"/>
  <c r="H45" i="9"/>
  <c r="H45" i="12"/>
  <c r="H46" i="13"/>
  <c r="H47" i="14"/>
  <c r="H48" i="17"/>
  <c r="H49" i="13"/>
  <c r="H52" i="8"/>
  <c r="H52" i="16"/>
  <c r="H52" i="19"/>
  <c r="H53" i="9"/>
  <c r="H53" i="12"/>
  <c r="H55" i="14"/>
  <c r="H56" i="15"/>
  <c r="H57" i="13"/>
  <c r="G8" i="10"/>
  <c r="G8" i="18"/>
  <c r="G9" i="19"/>
  <c r="G10" i="12"/>
  <c r="G12" i="14"/>
  <c r="G13" i="15"/>
  <c r="G14" i="16"/>
  <c r="G15" i="17"/>
  <c r="G16" i="10"/>
  <c r="G16" i="18"/>
  <c r="G17" i="19"/>
  <c r="G18" i="12"/>
  <c r="G21" i="18"/>
  <c r="G27" i="16"/>
  <c r="G28" i="9"/>
  <c r="G29" i="18"/>
  <c r="G35" i="13"/>
  <c r="G35" i="16"/>
  <c r="G36" i="9"/>
  <c r="G37" i="18"/>
  <c r="G38" i="19"/>
  <c r="G43" i="13"/>
  <c r="G43" i="16"/>
  <c r="G44" i="9"/>
  <c r="G44" i="14"/>
  <c r="G45" i="18"/>
  <c r="G46" i="19"/>
  <c r="G47" i="12"/>
  <c r="G48" i="18"/>
  <c r="G49" i="8"/>
  <c r="G51" i="13"/>
  <c r="G51" i="16"/>
  <c r="G52" i="9"/>
  <c r="G52" i="14"/>
  <c r="G53" i="18"/>
  <c r="G54" i="19"/>
  <c r="G55" i="12"/>
  <c r="G56" i="18"/>
  <c r="G58" i="12"/>
  <c r="F9" i="9"/>
  <c r="F10" i="10"/>
  <c r="F12" i="12"/>
  <c r="F13" i="13"/>
  <c r="F17" i="9"/>
  <c r="F21" i="13"/>
  <c r="F22" i="14"/>
  <c r="F24" i="16"/>
  <c r="F24" i="19"/>
  <c r="F25" i="9"/>
  <c r="F25" i="12"/>
  <c r="F27" i="19"/>
  <c r="F28" i="12"/>
  <c r="F29" i="13"/>
  <c r="F30" i="14"/>
  <c r="F30" i="19"/>
  <c r="F33" i="17"/>
  <c r="F34" i="10"/>
  <c r="F35" i="19"/>
  <c r="F36" i="15"/>
  <c r="F38" i="14"/>
  <c r="F38" i="17"/>
  <c r="F38" i="19"/>
  <c r="F40" i="19"/>
  <c r="F41" i="12"/>
  <c r="F42" i="13"/>
  <c r="F42" i="18"/>
  <c r="F44" i="12"/>
  <c r="F45" i="13"/>
  <c r="F46" i="14"/>
  <c r="F46" i="17"/>
  <c r="F47" i="18"/>
  <c r="F48" i="19"/>
  <c r="F53" i="10"/>
  <c r="F54" i="9"/>
  <c r="F54" i="14"/>
  <c r="F57" i="12"/>
  <c r="F57" i="17"/>
  <c r="E13" i="19"/>
  <c r="E15" i="13"/>
  <c r="E19" i="9"/>
  <c r="E21" i="19"/>
  <c r="E24" i="9"/>
  <c r="E24" i="19"/>
  <c r="E25" i="18"/>
  <c r="E26" i="16"/>
  <c r="E28" i="13"/>
  <c r="E32" i="14"/>
  <c r="E34" i="16"/>
  <c r="E37" i="19"/>
  <c r="E41" i="10"/>
  <c r="E43" i="17"/>
  <c r="E45" i="19"/>
  <c r="E46" i="12"/>
  <c r="E46" i="15"/>
  <c r="E47" i="18"/>
  <c r="E48" i="19"/>
  <c r="E51" i="17"/>
  <c r="E52" i="18"/>
  <c r="E53" i="19"/>
  <c r="E55" i="13"/>
  <c r="E56" i="17"/>
  <c r="E57" i="15"/>
  <c r="D6" i="10"/>
  <c r="D7" i="19"/>
  <c r="D8" i="12"/>
  <c r="D9" i="13"/>
  <c r="D12" i="8"/>
  <c r="D14" i="10"/>
  <c r="D18" i="14"/>
  <c r="D23" i="16"/>
  <c r="D31" i="19"/>
  <c r="D35" i="10"/>
  <c r="D37" i="9"/>
  <c r="D38" i="18"/>
  <c r="D39" i="14"/>
  <c r="D39" i="19"/>
  <c r="D41" i="8"/>
  <c r="D43" i="10"/>
  <c r="D44" i="8"/>
  <c r="D49" i="16"/>
  <c r="D55" i="11"/>
  <c r="D56" i="12"/>
  <c r="D57" i="13"/>
  <c r="D58" i="14"/>
  <c r="C5" i="15"/>
  <c r="C6" i="8"/>
  <c r="C6" i="9"/>
  <c r="C7" i="9"/>
  <c r="C8" i="18"/>
  <c r="C9" i="11"/>
  <c r="C9" i="19"/>
  <c r="C10" i="12"/>
  <c r="C12" i="15"/>
  <c r="C12" i="19"/>
  <c r="C13" i="15"/>
  <c r="C14" i="8"/>
  <c r="C15" i="12"/>
  <c r="C18" i="12"/>
  <c r="C18" i="15"/>
  <c r="C20" i="9"/>
  <c r="C20" i="19"/>
  <c r="C21" i="12"/>
  <c r="C23" i="9"/>
  <c r="C23" i="17"/>
  <c r="C27" i="13"/>
  <c r="C32" i="18"/>
  <c r="C33" i="11"/>
  <c r="C36" i="9"/>
  <c r="C39" i="12"/>
  <c r="C40" i="13"/>
  <c r="C42" i="15"/>
  <c r="C43" i="18"/>
  <c r="C44" i="9"/>
  <c r="C51" i="13"/>
  <c r="C52" i="9"/>
  <c r="C53" i="10"/>
  <c r="C56" i="10"/>
  <c r="C58" i="12"/>
  <c r="B17" i="9"/>
  <c r="B18" i="10"/>
  <c r="B22" i="14"/>
  <c r="B28" i="12"/>
  <c r="B32" i="8"/>
  <c r="B33" i="9"/>
  <c r="B33" i="17"/>
  <c r="B34" i="18"/>
  <c r="B39" i="15"/>
  <c r="B42" i="10"/>
  <c r="B48" i="8"/>
  <c r="B48" i="16"/>
  <c r="B49" i="9"/>
  <c r="B52" i="12"/>
  <c r="B52" i="15"/>
  <c r="B53" i="13"/>
  <c r="B55" i="15"/>
  <c r="A62" i="2"/>
  <c r="A2" i="7"/>
  <c r="A2" i="6"/>
  <c r="A2" i="5"/>
  <c r="A2" i="4"/>
  <c r="A2" i="3"/>
  <c r="A2" i="2"/>
  <c r="C5" i="9"/>
  <c r="C5" i="13"/>
  <c r="C5" i="14"/>
  <c r="C6" i="15"/>
  <c r="C7" i="15"/>
  <c r="C8" i="12"/>
  <c r="C8" i="14"/>
  <c r="C8" i="16"/>
  <c r="C9" i="17"/>
  <c r="C10" i="19"/>
  <c r="C11" i="9"/>
  <c r="C11" i="12"/>
  <c r="C11" i="14"/>
  <c r="C11" i="17"/>
  <c r="C11" i="19"/>
  <c r="C12" i="13"/>
  <c r="C12" i="18"/>
  <c r="C13" i="13"/>
  <c r="C13" i="14"/>
  <c r="C13" i="19"/>
  <c r="C14" i="10"/>
  <c r="C14" i="12"/>
  <c r="C14" i="15"/>
  <c r="C14" i="18"/>
  <c r="C15" i="13"/>
  <c r="C15" i="16"/>
  <c r="C16" i="9"/>
  <c r="C16" i="14"/>
  <c r="C16" i="17"/>
  <c r="C17" i="10"/>
  <c r="C17" i="15"/>
  <c r="C17" i="18"/>
  <c r="C18" i="14"/>
  <c r="C18" i="16"/>
  <c r="C18" i="19"/>
  <c r="C11" i="11"/>
  <c r="C13" i="11"/>
  <c r="C10" i="11"/>
  <c r="A60" i="19"/>
  <c r="A61" i="19"/>
  <c r="A62" i="19"/>
  <c r="A60" i="18"/>
  <c r="A61" i="18"/>
  <c r="A62" i="18"/>
  <c r="A60" i="17"/>
  <c r="A61" i="17"/>
  <c r="A62" i="17"/>
  <c r="A60" i="16"/>
  <c r="A61" i="16"/>
  <c r="A62" i="16"/>
  <c r="A60" i="15"/>
  <c r="A61" i="15"/>
  <c r="A62" i="15"/>
  <c r="A60" i="14"/>
  <c r="A61" i="14"/>
  <c r="A62" i="14"/>
  <c r="A60" i="11"/>
  <c r="A61" i="11"/>
  <c r="A62" i="11"/>
  <c r="A60" i="10"/>
  <c r="A61" i="10"/>
  <c r="A62" i="10"/>
  <c r="A60" i="9"/>
  <c r="A61" i="9"/>
  <c r="A62" i="9"/>
  <c r="C19" i="9"/>
  <c r="C21" i="9"/>
  <c r="C24" i="9"/>
  <c r="C27" i="9"/>
  <c r="C29" i="9"/>
  <c r="C37" i="9"/>
  <c r="C40" i="9"/>
  <c r="C41" i="9"/>
  <c r="C45" i="9"/>
  <c r="C48" i="9"/>
  <c r="C56" i="9"/>
  <c r="C57" i="9"/>
  <c r="C7" i="8"/>
  <c r="C8" i="8"/>
  <c r="C15" i="8"/>
  <c r="C18" i="8"/>
  <c r="A62" i="7"/>
  <c r="A62" i="6"/>
  <c r="A62" i="5"/>
  <c r="A62" i="4"/>
  <c r="A62" i="3"/>
  <c r="H43" i="8"/>
  <c r="H14" i="8"/>
  <c r="H6" i="8"/>
  <c r="D54" i="8"/>
  <c r="D34" i="8"/>
  <c r="D30" i="8"/>
  <c r="D26" i="8"/>
  <c r="D6" i="8"/>
  <c r="H56" i="8"/>
  <c r="H48" i="8"/>
  <c r="H40" i="8"/>
  <c r="H36" i="8"/>
  <c r="H32" i="8"/>
  <c r="H24" i="8"/>
  <c r="D45" i="8"/>
  <c r="D29" i="8"/>
  <c r="H27" i="8"/>
  <c r="H18" i="8"/>
  <c r="H10" i="8"/>
  <c r="D35" i="8"/>
  <c r="H21" i="8"/>
  <c r="H58" i="15"/>
  <c r="H58" i="13"/>
  <c r="H58" i="12"/>
  <c r="H57" i="19"/>
  <c r="H57" i="9"/>
  <c r="H56" i="18"/>
  <c r="H56" i="16"/>
  <c r="H55" i="18"/>
  <c r="H55" i="15"/>
  <c r="H55" i="13"/>
  <c r="H55" i="9"/>
  <c r="H54" i="16"/>
  <c r="H54" i="13"/>
  <c r="H54" i="12"/>
  <c r="H53" i="19"/>
  <c r="H53" i="18"/>
  <c r="H53" i="13"/>
  <c r="H53" i="10"/>
  <c r="H52" i="18"/>
  <c r="H52" i="17"/>
  <c r="H52" i="15"/>
  <c r="H52" i="9"/>
  <c r="H51" i="18"/>
  <c r="H51" i="15"/>
  <c r="H51" i="14"/>
  <c r="H51" i="13"/>
  <c r="H51" i="9"/>
  <c r="H50" i="15"/>
  <c r="H50" i="13"/>
  <c r="H50" i="12"/>
  <c r="H49" i="19"/>
  <c r="H49" i="12"/>
  <c r="H49" i="9"/>
  <c r="H48" i="19"/>
  <c r="H48" i="18"/>
  <c r="H48" i="16"/>
  <c r="H48" i="15"/>
  <c r="H48" i="10"/>
  <c r="H47" i="18"/>
  <c r="H47" i="15"/>
  <c r="H47" i="13"/>
  <c r="H47" i="9"/>
  <c r="H46" i="16"/>
  <c r="H46" i="12"/>
  <c r="H45" i="19"/>
  <c r="H45" i="18"/>
  <c r="H45" i="16"/>
  <c r="H45" i="13"/>
  <c r="H45" i="10"/>
  <c r="H44" i="18"/>
  <c r="H44" i="17"/>
  <c r="H44" i="15"/>
  <c r="H44" i="10"/>
  <c r="H44" i="9"/>
  <c r="H43" i="18"/>
  <c r="H43" i="14"/>
  <c r="H43" i="13"/>
  <c r="H43" i="9"/>
  <c r="H42" i="15"/>
  <c r="H42" i="13"/>
  <c r="H42" i="12"/>
  <c r="H41" i="19"/>
  <c r="H41" i="9"/>
  <c r="H40" i="18"/>
  <c r="H40" i="16"/>
  <c r="H40" i="15"/>
  <c r="H40" i="10"/>
  <c r="H39" i="18"/>
  <c r="H39" i="15"/>
  <c r="H39" i="13"/>
  <c r="H39" i="9"/>
  <c r="H38" i="16"/>
  <c r="H38" i="12"/>
  <c r="H37" i="19"/>
  <c r="H37" i="18"/>
  <c r="H37" i="13"/>
  <c r="H37" i="10"/>
  <c r="H36" i="18"/>
  <c r="H36" i="17"/>
  <c r="H36" i="16"/>
  <c r="H36" i="15"/>
  <c r="H36" i="9"/>
  <c r="H35" i="14"/>
  <c r="H35" i="13"/>
  <c r="H35" i="9"/>
  <c r="H34" i="15"/>
  <c r="H34" i="14"/>
  <c r="H34" i="13"/>
  <c r="H34" i="12"/>
  <c r="H33" i="19"/>
  <c r="H33" i="12"/>
  <c r="H33" i="9"/>
  <c r="H32" i="19"/>
  <c r="H32" i="18"/>
  <c r="H32" i="16"/>
  <c r="H32" i="15"/>
  <c r="H32" i="10"/>
  <c r="H31" i="18"/>
  <c r="H31" i="17"/>
  <c r="H31" i="15"/>
  <c r="H31" i="13"/>
  <c r="H31" i="9"/>
  <c r="H30" i="16"/>
  <c r="H30" i="14"/>
  <c r="H30" i="12"/>
  <c r="H29" i="19"/>
  <c r="H29" i="18"/>
  <c r="H29" i="13"/>
  <c r="H29" i="12"/>
  <c r="H29" i="10"/>
  <c r="H28" i="18"/>
  <c r="H28" i="17"/>
  <c r="H28" i="16"/>
  <c r="H28" i="15"/>
  <c r="H28" i="10"/>
  <c r="H28" i="9"/>
  <c r="H27" i="17"/>
  <c r="H27" i="14"/>
  <c r="H27" i="13"/>
  <c r="H27" i="9"/>
  <c r="H26" i="15"/>
  <c r="H26" i="14"/>
  <c r="H26" i="13"/>
  <c r="H26" i="12"/>
  <c r="H25" i="19"/>
  <c r="H25" i="13"/>
  <c r="H25" i="12"/>
  <c r="H25" i="9"/>
  <c r="H24" i="19"/>
  <c r="H24" i="18"/>
  <c r="H24" i="16"/>
  <c r="H23" i="18"/>
  <c r="H23" i="15"/>
  <c r="H23" i="13"/>
  <c r="H23" i="9"/>
  <c r="H22" i="16"/>
  <c r="H22" i="14"/>
  <c r="H22" i="12"/>
  <c r="H21" i="19"/>
  <c r="H21" i="18"/>
  <c r="H21" i="16"/>
  <c r="H21" i="15"/>
  <c r="H21" i="10"/>
  <c r="H21" i="9"/>
  <c r="H20" i="18"/>
  <c r="H20" i="17"/>
  <c r="H20" i="16"/>
  <c r="H20" i="14"/>
  <c r="H20" i="10"/>
  <c r="H19" i="17"/>
  <c r="H19" i="16"/>
  <c r="H19" i="13"/>
  <c r="H19" i="9"/>
  <c r="H18" i="16"/>
  <c r="H18" i="14"/>
  <c r="H18" i="13"/>
  <c r="H18" i="12"/>
  <c r="H17" i="19"/>
  <c r="H17" i="15"/>
  <c r="H17" i="13"/>
  <c r="H16" i="19"/>
  <c r="H16" i="18"/>
  <c r="H16" i="14"/>
  <c r="H16" i="13"/>
  <c r="H16" i="10"/>
  <c r="H15" i="18"/>
  <c r="H15" i="17"/>
  <c r="H15" i="13"/>
  <c r="H15" i="12"/>
  <c r="H15" i="9"/>
  <c r="H14" i="19"/>
  <c r="H14" i="16"/>
  <c r="H14" i="12"/>
  <c r="H14" i="9"/>
  <c r="H13" i="19"/>
  <c r="H13" i="15"/>
  <c r="H13" i="9"/>
  <c r="H12" i="18"/>
  <c r="H12" i="14"/>
  <c r="H12" i="10"/>
  <c r="H11" i="17"/>
  <c r="H11" i="14"/>
  <c r="H11" i="13"/>
  <c r="H11" i="9"/>
  <c r="H10" i="16"/>
  <c r="H10" i="13"/>
  <c r="H10" i="12"/>
  <c r="H10" i="10"/>
  <c r="H9" i="19"/>
  <c r="H9" i="15"/>
  <c r="H9" i="13"/>
  <c r="H8" i="19"/>
  <c r="H8" i="18"/>
  <c r="H8" i="14"/>
  <c r="H8" i="13"/>
  <c r="H8" i="10"/>
  <c r="H7" i="18"/>
  <c r="H7" i="17"/>
  <c r="H7" i="13"/>
  <c r="H7" i="12"/>
  <c r="H7" i="10"/>
  <c r="H7" i="9"/>
  <c r="H6" i="19"/>
  <c r="H6" i="16"/>
  <c r="H6" i="12"/>
  <c r="H6" i="9"/>
  <c r="H5" i="19"/>
  <c r="H5" i="17"/>
  <c r="H5" i="15"/>
  <c r="H5" i="9"/>
  <c r="G58" i="19"/>
  <c r="G58" i="18"/>
  <c r="G58" i="14"/>
  <c r="G58" i="10"/>
  <c r="G57" i="18"/>
  <c r="G57" i="17"/>
  <c r="G57" i="9"/>
  <c r="G56" i="16"/>
  <c r="G56" i="14"/>
  <c r="G56" i="9"/>
  <c r="G55" i="16"/>
  <c r="G55" i="13"/>
  <c r="G54" i="18"/>
  <c r="G54" i="14"/>
  <c r="G54" i="10"/>
  <c r="G54" i="9"/>
  <c r="G53" i="17"/>
  <c r="G53" i="16"/>
  <c r="G53" i="13"/>
  <c r="G53" i="9"/>
  <c r="G52" i="18"/>
  <c r="G52" i="16"/>
  <c r="G52" i="15"/>
  <c r="G52" i="13"/>
  <c r="G51" i="14"/>
  <c r="G51" i="12"/>
  <c r="G50" i="19"/>
  <c r="G50" i="18"/>
  <c r="G50" i="14"/>
  <c r="G50" i="10"/>
  <c r="G49" i="18"/>
  <c r="G49" i="17"/>
  <c r="G49" i="9"/>
  <c r="G48" i="16"/>
  <c r="G48" i="14"/>
  <c r="G48" i="9"/>
  <c r="G47" i="16"/>
  <c r="G47" i="13"/>
  <c r="G46" i="18"/>
  <c r="G46" i="14"/>
  <c r="G46" i="10"/>
  <c r="G46" i="9"/>
  <c r="G45" i="17"/>
  <c r="G45" i="16"/>
  <c r="G45" i="13"/>
  <c r="G45" i="9"/>
  <c r="G44" i="18"/>
  <c r="G44" i="16"/>
  <c r="G44" i="15"/>
  <c r="G44" i="13"/>
  <c r="G43" i="14"/>
  <c r="G43" i="12"/>
  <c r="G42" i="19"/>
  <c r="G42" i="18"/>
  <c r="G42" i="14"/>
  <c r="G42" i="10"/>
  <c r="G41" i="18"/>
  <c r="G41" i="17"/>
  <c r="G41" i="9"/>
  <c r="G40" i="18"/>
  <c r="G40" i="16"/>
  <c r="G40" i="14"/>
  <c r="G40" i="9"/>
  <c r="G39" i="16"/>
  <c r="G39" i="13"/>
  <c r="G39" i="12"/>
  <c r="G38" i="18"/>
  <c r="G38" i="14"/>
  <c r="G38" i="10"/>
  <c r="G38" i="9"/>
  <c r="G37" i="17"/>
  <c r="G37" i="16"/>
  <c r="G37" i="13"/>
  <c r="G37" i="9"/>
  <c r="G36" i="18"/>
  <c r="G36" i="16"/>
  <c r="G36" i="15"/>
  <c r="G36" i="14"/>
  <c r="G36" i="13"/>
  <c r="G35" i="15"/>
  <c r="G35" i="14"/>
  <c r="G35" i="12"/>
  <c r="G34" i="19"/>
  <c r="G34" i="18"/>
  <c r="G34" i="14"/>
  <c r="G34" i="10"/>
  <c r="G33" i="19"/>
  <c r="G33" i="18"/>
  <c r="G33" i="17"/>
  <c r="G33" i="9"/>
  <c r="G32" i="18"/>
  <c r="G32" i="16"/>
  <c r="G32" i="14"/>
  <c r="G32" i="9"/>
  <c r="G31" i="16"/>
  <c r="G31" i="13"/>
  <c r="G31" i="12"/>
  <c r="G30" i="19"/>
  <c r="G30" i="18"/>
  <c r="G30" i="14"/>
  <c r="G30" i="10"/>
  <c r="G30" i="9"/>
  <c r="G29" i="17"/>
  <c r="G29" i="16"/>
  <c r="G29" i="13"/>
  <c r="G29" i="9"/>
  <c r="G28" i="18"/>
  <c r="G28" i="16"/>
  <c r="G28" i="15"/>
  <c r="G28" i="14"/>
  <c r="G28" i="13"/>
  <c r="G27" i="14"/>
  <c r="G27" i="13"/>
  <c r="G27" i="12"/>
  <c r="G26" i="19"/>
  <c r="G26" i="18"/>
  <c r="G26" i="14"/>
  <c r="G26" i="10"/>
  <c r="G25" i="18"/>
  <c r="G25" i="17"/>
  <c r="G25" i="10"/>
  <c r="G25" i="9"/>
  <c r="G24" i="18"/>
  <c r="G24" i="16"/>
  <c r="G24" i="14"/>
  <c r="G24" i="9"/>
  <c r="G23" i="16"/>
  <c r="G23" i="13"/>
  <c r="G23" i="12"/>
  <c r="G22" i="19"/>
  <c r="G22" i="18"/>
  <c r="G22" i="14"/>
  <c r="G22" i="12"/>
  <c r="G22" i="10"/>
  <c r="G22" i="9"/>
  <c r="G21" i="19"/>
  <c r="G21" i="17"/>
  <c r="G21" i="16"/>
  <c r="G21" i="13"/>
  <c r="G21" i="9"/>
  <c r="G20" i="18"/>
  <c r="G20" i="16"/>
  <c r="G20" i="15"/>
  <c r="G20" i="14"/>
  <c r="G20" i="13"/>
  <c r="G20" i="12"/>
  <c r="G19" i="19"/>
  <c r="G19" i="15"/>
  <c r="G19" i="13"/>
  <c r="G19" i="12"/>
  <c r="G18" i="19"/>
  <c r="G18" i="18"/>
  <c r="G18" i="14"/>
  <c r="G18" i="13"/>
  <c r="G18" i="10"/>
  <c r="G17" i="18"/>
  <c r="G17" i="17"/>
  <c r="G17" i="13"/>
  <c r="G17" i="10"/>
  <c r="G17" i="9"/>
  <c r="G16" i="17"/>
  <c r="G16" i="16"/>
  <c r="G16" i="12"/>
  <c r="G16" i="9"/>
  <c r="G15" i="19"/>
  <c r="G15" i="18"/>
  <c r="G15" i="16"/>
  <c r="G15" i="15"/>
  <c r="G15" i="10"/>
  <c r="G15" i="9"/>
  <c r="G14" i="18"/>
  <c r="G14" i="15"/>
  <c r="G14" i="14"/>
  <c r="G14" i="10"/>
  <c r="G13" i="17"/>
  <c r="G13" i="14"/>
  <c r="G13" i="13"/>
  <c r="G13" i="9"/>
  <c r="G12" i="16"/>
  <c r="G12" i="13"/>
  <c r="G12" i="12"/>
  <c r="G11" i="19"/>
  <c r="G11" i="15"/>
  <c r="G11" i="14"/>
  <c r="G11" i="13"/>
  <c r="G11" i="12"/>
  <c r="G10" i="19"/>
  <c r="G10" i="18"/>
  <c r="G10" i="14"/>
  <c r="G10" i="10"/>
  <c r="G9" i="18"/>
  <c r="G9" i="17"/>
  <c r="G9" i="13"/>
  <c r="G9" i="10"/>
  <c r="G9" i="9"/>
  <c r="G8" i="17"/>
  <c r="G8" i="16"/>
  <c r="G8" i="12"/>
  <c r="G8" i="9"/>
  <c r="G7" i="19"/>
  <c r="G7" i="17"/>
  <c r="G7" i="16"/>
  <c r="G7" i="15"/>
  <c r="G7" i="9"/>
  <c r="G6" i="18"/>
  <c r="G6" i="17"/>
  <c r="G6" i="16"/>
  <c r="G6" i="15"/>
  <c r="G6" i="14"/>
  <c r="G6" i="10"/>
  <c r="G6" i="9"/>
  <c r="G5" i="17"/>
  <c r="G5" i="16"/>
  <c r="G5" i="15"/>
  <c r="G5" i="14"/>
  <c r="G5" i="13"/>
  <c r="G5" i="9"/>
  <c r="F58" i="16"/>
  <c r="F58" i="14"/>
  <c r="F58" i="12"/>
  <c r="F58" i="9"/>
  <c r="F57" i="13"/>
  <c r="F56" i="19"/>
  <c r="F56" i="18"/>
  <c r="F56" i="14"/>
  <c r="F56" i="12"/>
  <c r="F56" i="10"/>
  <c r="F56" i="9"/>
  <c r="F55" i="19"/>
  <c r="F55" i="17"/>
  <c r="F55" i="16"/>
  <c r="F55" i="14"/>
  <c r="F54" i="18"/>
  <c r="F54" i="15"/>
  <c r="F54" i="13"/>
  <c r="F53" i="12"/>
  <c r="F52" i="19"/>
  <c r="F52" i="18"/>
  <c r="F52" i="10"/>
  <c r="F51" i="17"/>
  <c r="F50" i="16"/>
  <c r="F50" i="14"/>
  <c r="F50" i="13"/>
  <c r="F49" i="13"/>
  <c r="F49" i="12"/>
  <c r="F48" i="18"/>
  <c r="F48" i="14"/>
  <c r="F48" i="10"/>
  <c r="F48" i="9"/>
  <c r="F47" i="17"/>
  <c r="F47" i="16"/>
  <c r="F47" i="14"/>
  <c r="F47" i="9"/>
  <c r="F46" i="18"/>
  <c r="F46" i="16"/>
  <c r="F46" i="15"/>
  <c r="F46" i="13"/>
  <c r="F46" i="9"/>
  <c r="F45" i="19"/>
  <c r="F45" i="16"/>
  <c r="F45" i="15"/>
  <c r="F45" i="12"/>
  <c r="F44" i="19"/>
  <c r="F44" i="18"/>
  <c r="F44" i="13"/>
  <c r="F44" i="10"/>
  <c r="F43" i="18"/>
  <c r="F43" i="17"/>
  <c r="F43" i="9"/>
  <c r="F42" i="16"/>
  <c r="F42" i="14"/>
  <c r="F42" i="9"/>
  <c r="F41" i="16"/>
  <c r="F41" i="13"/>
  <c r="F40" i="18"/>
  <c r="F40" i="14"/>
  <c r="F40" i="10"/>
  <c r="F40" i="9"/>
  <c r="F39" i="19"/>
  <c r="F39" i="18"/>
  <c r="F39" i="17"/>
  <c r="F39" i="14"/>
  <c r="F39" i="13"/>
  <c r="F39" i="10"/>
  <c r="F39" i="9"/>
  <c r="F38" i="18"/>
  <c r="F38" i="16"/>
  <c r="F38" i="15"/>
  <c r="F38" i="13"/>
  <c r="F38" i="10"/>
  <c r="F37" i="17"/>
  <c r="F37" i="15"/>
  <c r="F37" i="12"/>
  <c r="F36" i="19"/>
  <c r="F36" i="18"/>
  <c r="F36" i="16"/>
  <c r="F36" i="13"/>
  <c r="F36" i="12"/>
  <c r="F36" i="10"/>
  <c r="F35" i="18"/>
  <c r="F35" i="17"/>
  <c r="F35" i="13"/>
  <c r="F35" i="12"/>
  <c r="F35" i="10"/>
  <c r="F35" i="9"/>
  <c r="F34" i="19"/>
  <c r="F34" i="16"/>
  <c r="F34" i="14"/>
  <c r="F34" i="9"/>
  <c r="F33" i="18"/>
  <c r="F33" i="15"/>
  <c r="F33" i="13"/>
  <c r="F32" i="15"/>
  <c r="F32" i="14"/>
  <c r="F32" i="12"/>
  <c r="F32" i="10"/>
  <c r="F31" i="19"/>
  <c r="F31" i="18"/>
  <c r="F31" i="17"/>
  <c r="F31" i="14"/>
  <c r="F31" i="13"/>
  <c r="F31" i="9"/>
  <c r="F30" i="16"/>
  <c r="F30" i="15"/>
  <c r="F30" i="10"/>
  <c r="F29" i="17"/>
  <c r="F29" i="15"/>
  <c r="F29" i="9"/>
  <c r="F28" i="19"/>
  <c r="F28" i="16"/>
  <c r="F28" i="13"/>
  <c r="F28" i="10"/>
  <c r="F27" i="18"/>
  <c r="F27" i="17"/>
  <c r="F27" i="13"/>
  <c r="F27" i="10"/>
  <c r="F27" i="9"/>
  <c r="F26" i="16"/>
  <c r="F26" i="14"/>
  <c r="F26" i="9"/>
  <c r="F25" i="18"/>
  <c r="F25" i="16"/>
  <c r="F25" i="15"/>
  <c r="F25" i="13"/>
  <c r="F24" i="15"/>
  <c r="F24" i="14"/>
  <c r="F24" i="12"/>
  <c r="F24" i="10"/>
  <c r="F23" i="19"/>
  <c r="F23" i="18"/>
  <c r="F23" i="17"/>
  <c r="F23" i="14"/>
  <c r="F23" i="13"/>
  <c r="F23" i="9"/>
  <c r="F22" i="16"/>
  <c r="F22" i="15"/>
  <c r="F22" i="13"/>
  <c r="F22" i="12"/>
  <c r="F21" i="19"/>
  <c r="F21" i="15"/>
  <c r="F21" i="14"/>
  <c r="F21" i="12"/>
  <c r="F20" i="19"/>
  <c r="F20" i="18"/>
  <c r="F20" i="14"/>
  <c r="F20" i="12"/>
  <c r="F20" i="10"/>
  <c r="F19" i="19"/>
  <c r="F19" i="18"/>
  <c r="F19" i="17"/>
  <c r="F19" i="13"/>
  <c r="F19" i="10"/>
  <c r="F19" i="9"/>
  <c r="F18" i="18"/>
  <c r="F18" i="17"/>
  <c r="F18" i="16"/>
  <c r="F18" i="12"/>
  <c r="F18" i="10"/>
  <c r="F18" i="9"/>
  <c r="F17" i="19"/>
  <c r="F17" i="17"/>
  <c r="F17" i="16"/>
  <c r="F17" i="15"/>
  <c r="F17" i="10"/>
  <c r="F16" i="18"/>
  <c r="F16" i="17"/>
  <c r="F16" i="16"/>
  <c r="F16" i="15"/>
  <c r="F16" i="14"/>
  <c r="F16" i="10"/>
  <c r="F15" i="17"/>
  <c r="F15" i="15"/>
  <c r="F15" i="14"/>
  <c r="F15" i="13"/>
  <c r="F15" i="9"/>
  <c r="F14" i="16"/>
  <c r="F14" i="14"/>
  <c r="F14" i="13"/>
  <c r="F14" i="12"/>
  <c r="F13" i="19"/>
  <c r="F13" i="15"/>
  <c r="F13" i="12"/>
  <c r="F12" i="19"/>
  <c r="F12" i="18"/>
  <c r="F12" i="14"/>
  <c r="F12" i="10"/>
  <c r="F11" i="19"/>
  <c r="F11" i="18"/>
  <c r="F11" i="17"/>
  <c r="F11" i="13"/>
  <c r="F11" i="12"/>
  <c r="F11" i="10"/>
  <c r="F11" i="9"/>
  <c r="F10" i="18"/>
  <c r="F10" i="17"/>
  <c r="F10" i="16"/>
  <c r="F10" i="12"/>
  <c r="F10" i="9"/>
  <c r="F9" i="19"/>
  <c r="F9" i="17"/>
  <c r="F9" i="16"/>
  <c r="F9" i="15"/>
  <c r="F8" i="18"/>
  <c r="F8" i="16"/>
  <c r="F8" i="15"/>
  <c r="F8" i="14"/>
  <c r="F8" i="10"/>
  <c r="F8" i="9"/>
  <c r="F7" i="17"/>
  <c r="F7" i="15"/>
  <c r="F7" i="14"/>
  <c r="F7" i="13"/>
  <c r="F7" i="9"/>
  <c r="F6" i="16"/>
  <c r="F6" i="14"/>
  <c r="F6" i="13"/>
  <c r="F6" i="12"/>
  <c r="F5" i="19"/>
  <c r="F5" i="15"/>
  <c r="F5" i="14"/>
  <c r="F5" i="13"/>
  <c r="F5" i="12"/>
  <c r="E58" i="14"/>
  <c r="E58" i="12"/>
  <c r="E57" i="19"/>
  <c r="E57" i="14"/>
  <c r="E57" i="13"/>
  <c r="E56" i="13"/>
  <c r="E56" i="9"/>
  <c r="E55" i="19"/>
  <c r="E55" i="16"/>
  <c r="E55" i="12"/>
  <c r="E54" i="19"/>
  <c r="E54" i="18"/>
  <c r="E54" i="16"/>
  <c r="E54" i="15"/>
  <c r="E54" i="10"/>
  <c r="E53" i="18"/>
  <c r="E53" i="14"/>
  <c r="E53" i="10"/>
  <c r="E53" i="9"/>
  <c r="E52" i="13"/>
  <c r="E52" i="12"/>
  <c r="E51" i="16"/>
  <c r="E51" i="12"/>
  <c r="E50" i="19"/>
  <c r="E50" i="16"/>
  <c r="E50" i="15"/>
  <c r="E49" i="19"/>
  <c r="E49" i="18"/>
  <c r="E48" i="18"/>
  <c r="E48" i="17"/>
  <c r="E48" i="13"/>
  <c r="E48" i="12"/>
  <c r="E48" i="10"/>
  <c r="E47" i="19"/>
  <c r="E47" i="17"/>
  <c r="E47" i="12"/>
  <c r="E47" i="9"/>
  <c r="E46" i="18"/>
  <c r="E46" i="16"/>
  <c r="E46" i="10"/>
  <c r="E45" i="17"/>
  <c r="E45" i="10"/>
  <c r="E45" i="9"/>
  <c r="E44" i="18"/>
  <c r="E44" i="16"/>
  <c r="E44" i="14"/>
  <c r="E44" i="13"/>
  <c r="E44" i="10"/>
  <c r="E43" i="16"/>
  <c r="E43" i="15"/>
  <c r="E43" i="13"/>
  <c r="E43" i="12"/>
  <c r="E42" i="19"/>
  <c r="E42" i="16"/>
  <c r="E42" i="15"/>
  <c r="E42" i="14"/>
  <c r="E42" i="12"/>
  <c r="E41" i="19"/>
  <c r="E41" i="18"/>
  <c r="E41" i="15"/>
  <c r="E41" i="14"/>
  <c r="E41" i="13"/>
  <c r="E40" i="18"/>
  <c r="E40" i="17"/>
  <c r="E40" i="14"/>
  <c r="E40" i="13"/>
  <c r="E40" i="12"/>
  <c r="E40" i="10"/>
  <c r="E40" i="9"/>
  <c r="E39" i="19"/>
  <c r="E39" i="17"/>
  <c r="E39" i="15"/>
  <c r="E39" i="12"/>
  <c r="E39" i="9"/>
  <c r="E38" i="19"/>
  <c r="E38" i="18"/>
  <c r="E38" i="16"/>
  <c r="E38" i="15"/>
  <c r="E38" i="10"/>
  <c r="E37" i="18"/>
  <c r="E37" i="17"/>
  <c r="E37" i="15"/>
  <c r="E37" i="10"/>
  <c r="E37" i="9"/>
  <c r="E36" i="17"/>
  <c r="E36" i="16"/>
  <c r="E36" i="14"/>
  <c r="E36" i="10"/>
  <c r="E36" i="9"/>
  <c r="E35" i="16"/>
  <c r="E35" i="15"/>
  <c r="E35" i="13"/>
  <c r="E35" i="12"/>
  <c r="E34" i="19"/>
  <c r="E34" i="15"/>
  <c r="E34" i="14"/>
  <c r="E34" i="12"/>
  <c r="E33" i="19"/>
  <c r="E33" i="18"/>
  <c r="E33" i="14"/>
  <c r="E33" i="13"/>
  <c r="E32" i="18"/>
  <c r="E32" i="17"/>
  <c r="E32" i="13"/>
  <c r="E32" i="12"/>
  <c r="E32" i="10"/>
  <c r="E31" i="19"/>
  <c r="E31" i="17"/>
  <c r="E31" i="16"/>
  <c r="E31" i="12"/>
  <c r="E31" i="9"/>
  <c r="E30" i="18"/>
  <c r="E30" i="16"/>
  <c r="E30" i="15"/>
  <c r="E30" i="10"/>
  <c r="E29" i="19"/>
  <c r="E29" i="18"/>
  <c r="E29" i="17"/>
  <c r="E29" i="15"/>
  <c r="E29" i="14"/>
  <c r="E29" i="10"/>
  <c r="E29" i="9"/>
  <c r="E28" i="17"/>
  <c r="E28" i="16"/>
  <c r="E28" i="14"/>
  <c r="E28" i="9"/>
  <c r="E27" i="16"/>
  <c r="E27" i="15"/>
  <c r="E27" i="13"/>
  <c r="E27" i="12"/>
  <c r="E26" i="19"/>
  <c r="E26" i="15"/>
  <c r="E26" i="14"/>
  <c r="E26" i="12"/>
  <c r="E25" i="19"/>
  <c r="E25" i="14"/>
  <c r="E25" i="13"/>
  <c r="E25" i="10"/>
  <c r="E25" i="9"/>
  <c r="E24" i="18"/>
  <c r="E24" i="17"/>
  <c r="E24" i="13"/>
  <c r="E24" i="12"/>
  <c r="E24" i="10"/>
  <c r="E23" i="19"/>
  <c r="E23" i="17"/>
  <c r="E23" i="16"/>
  <c r="E23" i="12"/>
  <c r="E23" i="9"/>
  <c r="E22" i="19"/>
  <c r="E22" i="18"/>
  <c r="E22" i="16"/>
  <c r="E22" i="15"/>
  <c r="E22" i="10"/>
  <c r="E21" i="18"/>
  <c r="E21" i="17"/>
  <c r="E21" i="15"/>
  <c r="E21" i="14"/>
  <c r="E21" i="10"/>
  <c r="E21" i="9"/>
  <c r="E20" i="17"/>
  <c r="E20" i="16"/>
  <c r="E20" i="14"/>
  <c r="E20" i="13"/>
  <c r="E20" i="9"/>
  <c r="E19" i="16"/>
  <c r="E19" i="15"/>
  <c r="E19" i="13"/>
  <c r="E19" i="12"/>
  <c r="E18" i="19"/>
  <c r="E18" i="16"/>
  <c r="E18" i="15"/>
  <c r="E18" i="14"/>
  <c r="E18" i="12"/>
  <c r="E17" i="19"/>
  <c r="E17" i="18"/>
  <c r="E17" i="15"/>
  <c r="E17" i="13"/>
  <c r="E17" i="10"/>
  <c r="E16" i="18"/>
  <c r="E16" i="17"/>
  <c r="E16" i="14"/>
  <c r="E16" i="13"/>
  <c r="E16" i="12"/>
  <c r="E16" i="10"/>
  <c r="E16" i="9"/>
  <c r="E15" i="19"/>
  <c r="E15" i="17"/>
  <c r="E15" i="16"/>
  <c r="E15" i="12"/>
  <c r="E15" i="9"/>
  <c r="E14" i="19"/>
  <c r="E14" i="18"/>
  <c r="E14" i="16"/>
  <c r="E14" i="15"/>
  <c r="E14" i="10"/>
  <c r="E13" i="18"/>
  <c r="E13" i="17"/>
  <c r="E13" i="15"/>
  <c r="E13" i="14"/>
  <c r="E13" i="10"/>
  <c r="E13" i="9"/>
  <c r="E12" i="17"/>
  <c r="E12" i="16"/>
  <c r="E12" i="14"/>
  <c r="E12" i="13"/>
  <c r="E11" i="17"/>
  <c r="E11" i="16"/>
  <c r="E11" i="15"/>
  <c r="E11" i="13"/>
  <c r="E11" i="12"/>
  <c r="E10" i="19"/>
  <c r="E10" i="15"/>
  <c r="E10" i="14"/>
  <c r="E10" i="12"/>
  <c r="E9" i="19"/>
  <c r="E9" i="18"/>
  <c r="E9" i="17"/>
  <c r="E9" i="15"/>
  <c r="E9" i="14"/>
  <c r="E9" i="13"/>
  <c r="E9" i="10"/>
  <c r="E8" i="18"/>
  <c r="E8" i="17"/>
  <c r="E8" i="13"/>
  <c r="E8" i="12"/>
  <c r="E8" i="10"/>
  <c r="E8" i="9"/>
  <c r="E7" i="19"/>
  <c r="E7" i="17"/>
  <c r="E7" i="16"/>
  <c r="E7" i="13"/>
  <c r="E7" i="12"/>
  <c r="E7" i="9"/>
  <c r="E6" i="19"/>
  <c r="E6" i="18"/>
  <c r="E6" i="16"/>
  <c r="E6" i="15"/>
  <c r="E6" i="12"/>
  <c r="E6" i="10"/>
  <c r="E5" i="19"/>
  <c r="E5" i="18"/>
  <c r="E5" i="17"/>
  <c r="E5" i="15"/>
  <c r="E5" i="14"/>
  <c r="E5" i="10"/>
  <c r="E5" i="9"/>
  <c r="D58" i="16"/>
  <c r="D58" i="15"/>
  <c r="D58" i="13"/>
  <c r="D58" i="12"/>
  <c r="D58" i="10"/>
  <c r="D57" i="19"/>
  <c r="D57" i="14"/>
  <c r="D57" i="12"/>
  <c r="D56" i="19"/>
  <c r="D56" i="18"/>
  <c r="D56" i="13"/>
  <c r="D56" i="10"/>
  <c r="D55" i="19"/>
  <c r="D55" i="18"/>
  <c r="D55" i="17"/>
  <c r="D55" i="12"/>
  <c r="D55" i="9"/>
  <c r="D54" i="19"/>
  <c r="D54" i="18"/>
  <c r="D54" i="17"/>
  <c r="D54" i="16"/>
  <c r="D54" i="14"/>
  <c r="D54" i="9"/>
  <c r="D53" i="18"/>
  <c r="D53" i="15"/>
  <c r="D53" i="13"/>
  <c r="D53" i="12"/>
  <c r="D53" i="10"/>
  <c r="D52" i="17"/>
  <c r="D52" i="12"/>
  <c r="D51" i="19"/>
  <c r="D51" i="18"/>
  <c r="D51" i="16"/>
  <c r="D51" i="14"/>
  <c r="D51" i="10"/>
  <c r="D51" i="9"/>
  <c r="D50" i="18"/>
  <c r="D50" i="16"/>
  <c r="D50" i="15"/>
  <c r="D50" i="13"/>
  <c r="D50" i="10"/>
  <c r="D50" i="9"/>
  <c r="D49" i="19"/>
  <c r="D49" i="15"/>
  <c r="D49" i="14"/>
  <c r="D49" i="12"/>
  <c r="D48" i="18"/>
  <c r="D48" i="16"/>
  <c r="D48" i="15"/>
  <c r="D48" i="14"/>
  <c r="D48" i="13"/>
  <c r="D48" i="10"/>
  <c r="D47" i="19"/>
  <c r="D47" i="18"/>
  <c r="D47" i="17"/>
  <c r="D47" i="13"/>
  <c r="D47" i="12"/>
  <c r="D47" i="9"/>
  <c r="D46" i="19"/>
  <c r="D46" i="18"/>
  <c r="D46" i="17"/>
  <c r="D46" i="16"/>
  <c r="D46" i="14"/>
  <c r="D46" i="13"/>
  <c r="D46" i="12"/>
  <c r="D46" i="9"/>
  <c r="D45" i="17"/>
  <c r="D45" i="16"/>
  <c r="D45" i="15"/>
  <c r="D45" i="13"/>
  <c r="D45" i="12"/>
  <c r="D45" i="10"/>
  <c r="D44" i="18"/>
  <c r="D44" i="17"/>
  <c r="D44" i="15"/>
  <c r="D44" i="14"/>
  <c r="D44" i="12"/>
  <c r="D44" i="9"/>
  <c r="D43" i="19"/>
  <c r="D43" i="18"/>
  <c r="D43" i="17"/>
  <c r="D43" i="16"/>
  <c r="D43" i="14"/>
  <c r="D43" i="13"/>
  <c r="D43" i="9"/>
  <c r="D42" i="18"/>
  <c r="D42" i="17"/>
  <c r="D42" i="16"/>
  <c r="D42" i="15"/>
  <c r="D42" i="10"/>
  <c r="D42" i="9"/>
  <c r="D41" i="19"/>
  <c r="D41" i="17"/>
  <c r="D41" i="15"/>
  <c r="D41" i="14"/>
  <c r="D41" i="12"/>
  <c r="D40" i="19"/>
  <c r="D40" i="18"/>
  <c r="D40" i="15"/>
  <c r="D40" i="14"/>
  <c r="D40" i="13"/>
  <c r="D40" i="10"/>
  <c r="D39" i="18"/>
  <c r="D39" i="17"/>
  <c r="D39" i="13"/>
  <c r="D39" i="12"/>
  <c r="D39" i="9"/>
  <c r="D38" i="19"/>
  <c r="D38" i="17"/>
  <c r="D38" i="16"/>
  <c r="D38" i="12"/>
  <c r="D38" i="9"/>
  <c r="D37" i="18"/>
  <c r="D37" i="15"/>
  <c r="D37" i="13"/>
  <c r="D37" i="10"/>
  <c r="D36" i="19"/>
  <c r="D36" i="18"/>
  <c r="D36" i="16"/>
  <c r="D36" i="15"/>
  <c r="D36" i="14"/>
  <c r="D35" i="19"/>
  <c r="D35" i="18"/>
  <c r="D35" i="17"/>
  <c r="D35" i="14"/>
  <c r="D35" i="13"/>
  <c r="D35" i="9"/>
  <c r="D34" i="18"/>
  <c r="D34" i="17"/>
  <c r="D34" i="16"/>
  <c r="D34" i="13"/>
  <c r="D34" i="12"/>
  <c r="D34" i="10"/>
  <c r="D33" i="19"/>
  <c r="D33" i="17"/>
  <c r="D33" i="15"/>
  <c r="D33" i="14"/>
  <c r="D33" i="12"/>
  <c r="D33" i="9"/>
  <c r="D32" i="16"/>
  <c r="D32" i="15"/>
  <c r="D32" i="14"/>
  <c r="D32" i="13"/>
  <c r="D32" i="10"/>
  <c r="D31" i="18"/>
  <c r="D31" i="15"/>
  <c r="D31" i="13"/>
  <c r="D31" i="12"/>
  <c r="D31" i="10"/>
  <c r="D31" i="9"/>
  <c r="D30" i="19"/>
  <c r="D30" i="18"/>
  <c r="D30" i="17"/>
  <c r="D30" i="16"/>
  <c r="D30" i="14"/>
  <c r="D30" i="13"/>
  <c r="D30" i="12"/>
  <c r="D30" i="9"/>
  <c r="D29" i="19"/>
  <c r="D29" i="18"/>
  <c r="D29" i="16"/>
  <c r="D29" i="15"/>
  <c r="D29" i="12"/>
  <c r="D29" i="10"/>
  <c r="D29" i="9"/>
  <c r="D28" i="17"/>
  <c r="D28" i="15"/>
  <c r="D28" i="14"/>
  <c r="D28" i="12"/>
  <c r="D27" i="19"/>
  <c r="D27" i="18"/>
  <c r="D27" i="17"/>
  <c r="D27" i="16"/>
  <c r="D27" i="14"/>
  <c r="D27" i="13"/>
  <c r="D27" i="10"/>
  <c r="D27" i="9"/>
  <c r="D26" i="18"/>
  <c r="D26" i="17"/>
  <c r="D26" i="16"/>
  <c r="D26" i="13"/>
  <c r="D26" i="12"/>
  <c r="D26" i="10"/>
  <c r="D26" i="9"/>
  <c r="D25" i="19"/>
  <c r="D25" i="17"/>
  <c r="D25" i="16"/>
  <c r="D25" i="14"/>
  <c r="D25" i="12"/>
  <c r="D24" i="18"/>
  <c r="D24" i="16"/>
  <c r="D24" i="15"/>
  <c r="D24" i="14"/>
  <c r="D24" i="13"/>
  <c r="D24" i="12"/>
  <c r="D24" i="10"/>
  <c r="D23" i="17"/>
  <c r="D23" i="14"/>
  <c r="D23" i="13"/>
  <c r="D23" i="12"/>
  <c r="D22" i="19"/>
  <c r="D22" i="17"/>
  <c r="D22" i="16"/>
  <c r="D22" i="14"/>
  <c r="D22" i="12"/>
  <c r="D22" i="9"/>
  <c r="D21" i="19"/>
  <c r="D21" i="18"/>
  <c r="D21" i="16"/>
  <c r="D21" i="15"/>
  <c r="D21" i="12"/>
  <c r="D21" i="10"/>
  <c r="D21" i="9"/>
  <c r="D20" i="18"/>
  <c r="D20" i="15"/>
  <c r="D20" i="14"/>
  <c r="D20" i="10"/>
  <c r="D20" i="9"/>
  <c r="D19" i="19"/>
  <c r="D19" i="17"/>
  <c r="D19" i="16"/>
  <c r="D19" i="14"/>
  <c r="D19" i="13"/>
  <c r="D19" i="10"/>
  <c r="D18" i="18"/>
  <c r="D18" i="17"/>
  <c r="D18" i="15"/>
  <c r="D18" i="12"/>
  <c r="D18" i="10"/>
  <c r="D18" i="9"/>
  <c r="D17" i="19"/>
  <c r="D17" i="17"/>
  <c r="D17" i="16"/>
  <c r="D17" i="15"/>
  <c r="D17" i="12"/>
  <c r="D17" i="9"/>
  <c r="D16" i="19"/>
  <c r="D16" i="18"/>
  <c r="D16" i="16"/>
  <c r="D16" i="15"/>
  <c r="D16" i="14"/>
  <c r="D16" i="13"/>
  <c r="D16" i="10"/>
  <c r="D15" i="19"/>
  <c r="D15" i="15"/>
  <c r="D15" i="14"/>
  <c r="D15" i="13"/>
  <c r="D15" i="12"/>
  <c r="D15" i="10"/>
  <c r="D14" i="19"/>
  <c r="D14" i="17"/>
  <c r="D14" i="14"/>
  <c r="D14" i="13"/>
  <c r="D14" i="12"/>
  <c r="D14" i="9"/>
  <c r="D13" i="19"/>
  <c r="D13" i="18"/>
  <c r="D13" i="17"/>
  <c r="D13" i="16"/>
  <c r="D13" i="13"/>
  <c r="D13" i="12"/>
  <c r="D13" i="10"/>
  <c r="D12" i="19"/>
  <c r="D12" i="18"/>
  <c r="D12" i="17"/>
  <c r="D12" i="15"/>
  <c r="D12" i="14"/>
  <c r="D12" i="12"/>
  <c r="D12" i="9"/>
  <c r="D11" i="17"/>
  <c r="D11" i="16"/>
  <c r="D11" i="15"/>
  <c r="D11" i="14"/>
  <c r="D11" i="13"/>
  <c r="D11" i="10"/>
  <c r="D10" i="18"/>
  <c r="D10" i="17"/>
  <c r="D10" i="16"/>
  <c r="D10" i="15"/>
  <c r="D10" i="13"/>
  <c r="D10" i="12"/>
  <c r="D10" i="10"/>
  <c r="D10" i="9"/>
  <c r="D9" i="19"/>
  <c r="D9" i="17"/>
  <c r="D9" i="16"/>
  <c r="D9" i="12"/>
  <c r="D9" i="9"/>
  <c r="D8" i="19"/>
  <c r="D8" i="18"/>
  <c r="D8" i="14"/>
  <c r="D8" i="13"/>
  <c r="D8" i="10"/>
  <c r="D7" i="18"/>
  <c r="D7" i="17"/>
  <c r="D7" i="15"/>
  <c r="D7" i="14"/>
  <c r="D7" i="13"/>
  <c r="D7" i="12"/>
  <c r="D7" i="10"/>
  <c r="D7" i="9"/>
  <c r="D6" i="19"/>
  <c r="D6" i="18"/>
  <c r="D6" i="17"/>
  <c r="D6" i="16"/>
  <c r="D6" i="14"/>
  <c r="D6" i="12"/>
  <c r="D6" i="9"/>
  <c r="D5" i="19"/>
  <c r="D5" i="18"/>
  <c r="D5" i="16"/>
  <c r="D5" i="15"/>
  <c r="D5" i="10"/>
  <c r="D5" i="9"/>
  <c r="C58" i="19"/>
  <c r="C58" i="18"/>
  <c r="C58" i="16"/>
  <c r="C58" i="14"/>
  <c r="C58" i="10"/>
  <c r="C57" i="18"/>
  <c r="C57" i="17"/>
  <c r="C57" i="15"/>
  <c r="C57" i="14"/>
  <c r="C57" i="13"/>
  <c r="C57" i="10"/>
  <c r="C56" i="17"/>
  <c r="C56" i="16"/>
  <c r="C56" i="14"/>
  <c r="C56" i="12"/>
  <c r="C55" i="19"/>
  <c r="C55" i="16"/>
  <c r="C55" i="15"/>
  <c r="C55" i="13"/>
  <c r="C54" i="19"/>
  <c r="C54" i="18"/>
  <c r="C54" i="15"/>
  <c r="C54" i="14"/>
  <c r="C54" i="12"/>
  <c r="C54" i="10"/>
  <c r="C53" i="19"/>
  <c r="C53" i="18"/>
  <c r="C53" i="17"/>
  <c r="C53" i="15"/>
  <c r="C53" i="14"/>
  <c r="C53" i="13"/>
  <c r="C52" i="18"/>
  <c r="C52" i="17"/>
  <c r="C52" i="16"/>
  <c r="C52" i="13"/>
  <c r="C52" i="12"/>
  <c r="C52" i="10"/>
  <c r="C51" i="19"/>
  <c r="C51" i="17"/>
  <c r="C51" i="16"/>
  <c r="C51" i="15"/>
  <c r="C51" i="12"/>
  <c r="C50" i="19"/>
  <c r="C50" i="18"/>
  <c r="C50" i="16"/>
  <c r="C50" i="15"/>
  <c r="C50" i="14"/>
  <c r="C50" i="10"/>
  <c r="C49" i="19"/>
  <c r="C49" i="18"/>
  <c r="C49" i="17"/>
  <c r="C49" i="15"/>
  <c r="C49" i="13"/>
  <c r="C49" i="10"/>
  <c r="C48" i="17"/>
  <c r="C48" i="16"/>
  <c r="C48" i="14"/>
  <c r="C48" i="13"/>
  <c r="C48" i="12"/>
  <c r="C48" i="10"/>
  <c r="C47" i="19"/>
  <c r="C47" i="16"/>
  <c r="C47" i="15"/>
  <c r="C47" i="13"/>
  <c r="C47" i="12"/>
  <c r="C46" i="18"/>
  <c r="C46" i="15"/>
  <c r="C46" i="14"/>
  <c r="C46" i="12"/>
  <c r="C46" i="10"/>
  <c r="C45" i="19"/>
  <c r="C45" i="18"/>
  <c r="C45" i="17"/>
  <c r="C45" i="14"/>
  <c r="C45" i="13"/>
  <c r="C45" i="10"/>
  <c r="C44" i="18"/>
  <c r="C44" i="17"/>
  <c r="C44" i="16"/>
  <c r="C44" i="13"/>
  <c r="C44" i="12"/>
  <c r="C44" i="10"/>
  <c r="C43" i="19"/>
  <c r="C43" i="17"/>
  <c r="C43" i="16"/>
  <c r="C43" i="15"/>
  <c r="C43" i="12"/>
  <c r="C42" i="19"/>
  <c r="C42" i="18"/>
  <c r="C42" i="16"/>
  <c r="C42" i="14"/>
  <c r="C42" i="10"/>
  <c r="C41" i="18"/>
  <c r="C41" i="17"/>
  <c r="C41" i="15"/>
  <c r="C41" i="14"/>
  <c r="C41" i="13"/>
  <c r="C41" i="10"/>
  <c r="C40" i="17"/>
  <c r="C40" i="16"/>
  <c r="C40" i="14"/>
  <c r="C40" i="12"/>
  <c r="C39" i="19"/>
  <c r="C39" i="16"/>
  <c r="C39" i="15"/>
  <c r="C39" i="13"/>
  <c r="C38" i="19"/>
  <c r="C38" i="18"/>
  <c r="C38" i="15"/>
  <c r="C38" i="14"/>
  <c r="C38" i="12"/>
  <c r="C38" i="10"/>
  <c r="C37" i="19"/>
  <c r="C37" i="18"/>
  <c r="C37" i="17"/>
  <c r="C37" i="14"/>
  <c r="C37" i="13"/>
  <c r="C36" i="18"/>
  <c r="C36" i="17"/>
  <c r="C36" i="16"/>
  <c r="C36" i="13"/>
  <c r="C36" i="12"/>
  <c r="C36" i="10"/>
  <c r="C35" i="19"/>
  <c r="C35" i="17"/>
  <c r="C35" i="16"/>
  <c r="C35" i="15"/>
  <c r="C35" i="12"/>
  <c r="C34" i="19"/>
  <c r="C34" i="18"/>
  <c r="C34" i="16"/>
  <c r="C34" i="15"/>
  <c r="C34" i="14"/>
  <c r="C34" i="10"/>
  <c r="C33" i="18"/>
  <c r="C33" i="17"/>
  <c r="C33" i="15"/>
  <c r="C33" i="13"/>
  <c r="C33" i="10"/>
  <c r="C32" i="17"/>
  <c r="C32" i="16"/>
  <c r="C32" i="14"/>
  <c r="C32" i="13"/>
  <c r="C32" i="12"/>
  <c r="C31" i="19"/>
  <c r="C31" i="16"/>
  <c r="C31" i="15"/>
  <c r="C31" i="13"/>
  <c r="C31" i="12"/>
  <c r="C30" i="19"/>
  <c r="C30" i="18"/>
  <c r="C30" i="15"/>
  <c r="C30" i="14"/>
  <c r="C30" i="12"/>
  <c r="C30" i="10"/>
  <c r="C29" i="19"/>
  <c r="C29" i="18"/>
  <c r="C29" i="17"/>
  <c r="C29" i="15"/>
  <c r="C29" i="14"/>
  <c r="C29" i="13"/>
  <c r="C29" i="10"/>
  <c r="C28" i="18"/>
  <c r="C28" i="17"/>
  <c r="C28" i="16"/>
  <c r="C28" i="13"/>
  <c r="C28" i="12"/>
  <c r="C28" i="10"/>
  <c r="C27" i="19"/>
  <c r="C27" i="17"/>
  <c r="C27" i="16"/>
  <c r="C27" i="15"/>
  <c r="C27" i="12"/>
  <c r="C26" i="19"/>
  <c r="C26" i="18"/>
  <c r="C26" i="16"/>
  <c r="C26" i="15"/>
  <c r="C26" i="14"/>
  <c r="C26" i="10"/>
  <c r="C25" i="18"/>
  <c r="C25" i="17"/>
  <c r="C25" i="15"/>
  <c r="C25" i="14"/>
  <c r="C25" i="13"/>
  <c r="C25" i="10"/>
  <c r="C24" i="17"/>
  <c r="C24" i="16"/>
  <c r="C24" i="14"/>
  <c r="C24" i="13"/>
  <c r="C24" i="12"/>
  <c r="C23" i="19"/>
  <c r="C23" i="16"/>
  <c r="C23" i="15"/>
  <c r="C23" i="13"/>
  <c r="C23" i="12"/>
  <c r="C22" i="19"/>
  <c r="C22" i="18"/>
  <c r="C22" i="15"/>
  <c r="C22" i="14"/>
  <c r="C22" i="12"/>
  <c r="C22" i="10"/>
  <c r="C21" i="19"/>
  <c r="C21" i="18"/>
  <c r="C21" i="17"/>
  <c r="C21" i="15"/>
  <c r="C21" i="14"/>
  <c r="C21" i="10"/>
  <c r="C20" i="18"/>
  <c r="C20" i="17"/>
  <c r="C20" i="16"/>
  <c r="C20" i="13"/>
  <c r="C20" i="12"/>
  <c r="C20" i="10"/>
  <c r="C19" i="19"/>
  <c r="C19" i="17"/>
  <c r="C19" i="16"/>
  <c r="C19" i="15"/>
  <c r="C19" i="12"/>
  <c r="B58" i="19"/>
  <c r="B58" i="17"/>
  <c r="B58" i="16"/>
  <c r="B58" i="14"/>
  <c r="B58" i="13"/>
  <c r="B58" i="9"/>
  <c r="B57" i="19"/>
  <c r="B57" i="18"/>
  <c r="B57" i="16"/>
  <c r="B57" i="15"/>
  <c r="B57" i="13"/>
  <c r="B57" i="10"/>
  <c r="B56" i="19"/>
  <c r="B56" i="17"/>
  <c r="B56" i="14"/>
  <c r="B56" i="12"/>
  <c r="B56" i="10"/>
  <c r="B56" i="9"/>
  <c r="B55" i="17"/>
  <c r="B55" i="16"/>
  <c r="B55" i="14"/>
  <c r="B55" i="13"/>
  <c r="B55" i="10"/>
  <c r="B55" i="9"/>
  <c r="B54" i="18"/>
  <c r="B54" i="17"/>
  <c r="B54" i="16"/>
  <c r="B54" i="13"/>
  <c r="B54" i="12"/>
  <c r="B54" i="10"/>
  <c r="B54" i="9"/>
  <c r="B53" i="19"/>
  <c r="B53" i="17"/>
  <c r="B53" i="15"/>
  <c r="B53" i="14"/>
  <c r="B53" i="12"/>
  <c r="B53" i="9"/>
  <c r="B52" i="19"/>
  <c r="B52" i="18"/>
  <c r="B52" i="16"/>
  <c r="B52" i="14"/>
  <c r="B52" i="13"/>
  <c r="B52" i="10"/>
  <c r="B51" i="18"/>
  <c r="B51" i="17"/>
  <c r="B51" i="15"/>
  <c r="B51" i="14"/>
  <c r="B51" i="13"/>
  <c r="B51" i="12"/>
  <c r="B51" i="10"/>
  <c r="B51" i="9"/>
  <c r="B50" i="19"/>
  <c r="B50" i="18"/>
  <c r="B50" i="16"/>
  <c r="B50" i="14"/>
  <c r="B50" i="13"/>
  <c r="B50" i="12"/>
  <c r="B50" i="9"/>
  <c r="B49" i="19"/>
  <c r="B49" i="18"/>
  <c r="B49" i="16"/>
  <c r="B49" i="15"/>
  <c r="B49" i="12"/>
  <c r="B49" i="10"/>
  <c r="B48" i="18"/>
  <c r="B48" i="17"/>
  <c r="B48" i="15"/>
  <c r="B48" i="14"/>
  <c r="B48" i="12"/>
  <c r="B48" i="10"/>
  <c r="B48" i="9"/>
  <c r="B47" i="19"/>
  <c r="B47" i="17"/>
  <c r="B47" i="16"/>
  <c r="B47" i="13"/>
  <c r="B47" i="10"/>
  <c r="B47" i="9"/>
  <c r="B46" i="18"/>
  <c r="B46" i="17"/>
  <c r="B46" i="16"/>
  <c r="B46" i="15"/>
  <c r="B46" i="13"/>
  <c r="B46" i="12"/>
  <c r="B46" i="10"/>
  <c r="B45" i="19"/>
  <c r="B45" i="17"/>
  <c r="B45" i="16"/>
  <c r="B45" i="15"/>
  <c r="B45" i="14"/>
  <c r="B45" i="12"/>
  <c r="B44" i="19"/>
  <c r="B44" i="18"/>
  <c r="B44" i="16"/>
  <c r="B44" i="14"/>
  <c r="B44" i="13"/>
  <c r="B44" i="10"/>
  <c r="B43" i="18"/>
  <c r="B43" i="17"/>
  <c r="B43" i="15"/>
  <c r="B43" i="14"/>
  <c r="B43" i="13"/>
  <c r="B43" i="12"/>
  <c r="B43" i="10"/>
  <c r="B43" i="9"/>
  <c r="B42" i="19"/>
  <c r="B42" i="17"/>
  <c r="B42" i="16"/>
  <c r="B42" i="14"/>
  <c r="B42" i="13"/>
  <c r="B42" i="12"/>
  <c r="B42" i="9"/>
  <c r="B41" i="19"/>
  <c r="B41" i="18"/>
  <c r="B41" i="16"/>
  <c r="B41" i="13"/>
  <c r="B41" i="10"/>
  <c r="B40" i="19"/>
  <c r="B40" i="18"/>
  <c r="B40" i="17"/>
  <c r="B40" i="15"/>
  <c r="B40" i="12"/>
  <c r="B40" i="10"/>
  <c r="B40" i="9"/>
  <c r="B39" i="19"/>
  <c r="B39" i="18"/>
  <c r="B39" i="17"/>
  <c r="B39" i="16"/>
  <c r="B39" i="13"/>
  <c r="B39" i="10"/>
  <c r="B39" i="9"/>
  <c r="B38" i="18"/>
  <c r="B38" i="17"/>
  <c r="B38" i="16"/>
  <c r="B38" i="15"/>
  <c r="B38" i="12"/>
  <c r="B38" i="10"/>
  <c r="B38" i="9"/>
  <c r="B37" i="19"/>
  <c r="B37" i="17"/>
  <c r="B37" i="16"/>
  <c r="B37" i="15"/>
  <c r="B37" i="14"/>
  <c r="B37" i="12"/>
  <c r="B37" i="9"/>
  <c r="B36" i="19"/>
  <c r="B36" i="18"/>
  <c r="B36" i="15"/>
  <c r="B36" i="14"/>
  <c r="B36" i="13"/>
  <c r="B36" i="10"/>
  <c r="B35" i="18"/>
  <c r="B35" i="17"/>
  <c r="B35" i="15"/>
  <c r="B35" i="14"/>
  <c r="B35" i="13"/>
  <c r="B35" i="12"/>
  <c r="B35" i="9"/>
  <c r="B34" i="19"/>
  <c r="B34" i="17"/>
  <c r="B34" i="16"/>
  <c r="B34" i="13"/>
  <c r="B34" i="12"/>
  <c r="B34" i="10"/>
  <c r="B34" i="9"/>
  <c r="B33" i="19"/>
  <c r="B33" i="18"/>
  <c r="B33" i="15"/>
  <c r="B33" i="13"/>
  <c r="B33" i="10"/>
  <c r="B32" i="18"/>
  <c r="B32" i="17"/>
  <c r="B32" i="16"/>
  <c r="B32" i="15"/>
  <c r="B32" i="14"/>
  <c r="B32" i="12"/>
  <c r="B32" i="10"/>
  <c r="B32" i="9"/>
  <c r="B31" i="18"/>
  <c r="B31" i="17"/>
  <c r="B31" i="16"/>
  <c r="B31" i="15"/>
  <c r="B31" i="14"/>
  <c r="B31" i="13"/>
  <c r="B31" i="10"/>
  <c r="B31" i="9"/>
  <c r="B30" i="18"/>
  <c r="B30" i="16"/>
  <c r="B30" i="15"/>
  <c r="B30" i="13"/>
  <c r="B30" i="12"/>
  <c r="B30" i="9"/>
  <c r="B29" i="19"/>
  <c r="B29" i="16"/>
  <c r="B29" i="15"/>
  <c r="B29" i="14"/>
  <c r="B29" i="12"/>
  <c r="B29" i="9"/>
  <c r="B28" i="19"/>
  <c r="B28" i="18"/>
  <c r="B28" i="15"/>
  <c r="B28" i="14"/>
  <c r="B28" i="13"/>
  <c r="B28" i="10"/>
  <c r="B27" i="19"/>
  <c r="B27" i="18"/>
  <c r="B27" i="17"/>
  <c r="B27" i="15"/>
  <c r="B27" i="14"/>
  <c r="B27" i="13"/>
  <c r="B27" i="12"/>
  <c r="B27" i="10"/>
  <c r="B27" i="9"/>
  <c r="B26" i="19"/>
  <c r="B26" i="17"/>
  <c r="B26" i="16"/>
  <c r="B26" i="14"/>
  <c r="B26" i="13"/>
  <c r="B26" i="12"/>
  <c r="B26" i="9"/>
  <c r="B25" i="19"/>
  <c r="B25" i="18"/>
  <c r="B25" i="16"/>
  <c r="B25" i="13"/>
  <c r="B25" i="12"/>
  <c r="B25" i="10"/>
  <c r="B24" i="19"/>
  <c r="B24" i="18"/>
  <c r="B24" i="17"/>
  <c r="B24" i="15"/>
  <c r="B24" i="14"/>
  <c r="B24" i="12"/>
  <c r="B24" i="10"/>
  <c r="B24" i="9"/>
  <c r="B23" i="19"/>
  <c r="B23" i="18"/>
  <c r="B23" i="17"/>
  <c r="B23" i="16"/>
  <c r="B23" i="14"/>
  <c r="B23" i="10"/>
  <c r="B23" i="9"/>
  <c r="B22" i="18"/>
  <c r="B22" i="17"/>
  <c r="B22" i="16"/>
  <c r="B22" i="15"/>
  <c r="B22" i="10"/>
  <c r="B22" i="9"/>
  <c r="B21" i="19"/>
  <c r="B21" i="17"/>
  <c r="B21" i="16"/>
  <c r="B21" i="15"/>
  <c r="B21" i="14"/>
  <c r="B21" i="12"/>
  <c r="B21" i="9"/>
  <c r="B20" i="18"/>
  <c r="B20" i="16"/>
  <c r="B20" i="15"/>
  <c r="B20" i="14"/>
  <c r="B20" i="13"/>
  <c r="B20" i="10"/>
  <c r="B19" i="17"/>
  <c r="B19" i="14"/>
  <c r="B19" i="13"/>
  <c r="B19" i="12"/>
  <c r="B19" i="9"/>
  <c r="B18" i="19"/>
  <c r="B18" i="18"/>
  <c r="B18" i="16"/>
  <c r="B18" i="13"/>
  <c r="B18" i="12"/>
  <c r="B17" i="19"/>
  <c r="B17" i="18"/>
  <c r="B17" i="17"/>
  <c r="B17" i="15"/>
  <c r="B17" i="13"/>
  <c r="B17" i="12"/>
  <c r="B17" i="10"/>
  <c r="B16" i="19"/>
  <c r="B16" i="18"/>
  <c r="B16" i="17"/>
  <c r="B16" i="16"/>
  <c r="B16" i="14"/>
  <c r="B16" i="12"/>
  <c r="B16" i="10"/>
  <c r="B16" i="9"/>
  <c r="B15" i="19"/>
  <c r="B15" i="18"/>
  <c r="B15" i="17"/>
  <c r="B15" i="16"/>
  <c r="B15" i="15"/>
  <c r="B15" i="13"/>
  <c r="B15" i="10"/>
  <c r="B15" i="9"/>
  <c r="B14" i="18"/>
  <c r="B14" i="17"/>
  <c r="B14" i="16"/>
  <c r="B14" i="15"/>
  <c r="B14" i="14"/>
  <c r="B14" i="12"/>
  <c r="B14" i="10"/>
  <c r="B14" i="9"/>
  <c r="B13" i="19"/>
  <c r="B13" i="17"/>
  <c r="B13" i="16"/>
  <c r="B13" i="15"/>
  <c r="B13" i="14"/>
  <c r="B13" i="12"/>
  <c r="B13" i="9"/>
  <c r="B12" i="18"/>
  <c r="B12" i="16"/>
  <c r="B12" i="15"/>
  <c r="B12" i="14"/>
  <c r="B12" i="13"/>
  <c r="B12" i="10"/>
  <c r="B11" i="18"/>
  <c r="B11" i="17"/>
  <c r="B11" i="15"/>
  <c r="B11" i="14"/>
  <c r="B11" i="13"/>
  <c r="B11" i="12"/>
  <c r="B11" i="9"/>
  <c r="B10" i="19"/>
  <c r="B10" i="17"/>
  <c r="B10" i="16"/>
  <c r="B10" i="14"/>
  <c r="B10" i="13"/>
  <c r="B10" i="12"/>
  <c r="B10" i="9"/>
  <c r="B9" i="19"/>
  <c r="B9" i="18"/>
  <c r="B9" i="16"/>
  <c r="B9" i="15"/>
  <c r="B9" i="13"/>
  <c r="B9" i="12"/>
  <c r="B9" i="10"/>
  <c r="B8" i="19"/>
  <c r="B8" i="18"/>
  <c r="B8" i="17"/>
  <c r="B8" i="15"/>
  <c r="B8" i="14"/>
  <c r="B8" i="12"/>
  <c r="B8" i="10"/>
  <c r="B8" i="9"/>
  <c r="B7" i="19"/>
  <c r="B7" i="18"/>
  <c r="B7" i="17"/>
  <c r="B7" i="16"/>
  <c r="B7" i="14"/>
  <c r="B7" i="10"/>
  <c r="B7" i="9"/>
  <c r="B6" i="18"/>
  <c r="B6" i="17"/>
  <c r="B6" i="16"/>
  <c r="B6" i="15"/>
  <c r="B6" i="13"/>
  <c r="B6" i="10"/>
  <c r="B6" i="9"/>
  <c r="B5" i="17"/>
  <c r="B5" i="16"/>
  <c r="B5" i="15"/>
  <c r="B5" i="14"/>
  <c r="B5" i="13"/>
  <c r="B5" i="12"/>
  <c r="B5" i="9"/>
  <c r="B15" i="8"/>
  <c r="B26" i="11"/>
  <c r="B58" i="11"/>
  <c r="C22" i="11"/>
  <c r="C31" i="8"/>
  <c r="C50" i="11"/>
  <c r="C51" i="8"/>
  <c r="C55" i="8"/>
  <c r="D6" i="11"/>
  <c r="D12" i="11"/>
  <c r="D14" i="11"/>
  <c r="D20" i="11"/>
  <c r="D24" i="11"/>
  <c r="D32" i="11"/>
  <c r="D38" i="11"/>
  <c r="D52" i="11"/>
  <c r="D56" i="11"/>
  <c r="E25" i="8"/>
  <c r="F10" i="11"/>
  <c r="F15" i="8"/>
  <c r="F18" i="11"/>
  <c r="F39" i="8"/>
  <c r="F47" i="8"/>
  <c r="F55" i="8"/>
  <c r="G5" i="8"/>
  <c r="G13" i="8"/>
  <c r="G16" i="11"/>
  <c r="G21" i="8"/>
  <c r="G24" i="11"/>
  <c r="G29" i="8"/>
  <c r="G37" i="8"/>
  <c r="G40" i="11"/>
  <c r="G45" i="8"/>
  <c r="G48" i="11"/>
  <c r="G53" i="8"/>
  <c r="G56" i="11"/>
  <c r="H7" i="11"/>
  <c r="H11" i="11"/>
  <c r="H15" i="11"/>
  <c r="H17" i="11"/>
  <c r="H21" i="11"/>
  <c r="H27" i="11"/>
  <c r="H31" i="11"/>
  <c r="H39" i="11"/>
  <c r="H43" i="11"/>
  <c r="H47" i="11"/>
  <c r="H51" i="11"/>
  <c r="H57" i="11"/>
  <c r="B9" i="11"/>
  <c r="B14" i="8"/>
  <c r="B22" i="8"/>
  <c r="B25" i="11"/>
  <c r="B26" i="8"/>
  <c r="B29" i="11"/>
  <c r="B33" i="11"/>
  <c r="B34" i="8"/>
  <c r="B38" i="8"/>
  <c r="B41" i="11"/>
  <c r="B45" i="11"/>
  <c r="B53" i="11"/>
  <c r="B54" i="8"/>
  <c r="B58" i="8"/>
  <c r="E7" i="11"/>
  <c r="E12" i="8"/>
  <c r="E27" i="11"/>
  <c r="E28" i="8"/>
  <c r="E32" i="8"/>
  <c r="E36" i="8"/>
  <c r="E43" i="11"/>
  <c r="E44" i="8"/>
  <c r="E47" i="11"/>
  <c r="E48" i="8"/>
  <c r="E55" i="11"/>
  <c r="F5" i="11"/>
  <c r="F9" i="11"/>
  <c r="F10" i="8"/>
  <c r="F13" i="11"/>
  <c r="F18" i="8"/>
  <c r="F21" i="11"/>
  <c r="F26" i="8"/>
  <c r="F29" i="11"/>
  <c r="F30" i="8"/>
  <c r="F34" i="8"/>
  <c r="F38" i="8"/>
  <c r="F42" i="8"/>
  <c r="F45" i="11"/>
  <c r="F46" i="8"/>
  <c r="F57" i="11"/>
  <c r="G12" i="8"/>
  <c r="G15" i="11"/>
  <c r="G23" i="11"/>
  <c r="G24" i="8"/>
  <c r="G36" i="8"/>
  <c r="G39" i="11"/>
  <c r="G40" i="8"/>
  <c r="G43" i="11"/>
  <c r="G44" i="8"/>
  <c r="G47" i="11"/>
  <c r="G48" i="8"/>
  <c r="G51" i="11"/>
  <c r="G56" i="8"/>
  <c r="B7" i="11"/>
  <c r="B8" i="8"/>
  <c r="B12" i="8"/>
  <c r="B15" i="11"/>
  <c r="B23" i="11"/>
  <c r="B24" i="8"/>
  <c r="B28" i="8"/>
  <c r="B31" i="11"/>
  <c r="B36" i="8"/>
  <c r="B39" i="11"/>
  <c r="B40" i="8"/>
  <c r="B44" i="8"/>
  <c r="B52" i="8"/>
  <c r="B55" i="11"/>
  <c r="E5" i="11"/>
  <c r="E6" i="8"/>
  <c r="E9" i="11"/>
  <c r="E10" i="8"/>
  <c r="E13" i="11"/>
  <c r="E14" i="8"/>
  <c r="E17" i="11"/>
  <c r="E18" i="8"/>
  <c r="E21" i="11"/>
  <c r="E22" i="8"/>
  <c r="E25" i="11"/>
  <c r="E26" i="8"/>
  <c r="E29" i="11"/>
  <c r="E30" i="8"/>
  <c r="E33" i="11"/>
  <c r="E34" i="8"/>
  <c r="E37" i="11"/>
  <c r="E38" i="8"/>
  <c r="E41" i="11"/>
  <c r="E42" i="8"/>
  <c r="E45" i="11"/>
  <c r="E46" i="8"/>
  <c r="E49" i="11"/>
  <c r="E50" i="8"/>
  <c r="E53" i="11"/>
  <c r="E54" i="8"/>
  <c r="E57" i="11"/>
  <c r="E58" i="8"/>
  <c r="F7" i="11"/>
  <c r="F8" i="8"/>
  <c r="F11" i="11"/>
  <c r="F12" i="8"/>
  <c r="F15" i="11"/>
  <c r="F16" i="8"/>
  <c r="F19" i="11"/>
  <c r="F20" i="8"/>
  <c r="F23" i="11"/>
  <c r="F27" i="11"/>
  <c r="F31" i="11"/>
  <c r="F35" i="11"/>
  <c r="F39" i="11"/>
  <c r="F43" i="11"/>
  <c r="F47" i="11"/>
  <c r="F48" i="8"/>
  <c r="F51" i="11"/>
  <c r="F52" i="8"/>
  <c r="F55" i="11"/>
  <c r="G5" i="11"/>
  <c r="G6" i="8"/>
  <c r="G9" i="11"/>
  <c r="G10" i="8"/>
  <c r="G13" i="11"/>
  <c r="G14" i="8"/>
  <c r="G17" i="11"/>
  <c r="G18" i="8"/>
  <c r="G21" i="11"/>
  <c r="G25" i="11"/>
  <c r="G29" i="11"/>
  <c r="G33" i="11"/>
  <c r="G37" i="11"/>
  <c r="G41" i="11"/>
  <c r="G45" i="11"/>
  <c r="G49" i="11"/>
  <c r="G53" i="11"/>
  <c r="G57" i="11"/>
  <c r="B7" i="8"/>
  <c r="B10" i="11"/>
  <c r="B18" i="11"/>
  <c r="B23" i="8"/>
  <c r="B31" i="8"/>
  <c r="B34" i="11"/>
  <c r="B39" i="8"/>
  <c r="B42" i="11"/>
  <c r="B47" i="8"/>
  <c r="B50" i="11"/>
  <c r="B55" i="8"/>
  <c r="C23" i="8"/>
  <c r="C26" i="11"/>
  <c r="C27" i="8"/>
  <c r="C30" i="11"/>
  <c r="C34" i="11"/>
  <c r="C35" i="8"/>
  <c r="C38" i="11"/>
  <c r="C39" i="8"/>
  <c r="C42" i="11"/>
  <c r="C43" i="8"/>
  <c r="C46" i="11"/>
  <c r="C47" i="8"/>
  <c r="C54" i="11"/>
  <c r="C58" i="11"/>
  <c r="D8" i="11"/>
  <c r="D16" i="11"/>
  <c r="D22" i="11"/>
  <c r="D30" i="11"/>
  <c r="D36" i="11"/>
  <c r="D40" i="11"/>
  <c r="D44" i="11"/>
  <c r="D46" i="11"/>
  <c r="D48" i="11"/>
  <c r="D54" i="11"/>
  <c r="F7" i="8"/>
  <c r="F23" i="8"/>
  <c r="F26" i="11"/>
  <c r="F31" i="8"/>
  <c r="F34" i="11"/>
  <c r="G8" i="11"/>
  <c r="G32" i="11"/>
  <c r="H5" i="11"/>
  <c r="H9" i="11"/>
  <c r="H13" i="11"/>
  <c r="H19" i="11"/>
  <c r="H23" i="11"/>
  <c r="H25" i="11"/>
  <c r="H29" i="11"/>
  <c r="H33" i="11"/>
  <c r="H35" i="11"/>
  <c r="H37" i="11"/>
  <c r="H41" i="11"/>
  <c r="H45" i="11"/>
  <c r="H49" i="11"/>
  <c r="H53" i="11"/>
  <c r="H55" i="11"/>
  <c r="B6" i="8"/>
  <c r="B10" i="8"/>
  <c r="B13" i="11"/>
  <c r="B17" i="11"/>
  <c r="B18" i="8"/>
  <c r="B21" i="11"/>
  <c r="B30" i="8"/>
  <c r="B37" i="11"/>
  <c r="B42" i="8"/>
  <c r="B46" i="8"/>
  <c r="B49" i="11"/>
  <c r="B50" i="8"/>
  <c r="B57" i="11"/>
  <c r="E15" i="11"/>
  <c r="E16" i="8"/>
  <c r="E19" i="11"/>
  <c r="E20" i="8"/>
  <c r="E23" i="11"/>
  <c r="E31" i="11"/>
  <c r="E39" i="11"/>
  <c r="F6" i="8"/>
  <c r="F14" i="8"/>
  <c r="F17" i="11"/>
  <c r="F22" i="8"/>
  <c r="F25" i="11"/>
  <c r="F33" i="11"/>
  <c r="F41" i="11"/>
  <c r="F49" i="11"/>
  <c r="F50" i="8"/>
  <c r="F53" i="11"/>
  <c r="F58" i="8"/>
  <c r="G7" i="11"/>
  <c r="G8" i="8"/>
  <c r="G11" i="11"/>
  <c r="G16" i="8"/>
  <c r="G19" i="11"/>
  <c r="G20" i="8"/>
  <c r="G27" i="11"/>
  <c r="G28" i="8"/>
  <c r="G31" i="11"/>
  <c r="G32" i="8"/>
  <c r="G35" i="11"/>
  <c r="G52" i="8"/>
  <c r="G55" i="11"/>
  <c r="B5" i="8"/>
  <c r="B8" i="11"/>
  <c r="B9" i="8"/>
  <c r="B12" i="11"/>
  <c r="B13" i="8"/>
  <c r="B16" i="11"/>
  <c r="B21" i="8"/>
  <c r="B24" i="11"/>
  <c r="B25" i="8"/>
  <c r="B28" i="11"/>
  <c r="B29" i="8"/>
  <c r="B32" i="11"/>
  <c r="B33" i="8"/>
  <c r="B37" i="8"/>
  <c r="B40" i="11"/>
  <c r="B41" i="8"/>
  <c r="B44" i="11"/>
  <c r="B45" i="8"/>
  <c r="B48" i="11"/>
  <c r="B49" i="8"/>
  <c r="B53" i="8"/>
  <c r="B56" i="11"/>
  <c r="B57" i="8"/>
  <c r="C19" i="11"/>
  <c r="C20" i="8"/>
  <c r="C21" i="11"/>
  <c r="C23" i="11"/>
  <c r="C24" i="8"/>
  <c r="C26" i="8"/>
  <c r="C27" i="11"/>
  <c r="C28" i="8"/>
  <c r="C29" i="11"/>
  <c r="C31" i="11"/>
  <c r="C32" i="8"/>
  <c r="C34" i="8"/>
  <c r="C35" i="11"/>
  <c r="C36" i="8"/>
  <c r="C37" i="11"/>
  <c r="C38" i="8"/>
  <c r="C39" i="11"/>
  <c r="C40" i="8"/>
  <c r="C42" i="8"/>
  <c r="C43" i="11"/>
  <c r="C44" i="8"/>
  <c r="C45" i="11"/>
  <c r="C46" i="8"/>
  <c r="C47" i="11"/>
  <c r="C48" i="8"/>
  <c r="C49" i="11"/>
  <c r="C50" i="8"/>
  <c r="C51" i="11"/>
  <c r="C52" i="8"/>
  <c r="C53" i="11"/>
  <c r="C55" i="11"/>
  <c r="C56" i="8"/>
  <c r="C57" i="11"/>
  <c r="C58" i="8"/>
  <c r="D5" i="11"/>
  <c r="D7" i="11"/>
  <c r="D9" i="11"/>
  <c r="D11" i="11"/>
  <c r="D13" i="11"/>
  <c r="D15" i="11"/>
  <c r="D17" i="11"/>
  <c r="D19" i="11"/>
  <c r="D21" i="11"/>
  <c r="D23" i="11"/>
  <c r="D25" i="11"/>
  <c r="D27" i="11"/>
  <c r="D29" i="11"/>
  <c r="D31" i="11"/>
  <c r="D33" i="11"/>
  <c r="D35" i="11"/>
  <c r="D37" i="11"/>
  <c r="D39" i="11"/>
  <c r="D41" i="11"/>
  <c r="D43" i="11"/>
  <c r="D45" i="11"/>
  <c r="D47" i="11"/>
  <c r="D49" i="11"/>
  <c r="D51" i="11"/>
  <c r="D57" i="11"/>
  <c r="E6" i="11"/>
  <c r="E7" i="8"/>
  <c r="E10" i="11"/>
  <c r="E11" i="8"/>
  <c r="E14" i="11"/>
  <c r="E15" i="8"/>
  <c r="E18" i="11"/>
  <c r="E19" i="8"/>
  <c r="E22" i="11"/>
  <c r="E23" i="8"/>
  <c r="E26" i="11"/>
  <c r="E27" i="8"/>
  <c r="E30" i="11"/>
  <c r="E31" i="8"/>
  <c r="E34" i="11"/>
  <c r="E35" i="8"/>
  <c r="E38" i="11"/>
  <c r="E39" i="8"/>
  <c r="E42" i="11"/>
  <c r="E43" i="8"/>
  <c r="E46" i="11"/>
  <c r="E47" i="8"/>
  <c r="E50" i="11"/>
  <c r="E51" i="8"/>
  <c r="E54" i="11"/>
  <c r="E55" i="8"/>
  <c r="E58" i="11"/>
  <c r="F9" i="8"/>
  <c r="F12" i="11"/>
  <c r="F16" i="11"/>
  <c r="F17" i="8"/>
  <c r="F20" i="11"/>
  <c r="F24" i="11"/>
  <c r="F25" i="8"/>
  <c r="F28" i="11"/>
  <c r="F29" i="8"/>
  <c r="F32" i="11"/>
  <c r="F33" i="8"/>
  <c r="F36" i="11"/>
  <c r="F37" i="8"/>
  <c r="F40" i="11"/>
  <c r="F44" i="11"/>
  <c r="F48" i="11"/>
  <c r="F49" i="8"/>
  <c r="F52" i="11"/>
  <c r="F53" i="8"/>
  <c r="F56" i="11"/>
  <c r="F57" i="8"/>
  <c r="G7" i="8"/>
  <c r="G10" i="11"/>
  <c r="G15" i="8"/>
  <c r="G18" i="11"/>
  <c r="G22" i="11"/>
  <c r="G26" i="11"/>
  <c r="G30" i="11"/>
  <c r="G34" i="11"/>
  <c r="G38" i="11"/>
  <c r="G42" i="11"/>
  <c r="G43" i="8"/>
  <c r="G46" i="11"/>
  <c r="G50" i="11"/>
  <c r="G54" i="11"/>
  <c r="G58" i="11"/>
  <c r="H6" i="11"/>
  <c r="H8" i="11"/>
  <c r="H14" i="11"/>
  <c r="H16" i="11"/>
  <c r="H22" i="11"/>
  <c r="H24" i="11"/>
  <c r="H28" i="11"/>
  <c r="H30" i="11"/>
  <c r="H32" i="11"/>
  <c r="H36" i="11"/>
  <c r="H38" i="11"/>
  <c r="H40" i="11"/>
  <c r="H44" i="11"/>
  <c r="H46" i="11"/>
  <c r="H48" i="11"/>
  <c r="H52" i="11"/>
  <c r="H54" i="11"/>
  <c r="H56" i="11"/>
  <c r="C19" i="8"/>
  <c r="N26" i="1"/>
  <c r="D27" i="25" s="1"/>
  <c r="B25" i="9"/>
  <c r="C50" i="12"/>
  <c r="B10" i="18"/>
  <c r="N57" i="2"/>
  <c r="E58" i="25" s="1"/>
  <c r="B53" i="10"/>
  <c r="N54" i="1"/>
  <c r="D55" i="25" s="1"/>
  <c r="B50" i="15"/>
  <c r="N51" i="1"/>
  <c r="D52" i="25" s="1"/>
  <c r="B47" i="12"/>
  <c r="B35" i="8"/>
  <c r="B33" i="14"/>
  <c r="N34" i="1"/>
  <c r="D35" i="25" s="1"/>
  <c r="B30" i="11"/>
  <c r="N31" i="1"/>
  <c r="D32" i="25" s="1"/>
  <c r="B28" i="9"/>
  <c r="N29" i="1"/>
  <c r="D30" i="25" s="1"/>
  <c r="B21" i="18"/>
  <c r="B14" i="11"/>
  <c r="B5" i="10"/>
  <c r="C43" i="10"/>
  <c r="C31" i="14"/>
  <c r="C26" i="17"/>
  <c r="C23" i="14"/>
  <c r="C18" i="17"/>
  <c r="C11" i="10"/>
  <c r="C8" i="15"/>
  <c r="D56" i="9"/>
  <c r="D49" i="18"/>
  <c r="D47" i="8"/>
  <c r="N48" i="3"/>
  <c r="F49" i="25" s="1"/>
  <c r="D39" i="8"/>
  <c r="N40" i="3"/>
  <c r="F41" i="25" s="1"/>
  <c r="D36" i="13"/>
  <c r="N37" i="3"/>
  <c r="F38" i="25" s="1"/>
  <c r="D32" i="9"/>
  <c r="N33" i="3"/>
  <c r="F34" i="25" s="1"/>
  <c r="N19" i="3"/>
  <c r="F20" i="25" s="1"/>
  <c r="D18" i="11"/>
  <c r="D15" i="8"/>
  <c r="N44" i="4"/>
  <c r="G45" i="25" s="1"/>
  <c r="E43" i="14"/>
  <c r="E34" i="13"/>
  <c r="E31" i="10"/>
  <c r="E21" i="16"/>
  <c r="E7" i="10"/>
  <c r="F51" i="8"/>
  <c r="F45" i="10"/>
  <c r="F42" i="15"/>
  <c r="F39" i="12"/>
  <c r="F35" i="8"/>
  <c r="G56" i="15"/>
  <c r="G49" i="16"/>
  <c r="G33" i="16"/>
  <c r="H57" i="18"/>
  <c r="H55" i="8"/>
  <c r="H49" i="10"/>
  <c r="H46" i="15"/>
  <c r="H44" i="13"/>
  <c r="H40" i="17"/>
  <c r="H38" i="15"/>
  <c r="H31" i="16"/>
  <c r="H31" i="8"/>
  <c r="H30" i="15"/>
  <c r="H26" i="11"/>
  <c r="H25" i="10"/>
  <c r="H24" i="9"/>
  <c r="H23" i="8"/>
  <c r="H22" i="15"/>
  <c r="H34" i="11"/>
  <c r="N55" i="1"/>
  <c r="D56" i="25" s="1"/>
  <c r="B54" i="11"/>
  <c r="B29" i="10"/>
  <c r="N30" i="1"/>
  <c r="D31" i="25" s="1"/>
  <c r="B25" i="14"/>
  <c r="B15" i="12"/>
  <c r="B11" i="16"/>
  <c r="C57" i="16"/>
  <c r="C54" i="13"/>
  <c r="C44" i="11"/>
  <c r="C40" i="15"/>
  <c r="C37" i="12"/>
  <c r="C33" i="16"/>
  <c r="C30" i="13"/>
  <c r="C22" i="13"/>
  <c r="C18" i="9"/>
  <c r="C14" i="13"/>
  <c r="C10" i="9"/>
  <c r="C7" i="14"/>
  <c r="D55" i="8"/>
  <c r="D52" i="13"/>
  <c r="D49" i="10"/>
  <c r="N50" i="3"/>
  <c r="F51" i="25" s="1"/>
  <c r="D46" i="15"/>
  <c r="N47" i="3"/>
  <c r="F48" i="25" s="1"/>
  <c r="D33" i="10"/>
  <c r="N34" i="3"/>
  <c r="F35" i="25" s="1"/>
  <c r="D9" i="18"/>
  <c r="N7" i="3"/>
  <c r="F8" i="25" s="1"/>
  <c r="D6" i="15"/>
  <c r="E57" i="12"/>
  <c r="E44" i="15"/>
  <c r="E40" i="11"/>
  <c r="E23" i="18"/>
  <c r="E17" i="12"/>
  <c r="E14" i="9"/>
  <c r="E11" i="14"/>
  <c r="E5" i="16"/>
  <c r="F37" i="18"/>
  <c r="F30" i="11"/>
  <c r="F27" i="16"/>
  <c r="F14" i="11"/>
  <c r="G41" i="16"/>
  <c r="G25" i="16"/>
  <c r="G22" i="13"/>
  <c r="G5" i="12"/>
  <c r="H56" i="9"/>
  <c r="H49" i="18"/>
  <c r="H42" i="11"/>
  <c r="H41" i="10"/>
  <c r="H39" i="8"/>
  <c r="H33" i="18"/>
  <c r="H33" i="10"/>
  <c r="H32" i="9"/>
  <c r="H28" i="13"/>
  <c r="H25" i="18"/>
  <c r="H24" i="17"/>
  <c r="H23" i="16"/>
  <c r="N30" i="3"/>
  <c r="F31" i="25" s="1"/>
  <c r="B46" i="11"/>
  <c r="N39" i="1"/>
  <c r="D40" i="25" s="1"/>
  <c r="B29" i="18"/>
  <c r="B26" i="15"/>
  <c r="N27" i="1"/>
  <c r="D28" i="25" s="1"/>
  <c r="B22" i="11"/>
  <c r="B12" i="9"/>
  <c r="C49" i="8"/>
  <c r="C41" i="16"/>
  <c r="C39" i="14"/>
  <c r="N40" i="2"/>
  <c r="E41" i="25" s="1"/>
  <c r="C38" i="13"/>
  <c r="C34" i="17"/>
  <c r="C28" i="11"/>
  <c r="C25" i="16"/>
  <c r="C19" i="18"/>
  <c r="C15" i="14"/>
  <c r="C10" i="17"/>
  <c r="D43" i="12"/>
  <c r="N44" i="3"/>
  <c r="F45" i="25" s="1"/>
  <c r="D37" i="14"/>
  <c r="D33" i="18"/>
  <c r="N27" i="3"/>
  <c r="F28" i="25" s="1"/>
  <c r="N18" i="3"/>
  <c r="F19" i="25" s="1"/>
  <c r="D17" i="10"/>
  <c r="N10" i="3"/>
  <c r="F11" i="25" s="1"/>
  <c r="D9" i="10"/>
  <c r="N6" i="3"/>
  <c r="F7" i="25" s="1"/>
  <c r="D5" i="14"/>
  <c r="E52" i="15"/>
  <c r="E49" i="12"/>
  <c r="E45" i="16"/>
  <c r="E37" i="16"/>
  <c r="E33" i="12"/>
  <c r="E29" i="16"/>
  <c r="E26" i="13"/>
  <c r="E19" i="14"/>
  <c r="F58" i="15"/>
  <c r="F50" i="15"/>
  <c r="F43" i="16"/>
  <c r="F40" i="13"/>
  <c r="F34" i="15"/>
  <c r="F31" i="12"/>
  <c r="F28" i="9"/>
  <c r="F25" i="14"/>
  <c r="G58" i="9"/>
  <c r="G55" i="14"/>
  <c r="G52" i="11"/>
  <c r="G44" i="11"/>
  <c r="G41" i="8"/>
  <c r="G33" i="8"/>
  <c r="G27" i="18"/>
  <c r="G24" i="15"/>
  <c r="H56" i="17"/>
  <c r="H54" i="15"/>
  <c r="H47" i="8"/>
  <c r="C20" i="11"/>
  <c r="B52" i="17"/>
  <c r="B49" i="14"/>
  <c r="N50" i="1"/>
  <c r="D51" i="25" s="1"/>
  <c r="B37" i="18"/>
  <c r="B34" i="15"/>
  <c r="N35" i="1"/>
  <c r="D36" i="25" s="1"/>
  <c r="B31" i="12"/>
  <c r="N32" i="1"/>
  <c r="D33" i="25" s="1"/>
  <c r="B24" i="13"/>
  <c r="N25" i="1"/>
  <c r="D26" i="25" s="1"/>
  <c r="B21" i="10"/>
  <c r="B12" i="17"/>
  <c r="B6" i="11"/>
  <c r="C57" i="8"/>
  <c r="C49" i="16"/>
  <c r="C45" i="12"/>
  <c r="C41" i="8"/>
  <c r="C33" i="8"/>
  <c r="C17" i="8"/>
  <c r="C9" i="8"/>
  <c r="C5" i="12"/>
  <c r="D50" i="11"/>
  <c r="N51" i="3"/>
  <c r="F52" i="25" s="1"/>
  <c r="D40" i="17"/>
  <c r="D32" i="17"/>
  <c r="D24" i="17"/>
  <c r="D22" i="15"/>
  <c r="N23" i="3"/>
  <c r="F24" i="25" s="1"/>
  <c r="D20" i="13"/>
  <c r="N21" i="3"/>
  <c r="F22" i="25" s="1"/>
  <c r="D17" i="18"/>
  <c r="D14" i="15"/>
  <c r="N12" i="3"/>
  <c r="F13" i="25" s="1"/>
  <c r="D11" i="12"/>
  <c r="D7" i="16"/>
  <c r="E46" i="9"/>
  <c r="E39" i="10"/>
  <c r="E36" i="15"/>
  <c r="N37" i="4"/>
  <c r="G38" i="25" s="1"/>
  <c r="E25" i="12"/>
  <c r="E22" i="9"/>
  <c r="E13" i="16"/>
  <c r="E6" i="9"/>
  <c r="F52" i="9"/>
  <c r="F44" i="9"/>
  <c r="F41" i="14"/>
  <c r="F38" i="11"/>
  <c r="F35" i="16"/>
  <c r="F33" i="14"/>
  <c r="F32" i="13"/>
  <c r="G51" i="18"/>
  <c r="G40" i="15"/>
  <c r="G38" i="13"/>
  <c r="G36" i="11"/>
  <c r="G34" i="9"/>
  <c r="G31" i="14"/>
  <c r="G26" i="9"/>
  <c r="G23" i="14"/>
  <c r="H47" i="16"/>
  <c r="H39" i="16"/>
  <c r="N58" i="1"/>
  <c r="D59" i="25" s="1"/>
  <c r="D26" i="11"/>
  <c r="B58" i="15"/>
  <c r="N59" i="1"/>
  <c r="D60" i="25" s="1"/>
  <c r="B55" i="12"/>
  <c r="N56" i="1"/>
  <c r="D57" i="25" s="1"/>
  <c r="B51" i="8"/>
  <c r="N52" i="1"/>
  <c r="D53" i="25" s="1"/>
  <c r="B43" i="16"/>
  <c r="B39" i="12"/>
  <c r="B35" i="16"/>
  <c r="B32" i="13"/>
  <c r="N33" i="1"/>
  <c r="D34" i="25" s="1"/>
  <c r="B28" i="17"/>
  <c r="B20" i="9"/>
  <c r="N18" i="1"/>
  <c r="D19" i="25" s="1"/>
  <c r="B17" i="14"/>
  <c r="B13" i="10"/>
  <c r="B5" i="18"/>
  <c r="C56" i="15"/>
  <c r="C53" i="12"/>
  <c r="C51" i="10"/>
  <c r="C48" i="15"/>
  <c r="C46" i="13"/>
  <c r="C42" i="17"/>
  <c r="C35" i="10"/>
  <c r="C32" i="15"/>
  <c r="C29" i="12"/>
  <c r="C27" i="10"/>
  <c r="C12" i="11"/>
  <c r="D58" i="11"/>
  <c r="D44" i="13"/>
  <c r="N45" i="3"/>
  <c r="F46" i="25" s="1"/>
  <c r="D40" i="9"/>
  <c r="N41" i="3"/>
  <c r="F42" i="25" s="1"/>
  <c r="D30" i="15"/>
  <c r="N31" i="3"/>
  <c r="F32" i="25" s="1"/>
  <c r="D25" i="10"/>
  <c r="N26" i="3"/>
  <c r="F27" i="25" s="1"/>
  <c r="D16" i="9"/>
  <c r="D8" i="17"/>
  <c r="E56" i="11"/>
  <c r="E50" i="13"/>
  <c r="E47" i="10"/>
  <c r="E45" i="8"/>
  <c r="E42" i="13"/>
  <c r="E39" i="18"/>
  <c r="E31" i="18"/>
  <c r="E29" i="8"/>
  <c r="E27" i="14"/>
  <c r="E23" i="10"/>
  <c r="E15" i="18"/>
  <c r="E6" i="17"/>
  <c r="F57" i="14"/>
  <c r="F51" i="16"/>
  <c r="F43" i="8"/>
  <c r="F29" i="18"/>
  <c r="C25" i="8"/>
  <c r="N28" i="1"/>
  <c r="D29" i="25" s="1"/>
  <c r="B56" i="13"/>
  <c r="N57" i="1"/>
  <c r="D58" i="25" s="1"/>
  <c r="B52" i="9"/>
  <c r="N53" i="1"/>
  <c r="D54" i="25" s="1"/>
  <c r="B41" i="14"/>
  <c r="B36" i="17"/>
  <c r="B23" i="12"/>
  <c r="N24" i="1"/>
  <c r="D25" i="25" s="1"/>
  <c r="B20" i="17"/>
  <c r="B18" i="15"/>
  <c r="B16" i="13"/>
  <c r="B13" i="18"/>
  <c r="B11" i="8"/>
  <c r="C55" i="14"/>
  <c r="C52" i="11"/>
  <c r="C50" i="17"/>
  <c r="C47" i="14"/>
  <c r="C36" i="11"/>
  <c r="C11" i="18"/>
  <c r="D53" i="14"/>
  <c r="D45" i="14"/>
  <c r="N46" i="3"/>
  <c r="F47" i="25" s="1"/>
  <c r="D42" i="11"/>
  <c r="N43" i="3"/>
  <c r="F44" i="25" s="1"/>
  <c r="D38" i="15"/>
  <c r="N39" i="3"/>
  <c r="F40" i="25" s="1"/>
  <c r="D35" i="12"/>
  <c r="N36" i="3"/>
  <c r="F37" i="25" s="1"/>
  <c r="D28" i="13"/>
  <c r="D23" i="8"/>
  <c r="N24" i="3"/>
  <c r="F25" i="25" s="1"/>
  <c r="N20" i="3"/>
  <c r="F21" i="25" s="1"/>
  <c r="D19" i="12"/>
  <c r="D15" i="16"/>
  <c r="N9" i="3"/>
  <c r="F10" i="25" s="1"/>
  <c r="D8" i="9"/>
  <c r="E58" i="13"/>
  <c r="E51" i="14"/>
  <c r="E48" i="11"/>
  <c r="E41" i="12"/>
  <c r="E38" i="9"/>
  <c r="E35" i="14"/>
  <c r="E32" i="11"/>
  <c r="E28" i="15"/>
  <c r="N25" i="4"/>
  <c r="G26" i="25" s="1"/>
  <c r="E20" i="15"/>
  <c r="E13" i="8"/>
  <c r="E10" i="13"/>
  <c r="E5" i="8"/>
  <c r="F56" i="13"/>
  <c r="F52" i="17"/>
  <c r="F49" i="14"/>
  <c r="F36" i="9"/>
  <c r="F16" i="13"/>
  <c r="G57" i="16"/>
  <c r="G50" i="9"/>
  <c r="G47" i="14"/>
  <c r="G43" i="18"/>
  <c r="G32" i="15"/>
  <c r="G30" i="13"/>
  <c r="G28" i="11"/>
  <c r="G25" i="8"/>
  <c r="H58" i="11"/>
  <c r="H55" i="16"/>
  <c r="H48" i="9"/>
  <c r="H40" i="9"/>
  <c r="H50" i="11"/>
  <c r="B53" i="18"/>
  <c r="B51" i="16"/>
  <c r="B48" i="13"/>
  <c r="N49" i="1"/>
  <c r="D50" i="25" s="1"/>
  <c r="B40" i="13"/>
  <c r="B36" i="9"/>
  <c r="N37" i="1"/>
  <c r="D38" i="25" s="1"/>
  <c r="B19" i="16"/>
  <c r="B7" i="12"/>
  <c r="C24" i="15"/>
  <c r="C19" i="10"/>
  <c r="C17" i="16"/>
  <c r="C16" i="15"/>
  <c r="C13" i="12"/>
  <c r="C9" i="16"/>
  <c r="C6" i="13"/>
  <c r="D57" i="10"/>
  <c r="D54" i="15"/>
  <c r="D51" i="12"/>
  <c r="D48" i="9"/>
  <c r="N49" i="3"/>
  <c r="F50" i="25" s="1"/>
  <c r="D41" i="10"/>
  <c r="N42" i="3"/>
  <c r="F43" i="25" s="1"/>
  <c r="D34" i="11"/>
  <c r="N35" i="3"/>
  <c r="F36" i="25" s="1"/>
  <c r="D27" i="12"/>
  <c r="N28" i="3"/>
  <c r="F29" i="25" s="1"/>
  <c r="D24" i="9"/>
  <c r="N25" i="3"/>
  <c r="F26" i="25" s="1"/>
  <c r="D21" i="14"/>
  <c r="N22" i="3"/>
  <c r="F23" i="25" s="1"/>
  <c r="D16" i="17"/>
  <c r="D13" i="14"/>
  <c r="N11" i="3"/>
  <c r="F12" i="25" s="1"/>
  <c r="D10" i="11"/>
  <c r="N8" i="3"/>
  <c r="F9" i="25" s="1"/>
  <c r="D7" i="8"/>
  <c r="E53" i="16"/>
  <c r="E30" i="9"/>
  <c r="E21" i="8"/>
  <c r="E18" i="13"/>
  <c r="E15" i="10"/>
  <c r="E12" i="15"/>
  <c r="E9" i="12"/>
  <c r="E7" i="18"/>
  <c r="F55" i="12"/>
  <c r="F26" i="15"/>
  <c r="F24" i="13"/>
  <c r="F19" i="16"/>
  <c r="G57" i="8"/>
  <c r="G54" i="13"/>
  <c r="G48" i="15"/>
  <c r="G46" i="13"/>
  <c r="G42" i="9"/>
  <c r="G39" i="14"/>
  <c r="G35" i="18"/>
  <c r="H57" i="10"/>
  <c r="H36" i="13"/>
  <c r="N25" i="2"/>
  <c r="E26" i="25" s="1"/>
  <c r="F27" i="8"/>
  <c r="E16" i="11"/>
  <c r="B19" i="8"/>
  <c r="N29" i="3"/>
  <c r="F30" i="25" s="1"/>
  <c r="N31" i="2" l="1"/>
  <c r="E32" i="25" s="1"/>
  <c r="C24" i="11"/>
  <c r="C42" i="13"/>
  <c r="N43" i="2"/>
  <c r="E44" i="25" s="1"/>
  <c r="C39" i="18"/>
  <c r="N34" i="2"/>
  <c r="E35" i="25" s="1"/>
  <c r="C25" i="12"/>
  <c r="C23" i="10"/>
  <c r="N24" i="2"/>
  <c r="E25" i="25" s="1"/>
  <c r="C22" i="9"/>
  <c r="N23" i="2"/>
  <c r="E24" i="25" s="1"/>
  <c r="C19" i="14"/>
  <c r="N20" i="2"/>
  <c r="E21" i="25" s="1"/>
  <c r="E44" i="11"/>
  <c r="N45" i="4"/>
  <c r="G46" i="25" s="1"/>
  <c r="N42" i="4"/>
  <c r="G43" i="25" s="1"/>
  <c r="E41" i="8"/>
  <c r="E37" i="12"/>
  <c r="N38" i="4"/>
  <c r="G39" i="25" s="1"/>
  <c r="N36" i="4"/>
  <c r="G37" i="25" s="1"/>
  <c r="E35" i="10"/>
  <c r="E34" i="9"/>
  <c r="N35" i="4"/>
  <c r="G36" i="25" s="1"/>
  <c r="E31" i="14"/>
  <c r="N32" i="4"/>
  <c r="G33" i="25" s="1"/>
  <c r="E27" i="18"/>
  <c r="N23" i="4"/>
  <c r="G24" i="25" s="1"/>
  <c r="E22" i="13"/>
  <c r="E12" i="19"/>
  <c r="M5" i="4"/>
  <c r="E4" i="19" s="1"/>
  <c r="E10" i="17"/>
  <c r="N10" i="4"/>
  <c r="G11" i="25" s="1"/>
  <c r="E9" i="8"/>
  <c r="E6" i="13"/>
  <c r="F57" i="18"/>
  <c r="F39" i="15"/>
  <c r="N40" i="5"/>
  <c r="D41" i="27" s="1"/>
  <c r="F31" i="15"/>
  <c r="N32" i="5"/>
  <c r="D33" i="27" s="1"/>
  <c r="F20" i="15"/>
  <c r="N56" i="5"/>
  <c r="D57" i="27" s="1"/>
  <c r="N49" i="7"/>
  <c r="F50" i="27" s="1"/>
  <c r="N47" i="2"/>
  <c r="E48" i="25" s="1"/>
  <c r="N30" i="5"/>
  <c r="D31" i="27" s="1"/>
  <c r="C49" i="12"/>
  <c r="C55" i="10"/>
  <c r="N56" i="2"/>
  <c r="E57" i="25" s="1"/>
  <c r="C47" i="18"/>
  <c r="N46" i="2"/>
  <c r="E47" i="25" s="1"/>
  <c r="C45" i="8"/>
  <c r="C38" i="9"/>
  <c r="N39" i="2"/>
  <c r="E40" i="25" s="1"/>
  <c r="C35" i="14"/>
  <c r="N36" i="2"/>
  <c r="E37" i="25" s="1"/>
  <c r="C31" i="18"/>
  <c r="C11" i="16"/>
  <c r="C8" i="13"/>
  <c r="N9" i="2"/>
  <c r="E10" i="25" s="1"/>
  <c r="N50" i="4"/>
  <c r="G51" i="25" s="1"/>
  <c r="E49" i="8"/>
  <c r="E42" i="9"/>
  <c r="N43" i="4"/>
  <c r="G44" i="25" s="1"/>
  <c r="E29" i="12"/>
  <c r="N30" i="4"/>
  <c r="G31" i="25" s="1"/>
  <c r="E25" i="16"/>
  <c r="E19" i="18"/>
  <c r="N12" i="4"/>
  <c r="G13" i="25" s="1"/>
  <c r="E11" i="10"/>
  <c r="E8" i="15"/>
  <c r="N9" i="4"/>
  <c r="G10" i="25" s="1"/>
  <c r="F5" i="4"/>
  <c r="E4" i="12" s="1"/>
  <c r="N6" i="4"/>
  <c r="G7" i="25" s="1"/>
  <c r="F38" i="12"/>
  <c r="N39" i="5"/>
  <c r="D40" i="27" s="1"/>
  <c r="F32" i="17"/>
  <c r="F30" i="12"/>
  <c r="N31" i="5"/>
  <c r="D32" i="27" s="1"/>
  <c r="F25" i="10"/>
  <c r="N26" i="5"/>
  <c r="D27" i="27" s="1"/>
  <c r="G5" i="10"/>
  <c r="D5" i="6"/>
  <c r="G4" i="10" s="1"/>
  <c r="H45" i="14"/>
  <c r="H37" i="14"/>
  <c r="N7" i="4"/>
  <c r="G8" i="25" s="1"/>
  <c r="N34" i="4"/>
  <c r="G35" i="25" s="1"/>
  <c r="C53" i="8"/>
  <c r="F50" i="11"/>
  <c r="C33" i="12"/>
  <c r="C34" i="13"/>
  <c r="C57" i="12"/>
  <c r="N58" i="2"/>
  <c r="E59" i="25" s="1"/>
  <c r="C56" i="11"/>
  <c r="C54" i="9"/>
  <c r="N55" i="2"/>
  <c r="E56" i="25" s="1"/>
  <c r="N52" i="2"/>
  <c r="E53" i="25" s="1"/>
  <c r="C51" i="14"/>
  <c r="C38" i="17"/>
  <c r="C32" i="11"/>
  <c r="N33" i="2"/>
  <c r="E34" i="25" s="1"/>
  <c r="C28" i="15"/>
  <c r="N29" i="2"/>
  <c r="E30" i="25" s="1"/>
  <c r="C23" i="18"/>
  <c r="C7" i="12"/>
  <c r="N8" i="2"/>
  <c r="E9" i="25" s="1"/>
  <c r="E58" i="9"/>
  <c r="N59" i="4"/>
  <c r="G60" i="25" s="1"/>
  <c r="E41" i="16"/>
  <c r="E33" i="16"/>
  <c r="E27" i="10"/>
  <c r="N28" i="4"/>
  <c r="G29" i="25" s="1"/>
  <c r="N21" i="4"/>
  <c r="G22" i="25" s="1"/>
  <c r="E18" i="17"/>
  <c r="E16" i="15"/>
  <c r="N17" i="4"/>
  <c r="G18" i="25" s="1"/>
  <c r="E13" i="12"/>
  <c r="N14" i="4"/>
  <c r="G15" i="25" s="1"/>
  <c r="E9" i="16"/>
  <c r="F33" i="19"/>
  <c r="F32" i="8"/>
  <c r="N33" i="5"/>
  <c r="D34" i="27" s="1"/>
  <c r="F28" i="17"/>
  <c r="F26" i="12"/>
  <c r="F27" i="14"/>
  <c r="N28" i="5"/>
  <c r="D29" i="27" s="1"/>
  <c r="N53" i="7"/>
  <c r="F54" i="27" s="1"/>
  <c r="N19" i="4"/>
  <c r="G20" i="25" s="1"/>
  <c r="C5" i="6"/>
  <c r="G4" i="9" s="1"/>
  <c r="C44" i="15"/>
  <c r="C55" i="18"/>
  <c r="N53" i="2"/>
  <c r="E54" i="25" s="1"/>
  <c r="C52" i="15"/>
  <c r="C36" i="15"/>
  <c r="C30" i="17"/>
  <c r="E57" i="16"/>
  <c r="N46" i="4"/>
  <c r="G47" i="25" s="1"/>
  <c r="E45" i="12"/>
  <c r="E32" i="15"/>
  <c r="N33" i="4"/>
  <c r="G34" i="25" s="1"/>
  <c r="N16" i="4"/>
  <c r="G17" i="25" s="1"/>
  <c r="E15" i="14"/>
  <c r="E11" i="18"/>
  <c r="F58" i="11"/>
  <c r="F40" i="16"/>
  <c r="N41" i="5"/>
  <c r="D42" i="27" s="1"/>
  <c r="F35" i="14"/>
  <c r="N36" i="5"/>
  <c r="D37" i="27" s="1"/>
  <c r="F18" i="13"/>
  <c r="N19" i="5"/>
  <c r="D20" i="27" s="1"/>
  <c r="G25" i="12"/>
  <c r="N45" i="2"/>
  <c r="E46" i="25" s="1"/>
  <c r="N30" i="2"/>
  <c r="E31" i="25" s="1"/>
  <c r="N46" i="6"/>
  <c r="E47" i="27" s="1"/>
  <c r="E20" i="11"/>
  <c r="C54" i="17"/>
  <c r="C53" i="16"/>
  <c r="N51" i="2"/>
  <c r="E52" i="25" s="1"/>
  <c r="C50" i="13"/>
  <c r="C41" i="12"/>
  <c r="N42" i="2"/>
  <c r="E43" i="25" s="1"/>
  <c r="C37" i="16"/>
  <c r="E57" i="8"/>
  <c r="N58" i="4"/>
  <c r="G59" i="25" s="1"/>
  <c r="E30" i="13"/>
  <c r="N31" i="4"/>
  <c r="G32" i="25" s="1"/>
  <c r="E28" i="11"/>
  <c r="N29" i="4"/>
  <c r="G30" i="25" s="1"/>
  <c r="E26" i="9"/>
  <c r="N27" i="4"/>
  <c r="G28" i="25" s="1"/>
  <c r="E21" i="12"/>
  <c r="N22" i="4"/>
  <c r="G23" i="25" s="1"/>
  <c r="E14" i="13"/>
  <c r="N15" i="4"/>
  <c r="G16" i="25" s="1"/>
  <c r="N8" i="4"/>
  <c r="G9" i="25" s="1"/>
  <c r="E7" i="14"/>
  <c r="F28" i="8"/>
  <c r="N29" i="5"/>
  <c r="D30" i="27" s="1"/>
  <c r="F13" i="16"/>
  <c r="G10" i="15"/>
  <c r="I5" i="6"/>
  <c r="G4" i="15" s="1"/>
  <c r="N25" i="5"/>
  <c r="D26" i="27" s="1"/>
  <c r="N11" i="4"/>
  <c r="G12" i="25" s="1"/>
  <c r="N48" i="2"/>
  <c r="E49" i="25" s="1"/>
  <c r="N35" i="5"/>
  <c r="D36" i="27" s="1"/>
  <c r="N57" i="6"/>
  <c r="E58" i="27" s="1"/>
  <c r="E17" i="8"/>
  <c r="F36" i="8"/>
  <c r="E5" i="12"/>
  <c r="N59" i="2"/>
  <c r="E60" i="25" s="1"/>
  <c r="N49" i="2"/>
  <c r="E50" i="25" s="1"/>
  <c r="C43" i="14"/>
  <c r="N44" i="2"/>
  <c r="E45" i="25" s="1"/>
  <c r="C40" i="11"/>
  <c r="N41" i="2"/>
  <c r="E42" i="25" s="1"/>
  <c r="N38" i="2"/>
  <c r="E39" i="25" s="1"/>
  <c r="C37" i="8"/>
  <c r="C29" i="16"/>
  <c r="C27" i="14"/>
  <c r="N28" i="2"/>
  <c r="E29" i="25" s="1"/>
  <c r="N27" i="2"/>
  <c r="E28" i="25" s="1"/>
  <c r="C22" i="17"/>
  <c r="C5" i="10"/>
  <c r="N6" i="2"/>
  <c r="E7" i="25" s="1"/>
  <c r="E56" i="15"/>
  <c r="N57" i="4"/>
  <c r="G58" i="25" s="1"/>
  <c r="E42" i="17"/>
  <c r="E40" i="15"/>
  <c r="E39" i="14"/>
  <c r="N40" i="4"/>
  <c r="G41" i="25" s="1"/>
  <c r="E38" i="13"/>
  <c r="N39" i="4"/>
  <c r="G40" i="25" s="1"/>
  <c r="E34" i="17"/>
  <c r="E26" i="17"/>
  <c r="E23" i="14"/>
  <c r="E5" i="4"/>
  <c r="E4" i="11" s="1"/>
  <c r="N13" i="4"/>
  <c r="G14" i="25" s="1"/>
  <c r="E12" i="11"/>
  <c r="F56" i="16"/>
  <c r="N57" i="5"/>
  <c r="D58" i="27" s="1"/>
  <c r="F36" i="17"/>
  <c r="N34" i="5"/>
  <c r="D35" i="27" s="1"/>
  <c r="F33" i="10"/>
  <c r="G33" i="12"/>
  <c r="G9" i="14"/>
  <c r="N27" i="5"/>
  <c r="D28" i="27" s="1"/>
  <c r="N20" i="4"/>
  <c r="G21" i="25" s="1"/>
  <c r="N36" i="1"/>
  <c r="D37" i="25" s="1"/>
  <c r="N23" i="1"/>
  <c r="D24" i="25" s="1"/>
  <c r="N22" i="1"/>
  <c r="D23" i="25" s="1"/>
  <c r="N14" i="1"/>
  <c r="D15" i="25" s="1"/>
  <c r="N38" i="1"/>
  <c r="D39" i="25" s="1"/>
  <c r="N32" i="2"/>
  <c r="E33" i="25" s="1"/>
  <c r="N26" i="2"/>
  <c r="E27" i="25" s="1"/>
  <c r="N37" i="2"/>
  <c r="E38" i="25" s="1"/>
  <c r="J5" i="2"/>
  <c r="C4" i="16" s="1"/>
  <c r="N7" i="2"/>
  <c r="E8" i="25" s="1"/>
  <c r="N40" i="1"/>
  <c r="D41" i="25" s="1"/>
  <c r="N21" i="5"/>
  <c r="D22" i="27" s="1"/>
  <c r="N11" i="5"/>
  <c r="D12" i="27" s="1"/>
  <c r="N55" i="6"/>
  <c r="E56" i="27" s="1"/>
  <c r="N45" i="6"/>
  <c r="E46" i="27" s="1"/>
  <c r="N39" i="6"/>
  <c r="E40" i="27" s="1"/>
  <c r="N38" i="6"/>
  <c r="E39" i="27" s="1"/>
  <c r="N34" i="6"/>
  <c r="E35" i="27" s="1"/>
  <c r="N31" i="6"/>
  <c r="E32" i="27" s="1"/>
  <c r="N29" i="6"/>
  <c r="E30" i="27" s="1"/>
  <c r="N19" i="6"/>
  <c r="E20" i="27" s="1"/>
  <c r="N16" i="6"/>
  <c r="E17" i="27" s="1"/>
  <c r="N15" i="6"/>
  <c r="E16" i="27" s="1"/>
  <c r="N14" i="6"/>
  <c r="E15" i="27" s="1"/>
  <c r="M5" i="6"/>
  <c r="G4" i="19" s="1"/>
  <c r="L5" i="6"/>
  <c r="G4" i="18" s="1"/>
  <c r="N11" i="6"/>
  <c r="E12" i="27" s="1"/>
  <c r="N7" i="6"/>
  <c r="E8" i="27" s="1"/>
  <c r="N6" i="6"/>
  <c r="E7" i="27" s="1"/>
  <c r="N40" i="7"/>
  <c r="F41" i="27" s="1"/>
  <c r="J5" i="7"/>
  <c r="H4" i="16" s="1"/>
  <c r="G49" i="15"/>
  <c r="G47" i="19"/>
  <c r="B5" i="6"/>
  <c r="G4" i="8" s="1"/>
  <c r="H42" i="19"/>
  <c r="H41" i="17"/>
  <c r="H36" i="14"/>
  <c r="H31" i="12"/>
  <c r="H24" i="14"/>
  <c r="N25" i="7"/>
  <c r="F26" i="27" s="1"/>
  <c r="N23" i="5"/>
  <c r="D24" i="27" s="1"/>
  <c r="N42" i="6"/>
  <c r="E43" i="27" s="1"/>
  <c r="N43" i="7"/>
  <c r="F44" i="27" s="1"/>
  <c r="B20" i="11"/>
  <c r="C14" i="17"/>
  <c r="N15" i="2"/>
  <c r="E16" i="25" s="1"/>
  <c r="N58" i="7"/>
  <c r="F59" i="27" s="1"/>
  <c r="N10" i="6"/>
  <c r="E11" i="27" s="1"/>
  <c r="G14" i="13"/>
  <c r="N40" i="6"/>
  <c r="E41" i="27" s="1"/>
  <c r="N44" i="6"/>
  <c r="E45" i="27" s="1"/>
  <c r="G6" i="13"/>
  <c r="G19" i="18"/>
  <c r="N51" i="6"/>
  <c r="E52" i="27" s="1"/>
  <c r="N17" i="5"/>
  <c r="D18" i="27" s="1"/>
  <c r="N13" i="5"/>
  <c r="D14" i="27" s="1"/>
  <c r="N21" i="6"/>
  <c r="E22" i="27" s="1"/>
  <c r="F20" i="9"/>
  <c r="F5" i="2"/>
  <c r="C4" i="12" s="1"/>
  <c r="N54" i="7"/>
  <c r="F55" i="27" s="1"/>
  <c r="G13" i="12"/>
  <c r="F10" i="15"/>
  <c r="N28" i="6"/>
  <c r="E29" i="27" s="1"/>
  <c r="N33" i="7"/>
  <c r="F34" i="27" s="1"/>
  <c r="N15" i="5"/>
  <c r="D16" i="27" s="1"/>
  <c r="N26" i="7"/>
  <c r="F27" i="27" s="1"/>
  <c r="N32" i="7"/>
  <c r="F33" i="27" s="1"/>
  <c r="N51" i="7"/>
  <c r="F52" i="27" s="1"/>
  <c r="G38" i="8"/>
  <c r="H40" i="14"/>
  <c r="G57" i="15"/>
  <c r="G54" i="17"/>
  <c r="G51" i="10"/>
  <c r="N52" i="6"/>
  <c r="E53" i="27" s="1"/>
  <c r="G22" i="17"/>
  <c r="N18" i="6"/>
  <c r="E19" i="27" s="1"/>
  <c r="N59" i="6"/>
  <c r="E60" i="27" s="1"/>
  <c r="N20" i="5"/>
  <c r="D21" i="27" s="1"/>
  <c r="N13" i="6"/>
  <c r="E14" i="27" s="1"/>
  <c r="N6" i="5"/>
  <c r="D7" i="27" s="1"/>
  <c r="N27" i="7"/>
  <c r="F28" i="27" s="1"/>
  <c r="N48" i="6"/>
  <c r="E49" i="27" s="1"/>
  <c r="G30" i="8"/>
  <c r="B22" i="13"/>
  <c r="G33" i="15"/>
  <c r="F18" i="15"/>
  <c r="G40" i="12"/>
  <c r="N41" i="6"/>
  <c r="E42" i="27" s="1"/>
  <c r="G28" i="12"/>
  <c r="G23" i="10"/>
  <c r="N24" i="6"/>
  <c r="E25" i="27" s="1"/>
  <c r="G50" i="13"/>
  <c r="G17" i="16"/>
  <c r="H49" i="8"/>
  <c r="N50" i="7"/>
  <c r="F51" i="27" s="1"/>
  <c r="H34" i="10"/>
  <c r="N35" i="7"/>
  <c r="F36" i="27" s="1"/>
  <c r="H25" i="17"/>
  <c r="N8" i="6"/>
  <c r="E9" i="27" s="1"/>
  <c r="L5" i="5"/>
  <c r="F4" i="18" s="1"/>
  <c r="N24" i="5"/>
  <c r="D25" i="27" s="1"/>
  <c r="N46" i="7"/>
  <c r="F47" i="27" s="1"/>
  <c r="G54" i="8"/>
  <c r="C10" i="16"/>
  <c r="G11" i="18"/>
  <c r="G12" i="19"/>
  <c r="N50" i="6"/>
  <c r="E51" i="27" s="1"/>
  <c r="G7" i="14"/>
  <c r="N12" i="6"/>
  <c r="E13" i="27" s="1"/>
  <c r="N17" i="6"/>
  <c r="E18" i="27" s="1"/>
  <c r="N8" i="5"/>
  <c r="D9" i="27" s="1"/>
  <c r="N37" i="6"/>
  <c r="E38" i="27" s="1"/>
  <c r="N9" i="5"/>
  <c r="D10" i="27" s="1"/>
  <c r="B5" i="2"/>
  <c r="C4" i="8" s="1"/>
  <c r="N55" i="7"/>
  <c r="F56" i="27" s="1"/>
  <c r="G10" i="9"/>
  <c r="N53" i="6"/>
  <c r="E54" i="27" s="1"/>
  <c r="N39" i="7"/>
  <c r="F40" i="27" s="1"/>
  <c r="N47" i="7"/>
  <c r="F48" i="27" s="1"/>
  <c r="K5" i="6"/>
  <c r="G4" i="17" s="1"/>
  <c r="F15" i="12"/>
  <c r="G37" i="15"/>
  <c r="N23" i="6"/>
  <c r="E24" i="27" s="1"/>
  <c r="G42" i="13"/>
  <c r="H33" i="8"/>
  <c r="N34" i="7"/>
  <c r="F35" i="27" s="1"/>
  <c r="N47" i="6"/>
  <c r="E48" i="27" s="1"/>
  <c r="N33" i="6"/>
  <c r="E34" i="27" s="1"/>
  <c r="N20" i="6"/>
  <c r="E21" i="27" s="1"/>
  <c r="B17" i="16"/>
  <c r="B15" i="14"/>
  <c r="N16" i="1"/>
  <c r="D17" i="25" s="1"/>
  <c r="N15" i="1"/>
  <c r="D16" i="25" s="1"/>
  <c r="C12" i="9"/>
  <c r="N13" i="2"/>
  <c r="E14" i="25" s="1"/>
  <c r="C5" i="2"/>
  <c r="C4" i="9" s="1"/>
  <c r="N12" i="2"/>
  <c r="E13" i="25" s="1"/>
  <c r="C11" i="8"/>
  <c r="C9" i="15"/>
  <c r="I5" i="2"/>
  <c r="C4" i="15" s="1"/>
  <c r="F23" i="12"/>
  <c r="E5" i="6"/>
  <c r="G4" i="11" s="1"/>
  <c r="N43" i="6"/>
  <c r="E44" i="27" s="1"/>
  <c r="N58" i="6"/>
  <c r="E59" i="27" s="1"/>
  <c r="N48" i="7"/>
  <c r="F49" i="27" s="1"/>
  <c r="H5" i="2"/>
  <c r="C4" i="14" s="1"/>
  <c r="N11" i="2"/>
  <c r="E12" i="25" s="1"/>
  <c r="N38" i="5"/>
  <c r="D39" i="27" s="1"/>
  <c r="N30" i="7"/>
  <c r="F31" i="27" s="1"/>
  <c r="N12" i="5"/>
  <c r="D13" i="27" s="1"/>
  <c r="N10" i="5"/>
  <c r="D11" i="27" s="1"/>
  <c r="G44" i="12"/>
  <c r="N27" i="6"/>
  <c r="E28" i="27" s="1"/>
  <c r="G26" i="8"/>
  <c r="G24" i="12"/>
  <c r="N25" i="6"/>
  <c r="E26" i="27" s="1"/>
  <c r="N22" i="6"/>
  <c r="E23" i="27" s="1"/>
  <c r="G21" i="15"/>
  <c r="G18" i="17"/>
  <c r="J5" i="6"/>
  <c r="G4" i="16" s="1"/>
  <c r="H5" i="6"/>
  <c r="G4" i="14" s="1"/>
  <c r="H56" i="14"/>
  <c r="N57" i="7"/>
  <c r="F58" i="27" s="1"/>
  <c r="H55" i="12"/>
  <c r="N56" i="7"/>
  <c r="F57" i="27" s="1"/>
  <c r="H53" i="17"/>
  <c r="H39" i="12"/>
  <c r="H34" i="19"/>
  <c r="H30" i="10"/>
  <c r="N31" i="7"/>
  <c r="F32" i="27" s="1"/>
  <c r="H29" i="17"/>
  <c r="H23" i="12"/>
  <c r="N24" i="7"/>
  <c r="F25" i="27" s="1"/>
  <c r="N38" i="7"/>
  <c r="F39" i="27" s="1"/>
  <c r="N9" i="6"/>
  <c r="E10" i="27" s="1"/>
  <c r="B16" i="15"/>
  <c r="N17" i="1"/>
  <c r="D18" i="25" s="1"/>
  <c r="B12" i="12"/>
  <c r="N13" i="1"/>
  <c r="D14" i="25" s="1"/>
  <c r="D56" i="8"/>
  <c r="B5" i="3"/>
  <c r="D4" i="8" s="1"/>
  <c r="F5" i="1"/>
  <c r="B4" i="12" s="1"/>
  <c r="N37" i="7"/>
  <c r="F38" i="27" s="1"/>
  <c r="G9" i="8"/>
  <c r="N14" i="2"/>
  <c r="E15" i="25" s="1"/>
  <c r="N41" i="7"/>
  <c r="F42" i="27" s="1"/>
  <c r="G16" i="15"/>
  <c r="G18" i="9"/>
  <c r="N10" i="2"/>
  <c r="E11" i="25" s="1"/>
  <c r="N29" i="7"/>
  <c r="F30" i="27" s="1"/>
  <c r="N16" i="5"/>
  <c r="D17" i="27" s="1"/>
  <c r="N18" i="5"/>
  <c r="D19" i="27" s="1"/>
  <c r="G22" i="8"/>
  <c r="N7" i="5"/>
  <c r="D8" i="27" s="1"/>
  <c r="E5" i="5"/>
  <c r="F4" i="11" s="1"/>
  <c r="G56" i="12"/>
  <c r="N54" i="6"/>
  <c r="E55" i="27" s="1"/>
  <c r="G53" i="15"/>
  <c r="G35" i="10"/>
  <c r="N36" i="6"/>
  <c r="E37" i="27" s="1"/>
  <c r="G34" i="8"/>
  <c r="N35" i="6"/>
  <c r="E36" i="27" s="1"/>
  <c r="G31" i="10"/>
  <c r="N32" i="6"/>
  <c r="E33" i="27" s="1"/>
  <c r="G29" i="15"/>
  <c r="N30" i="6"/>
  <c r="E31" i="27" s="1"/>
  <c r="G25" i="15"/>
  <c r="N26" i="6"/>
  <c r="E27" i="27" s="1"/>
  <c r="H41" i="8"/>
  <c r="N42" i="7"/>
  <c r="F43" i="27" s="1"/>
  <c r="H22" i="10"/>
  <c r="N23" i="7"/>
  <c r="F24" i="27" s="1"/>
  <c r="N49" i="6"/>
  <c r="E50" i="27" s="1"/>
  <c r="N59" i="7"/>
  <c r="F60" i="27" s="1"/>
  <c r="N14" i="5"/>
  <c r="D15" i="27" s="1"/>
  <c r="N22" i="5"/>
  <c r="D23" i="27" s="1"/>
  <c r="N56" i="6"/>
  <c r="E57" i="27" s="1"/>
  <c r="F5" i="6"/>
  <c r="G4" i="12" s="1"/>
  <c r="G15" i="14"/>
  <c r="N45" i="7"/>
  <c r="F46" i="27" s="1"/>
  <c r="N21" i="2"/>
  <c r="E22" i="25" s="1"/>
  <c r="N56" i="4"/>
  <c r="G57" i="25" s="1"/>
  <c r="N17" i="2"/>
  <c r="E18" i="25" s="1"/>
  <c r="N45" i="5"/>
  <c r="D46" i="27" s="1"/>
  <c r="H5" i="1"/>
  <c r="B4" i="14" s="1"/>
  <c r="N22" i="2"/>
  <c r="E23" i="25" s="1"/>
  <c r="N54" i="5"/>
  <c r="D55" i="27" s="1"/>
  <c r="N15" i="3"/>
  <c r="F16" i="25" s="1"/>
  <c r="N52" i="3"/>
  <c r="F53" i="25" s="1"/>
  <c r="N52" i="4"/>
  <c r="G53" i="25" s="1"/>
  <c r="H5" i="5"/>
  <c r="F4" i="14" s="1"/>
  <c r="N47" i="1"/>
  <c r="D48" i="25" s="1"/>
  <c r="A3" i="6"/>
  <c r="C61" i="25"/>
  <c r="A59" i="11"/>
  <c r="A59" i="16"/>
  <c r="A59" i="13"/>
  <c r="A3" i="5"/>
  <c r="A3" i="3"/>
  <c r="A59" i="10"/>
  <c r="A59" i="12"/>
  <c r="A59" i="19"/>
  <c r="A3" i="4"/>
  <c r="A59" i="18"/>
  <c r="A59" i="9"/>
  <c r="A59" i="15"/>
  <c r="A3" i="2"/>
  <c r="A3" i="7"/>
  <c r="C61" i="27"/>
  <c r="B42" i="15"/>
  <c r="D5" i="1"/>
  <c r="B4" i="10" s="1"/>
  <c r="N46" i="1"/>
  <c r="D47" i="25" s="1"/>
  <c r="B45" i="10"/>
  <c r="J5" i="1"/>
  <c r="B4" i="16" s="1"/>
  <c r="B19" i="15"/>
  <c r="N20" i="1"/>
  <c r="D21" i="25" s="1"/>
  <c r="B5" i="1"/>
  <c r="N12" i="1"/>
  <c r="D13" i="25" s="1"/>
  <c r="B10" i="15"/>
  <c r="N11" i="1"/>
  <c r="D12" i="25" s="1"/>
  <c r="B8" i="13"/>
  <c r="N9" i="1"/>
  <c r="D10" i="25" s="1"/>
  <c r="D31" i="14"/>
  <c r="N32" i="3"/>
  <c r="F33" i="25" s="1"/>
  <c r="L5" i="3"/>
  <c r="D4" i="18" s="1"/>
  <c r="D15" i="18"/>
  <c r="D13" i="15"/>
  <c r="I5" i="3"/>
  <c r="D4" i="15" s="1"/>
  <c r="C15" i="17"/>
  <c r="N16" i="2"/>
  <c r="E17" i="25" s="1"/>
  <c r="K5" i="2"/>
  <c r="C4" i="17" s="1"/>
  <c r="E54" i="17"/>
  <c r="K5" i="4"/>
  <c r="E4" i="17" s="1"/>
  <c r="E52" i="16"/>
  <c r="J5" i="4"/>
  <c r="E4" i="16" s="1"/>
  <c r="F54" i="17"/>
  <c r="F52" i="12"/>
  <c r="N53" i="5"/>
  <c r="D54" i="27" s="1"/>
  <c r="C5" i="5"/>
  <c r="F4" i="9" s="1"/>
  <c r="N51" i="5"/>
  <c r="D52" i="27" s="1"/>
  <c r="F50" i="9"/>
  <c r="F48" i="13"/>
  <c r="N49" i="5"/>
  <c r="D50" i="27" s="1"/>
  <c r="G5" i="5"/>
  <c r="F4" i="13" s="1"/>
  <c r="N48" i="5"/>
  <c r="D49" i="27" s="1"/>
  <c r="F47" i="12"/>
  <c r="F41" i="17"/>
  <c r="K5" i="5"/>
  <c r="F4" i="17" s="1"/>
  <c r="N22" i="7"/>
  <c r="F23" i="27" s="1"/>
  <c r="H21" i="14"/>
  <c r="H12" i="13"/>
  <c r="G5" i="7"/>
  <c r="H4" i="13" s="1"/>
  <c r="N13" i="7"/>
  <c r="F14" i="27" s="1"/>
  <c r="H11" i="12"/>
  <c r="N12" i="7"/>
  <c r="F13" i="27" s="1"/>
  <c r="F5" i="7"/>
  <c r="H4" i="12" s="1"/>
  <c r="N10" i="7"/>
  <c r="F11" i="27" s="1"/>
  <c r="D5" i="7"/>
  <c r="H4" i="10" s="1"/>
  <c r="H9" i="10"/>
  <c r="H7" i="8"/>
  <c r="N8" i="7"/>
  <c r="F9" i="27" s="1"/>
  <c r="B5" i="7"/>
  <c r="D54" i="12"/>
  <c r="E50" i="14"/>
  <c r="N51" i="4"/>
  <c r="G52" i="25" s="1"/>
  <c r="H8" i="9"/>
  <c r="C5" i="7"/>
  <c r="H4" i="9" s="1"/>
  <c r="N9" i="7"/>
  <c r="F10" i="27" s="1"/>
  <c r="K5" i="7"/>
  <c r="H4" i="17" s="1"/>
  <c r="N8" i="1"/>
  <c r="D9" i="25" s="1"/>
  <c r="B5" i="11"/>
  <c r="N6" i="1"/>
  <c r="D7" i="25" s="1"/>
  <c r="E5" i="1"/>
  <c r="D56" i="16"/>
  <c r="N57" i="3"/>
  <c r="F58" i="25" s="1"/>
  <c r="E5" i="3"/>
  <c r="D53" i="11"/>
  <c r="D14" i="16"/>
  <c r="J5" i="3"/>
  <c r="D4" i="16" s="1"/>
  <c r="C16" i="18"/>
  <c r="L5" i="2"/>
  <c r="C4" i="18" s="1"/>
  <c r="D5" i="4"/>
  <c r="E4" i="10" s="1"/>
  <c r="E55" i="10"/>
  <c r="F51" i="19"/>
  <c r="H7" i="16"/>
  <c r="I5" i="1"/>
  <c r="B4" i="15" s="1"/>
  <c r="N14" i="3"/>
  <c r="F15" i="25" s="1"/>
  <c r="N21" i="1"/>
  <c r="D22" i="25" s="1"/>
  <c r="N53" i="3"/>
  <c r="F54" i="25" s="1"/>
  <c r="L5" i="1"/>
  <c r="B4" i="18" s="1"/>
  <c r="B45" i="18"/>
  <c r="K5" i="1"/>
  <c r="B4" i="17" s="1"/>
  <c r="B44" i="17"/>
  <c r="N44" i="1"/>
  <c r="D45" i="25" s="1"/>
  <c r="B43" i="8"/>
  <c r="B40" i="14"/>
  <c r="N41" i="1"/>
  <c r="D42" i="25" s="1"/>
  <c r="B6" i="12"/>
  <c r="N7" i="1"/>
  <c r="D8" i="25" s="1"/>
  <c r="N56" i="3"/>
  <c r="F57" i="25" s="1"/>
  <c r="D55" i="14"/>
  <c r="D52" i="18"/>
  <c r="D37" i="16"/>
  <c r="N38" i="3"/>
  <c r="F39" i="25" s="1"/>
  <c r="D15" i="9"/>
  <c r="N16" i="3"/>
  <c r="F17" i="25" s="1"/>
  <c r="N13" i="3"/>
  <c r="F14" i="25" s="1"/>
  <c r="D12" i="13"/>
  <c r="G5" i="3"/>
  <c r="D4" i="13" s="1"/>
  <c r="C17" i="11"/>
  <c r="E5" i="2"/>
  <c r="N18" i="2"/>
  <c r="E19" i="25" s="1"/>
  <c r="I5" i="4"/>
  <c r="E4" i="15" s="1"/>
  <c r="E51" i="15"/>
  <c r="E46" i="14"/>
  <c r="H5" i="4"/>
  <c r="E4" i="14" s="1"/>
  <c r="N47" i="4"/>
  <c r="G48" i="25" s="1"/>
  <c r="F53" i="15"/>
  <c r="N52" i="5"/>
  <c r="D53" i="27" s="1"/>
  <c r="F51" i="10"/>
  <c r="N50" i="5"/>
  <c r="D51" i="27" s="1"/>
  <c r="F49" i="16"/>
  <c r="J5" i="5"/>
  <c r="F4" i="16" s="1"/>
  <c r="F44" i="15"/>
  <c r="F42" i="10"/>
  <c r="D5" i="5"/>
  <c r="F4" i="10" s="1"/>
  <c r="N43" i="5"/>
  <c r="D44" i="27" s="1"/>
  <c r="H15" i="16"/>
  <c r="H10" i="11"/>
  <c r="N11" i="7"/>
  <c r="F12" i="27" s="1"/>
  <c r="N6" i="7"/>
  <c r="F7" i="27" s="1"/>
  <c r="H5" i="7"/>
  <c r="H4" i="14" s="1"/>
  <c r="H5" i="14"/>
  <c r="N54" i="3"/>
  <c r="F55" i="25" s="1"/>
  <c r="N55" i="3"/>
  <c r="F56" i="25" s="1"/>
  <c r="N59" i="3"/>
  <c r="F60" i="25" s="1"/>
  <c r="M5" i="1"/>
  <c r="B4" i="19" s="1"/>
  <c r="D57" i="17"/>
  <c r="B41" i="15"/>
  <c r="N42" i="1"/>
  <c r="D43" i="25" s="1"/>
  <c r="B18" i="14"/>
  <c r="N19" i="1"/>
  <c r="D20" i="25" s="1"/>
  <c r="B9" i="14"/>
  <c r="N10" i="1"/>
  <c r="D11" i="25" s="1"/>
  <c r="M5" i="3"/>
  <c r="D4" i="19" s="1"/>
  <c r="D53" i="19"/>
  <c r="D51" i="17"/>
  <c r="K5" i="3"/>
  <c r="D4" i="17" s="1"/>
  <c r="G5" i="2"/>
  <c r="C4" i="13" s="1"/>
  <c r="C21" i="13"/>
  <c r="C18" i="11"/>
  <c r="N19" i="2"/>
  <c r="E20" i="25" s="1"/>
  <c r="D5" i="2"/>
  <c r="C16" i="10"/>
  <c r="C5" i="4"/>
  <c r="E4" i="9" s="1"/>
  <c r="N55" i="4"/>
  <c r="G56" i="25" s="1"/>
  <c r="B5" i="4"/>
  <c r="E52" i="8"/>
  <c r="N53" i="4"/>
  <c r="G54" i="25" s="1"/>
  <c r="F54" i="8"/>
  <c r="N55" i="5"/>
  <c r="D56" i="27" s="1"/>
  <c r="F45" i="17"/>
  <c r="F43" i="12"/>
  <c r="N44" i="5"/>
  <c r="D45" i="27" s="1"/>
  <c r="F5" i="5"/>
  <c r="B5" i="5"/>
  <c r="F41" i="8"/>
  <c r="N42" i="5"/>
  <c r="D43" i="27" s="1"/>
  <c r="H51" i="16"/>
  <c r="N52" i="7"/>
  <c r="F53" i="27" s="1"/>
  <c r="H35" i="16"/>
  <c r="N36" i="7"/>
  <c r="F37" i="27" s="1"/>
  <c r="N28" i="7"/>
  <c r="F29" i="27" s="1"/>
  <c r="H27" i="16"/>
  <c r="H20" i="13"/>
  <c r="N21" i="7"/>
  <c r="F22" i="27" s="1"/>
  <c r="N20" i="7"/>
  <c r="F21" i="27" s="1"/>
  <c r="H19" i="12"/>
  <c r="H18" i="11"/>
  <c r="N19" i="7"/>
  <c r="F20" i="27" s="1"/>
  <c r="H16" i="9"/>
  <c r="N17" i="7"/>
  <c r="F18" i="27" s="1"/>
  <c r="N15" i="7"/>
  <c r="F16" i="27" s="1"/>
  <c r="H14" i="15"/>
  <c r="H9" i="18"/>
  <c r="L5" i="7"/>
  <c r="H4" i="18" s="1"/>
  <c r="H6" i="15"/>
  <c r="N7" i="7"/>
  <c r="F8" i="27" s="1"/>
  <c r="I5" i="7"/>
  <c r="H4" i="15" s="1"/>
  <c r="N44" i="7"/>
  <c r="F45" i="27" s="1"/>
  <c r="H5" i="3"/>
  <c r="D4" i="14" s="1"/>
  <c r="I5" i="5"/>
  <c r="F4" i="15" s="1"/>
  <c r="E5" i="7"/>
  <c r="N45" i="1"/>
  <c r="D46" i="25" s="1"/>
  <c r="C5" i="1"/>
  <c r="B4" i="9" s="1"/>
  <c r="B39" i="14"/>
  <c r="D16" i="12"/>
  <c r="N17" i="3"/>
  <c r="F18" i="25" s="1"/>
  <c r="F5" i="3"/>
  <c r="D4" i="12" s="1"/>
  <c r="C17" i="19"/>
  <c r="M5" i="2"/>
  <c r="C4" i="19" s="1"/>
  <c r="E55" i="18"/>
  <c r="L5" i="4"/>
  <c r="E4" i="18" s="1"/>
  <c r="N54" i="4"/>
  <c r="G55" i="25" s="1"/>
  <c r="E53" i="8"/>
  <c r="G5" i="4"/>
  <c r="E47" i="13"/>
  <c r="N48" i="4"/>
  <c r="G49" i="25" s="1"/>
  <c r="F45" i="8"/>
  <c r="N46" i="5"/>
  <c r="D47" i="27" s="1"/>
  <c r="F42" i="19"/>
  <c r="M5" i="5"/>
  <c r="F4" i="19" s="1"/>
  <c r="H17" i="10"/>
  <c r="N18" i="7"/>
  <c r="F19" i="27" s="1"/>
  <c r="N16" i="7"/>
  <c r="F17" i="27" s="1"/>
  <c r="H15" i="8"/>
  <c r="H13" i="14"/>
  <c r="N14" i="7"/>
  <c r="F15" i="27" s="1"/>
  <c r="H10" i="19"/>
  <c r="M5" i="7"/>
  <c r="H4" i="19" s="1"/>
  <c r="G5" i="1"/>
  <c r="B4" i="13" s="1"/>
  <c r="C5" i="3"/>
  <c r="N47" i="5"/>
  <c r="D48" i="27" s="1"/>
  <c r="N58" i="3"/>
  <c r="F59" i="25" s="1"/>
  <c r="N49" i="4"/>
  <c r="G50" i="25" s="1"/>
  <c r="N43" i="1"/>
  <c r="D44" i="25" s="1"/>
  <c r="N48" i="1"/>
  <c r="D49" i="25" s="1"/>
  <c r="B47" i="11"/>
  <c r="G5" i="6"/>
  <c r="G4" i="13" s="1"/>
  <c r="A59" i="14"/>
  <c r="A59" i="17"/>
  <c r="D5" i="3"/>
  <c r="D4" i="10" s="1"/>
  <c r="N58" i="5"/>
  <c r="D59" i="27" s="1"/>
  <c r="N5" i="6" l="1"/>
  <c r="E6" i="27" s="1"/>
  <c r="C4" i="10"/>
  <c r="N5" i="2"/>
  <c r="E6" i="25" s="1"/>
  <c r="E4" i="13"/>
  <c r="C4" i="11"/>
  <c r="D4" i="11"/>
  <c r="B4" i="8"/>
  <c r="N5" i="1"/>
  <c r="D6" i="25" s="1"/>
  <c r="D4" i="9"/>
  <c r="N5" i="3"/>
  <c r="F6" i="25" s="1"/>
  <c r="E4" i="8"/>
  <c r="N5" i="4"/>
  <c r="G6" i="25" s="1"/>
  <c r="N5" i="7"/>
  <c r="F6" i="27" s="1"/>
  <c r="H4" i="8"/>
  <c r="H4" i="11"/>
  <c r="F4" i="8"/>
  <c r="N5" i="5"/>
  <c r="D6" i="27" s="1"/>
  <c r="B4" i="11"/>
  <c r="F4" i="12"/>
</calcChain>
</file>

<file path=xl/sharedStrings.xml><?xml version="1.0" encoding="utf-8"?>
<sst xmlns="http://schemas.openxmlformats.org/spreadsheetml/2006/main" count="1346" uniqueCount="108">
  <si>
    <t>TANF:  Total Number of Families</t>
  </si>
  <si>
    <t>State</t>
  </si>
  <si>
    <t>U.S. Totals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</si>
  <si>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</si>
  <si>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</si>
  <si>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</si>
  <si>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</si>
  <si>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</si>
  <si>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</si>
  <si>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</si>
  <si>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</si>
  <si>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</si>
  <si>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</si>
  <si>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</si>
  <si>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</si>
  <si>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</si>
  <si>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</si>
  <si>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</si>
  <si>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</si>
  <si>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</si>
  <si>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</si>
  <si>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</si>
  <si>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</si>
  <si>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</si>
  <si>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</si>
  <si>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</si>
  <si>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</si>
  <si>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</si>
  <si>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</si>
  <si>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</si>
  <si>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</si>
  <si>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</si>
  <si>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</si>
  <si>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</si>
  <si>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</si>
  <si>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</si>
  <si>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</si>
  <si>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</si>
  <si>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</si>
  <si>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</si>
  <si>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</si>
  <si>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</si>
  <si>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</si>
  <si>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</si>
  <si>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</si>
  <si>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</si>
  <si>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</si>
  <si>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</si>
  <si>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</si>
  <si>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</si>
  <si>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</si>
  <si>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</si>
  <si>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</si>
  <si>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</si>
  <si>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</si>
  <si>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</si>
  <si>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</si>
  <si>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 xml:space="preserve">    </t>
  </si>
  <si>
    <t xml:space="preserve">Notes: </t>
  </si>
  <si>
    <t>TANF:   Total Number of Two Parent Families</t>
  </si>
  <si>
    <t>TANF:  Total Number of One Parent Families</t>
  </si>
  <si>
    <t>TANF:  Total Number of No Parent Families</t>
  </si>
  <si>
    <t>TANF:  Total Number of Recipients</t>
  </si>
  <si>
    <t>TANF:  Total Number of Adult Recipients</t>
  </si>
  <si>
    <t>TANF:  Total Number of Child Recipients</t>
  </si>
  <si>
    <t>Temporary Assistance for Needy Families (TANF)</t>
  </si>
  <si>
    <t>Total
Families</t>
  </si>
  <si>
    <t>Two
Parent
Families</t>
  </si>
  <si>
    <t>One 
Parent 
Families</t>
  </si>
  <si>
    <t>No 
Parent 
Families</t>
  </si>
  <si>
    <t>Total Recipients</t>
  </si>
  <si>
    <t>Adults</t>
  </si>
  <si>
    <t>Children</t>
  </si>
  <si>
    <t>Total 
Recipients</t>
  </si>
  <si>
    <t>"-" - data inapplicable</t>
  </si>
  <si>
    <t>LIST OF TABLES</t>
  </si>
  <si>
    <t>Families</t>
  </si>
  <si>
    <t>Recipients</t>
  </si>
  <si>
    <t>Monthly Caseload Data</t>
  </si>
  <si>
    <t>Average Monthly Number of Families</t>
  </si>
  <si>
    <t>Average Monthly Number of Recipients</t>
  </si>
  <si>
    <t xml:space="preserve"> October 2023</t>
  </si>
  <si>
    <t xml:space="preserve"> November 2023</t>
  </si>
  <si>
    <t>Caseload Data - Fiscal Year (FY) 2024</t>
  </si>
  <si>
    <t xml:space="preserve"> December 2023</t>
  </si>
  <si>
    <t xml:space="preserve"> January 2024</t>
  </si>
  <si>
    <t xml:space="preserve"> February 2024</t>
  </si>
  <si>
    <t xml:space="preserve"> March 2024</t>
  </si>
  <si>
    <t xml:space="preserve"> April 2024</t>
  </si>
  <si>
    <t xml:space="preserve"> May 2024</t>
  </si>
  <si>
    <t xml:space="preserve"> June 2024</t>
  </si>
  <si>
    <t>July 2024</t>
  </si>
  <si>
    <t>August 2024</t>
  </si>
  <si>
    <t>September 2024</t>
  </si>
  <si>
    <t>Average
FY 2024</t>
  </si>
  <si>
    <t>Fiscal year average is based on data Oct. 2023 through Sep. 2024</t>
  </si>
  <si>
    <t>Fiscal Year 2024</t>
  </si>
  <si>
    <t>2024</t>
  </si>
  <si>
    <t xml:space="preserve"> 2024</t>
  </si>
  <si>
    <t>Fiscal Year 2024 (October - September)</t>
  </si>
  <si>
    <t>AVERAGE MONTHLY NUMBER OF FAMILIES: Oct. 2023 - Sep. 2024</t>
  </si>
  <si>
    <t>AVERAGE MONTHLY NUMBER OF RECIPIENTS, ADULTS, AND CHILDREN: Oct. 2023 - Sep. 2024</t>
  </si>
  <si>
    <t>Average Monthly Numbers: Oct. 2023 - Sep. 2024</t>
  </si>
  <si>
    <t>January 2024</t>
  </si>
  <si>
    <t xml:space="preserve">  May 2024</t>
  </si>
  <si>
    <t xml:space="preserve"> July 2024</t>
  </si>
  <si>
    <t xml:space="preserve">  August 2024</t>
  </si>
  <si>
    <t xml:space="preserve"> September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</si>
</sst>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8" fillId="0" borderId="0" applyNumberFormat="0" applyFill="0" applyBorder="0" applyAlignment="0" applyProtection="0"/>
  </cellStyleXfs>
  <cellXfs count="120">
    <xf numFmtId="0" fontId="0" fillId="0" borderId="0" xfId="0"/>
    <xf numFmtId="164" fontId="2" fillId="0" borderId="0" xfId="1" applyNumberFormat="1" applyFont="1" applyAlignment="1"/>
    <xf numFmtId="164" fontId="3" fillId="0" borderId="0" xfId="1" applyNumberFormat="1" applyFont="1" applyAlignment="1"/>
    <xf numFmtId="0" fontId="5" fillId="0" borderId="2" xfId="0" applyNumberFormat="1" applyFont="1" applyBorder="1" applyAlignment="1">
      <alignment horizontal="center"/>
    </xf>
    <xf numFmtId="17" fontId="5" fillId="0" borderId="2" xfId="1" applyNumberFormat="1" applyFont="1" applyBorder="1" applyAlignment="1">
      <alignment horizontal="center"/>
    </xf>
    <xf numFmtId="17" fontId="5" fillId="0" borderId="3" xfId="1" applyNumberFormat="1" applyFont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0" fontId="6" fillId="0" borderId="4" xfId="1" applyNumberFormat="1" applyFont="1" applyBorder="1" applyAlignment="1">
      <alignment horizontal="center"/>
    </xf>
    <xf numFmtId="164" fontId="6" fillId="0" borderId="4" xfId="1" applyNumberFormat="1" applyFont="1" applyBorder="1" applyAlignment="1"/>
    <xf numFmtId="164" fontId="4" fillId="0" borderId="0" xfId="1" applyNumberFormat="1" applyFont="1" applyAlignment="1"/>
    <xf numFmtId="0" fontId="5" fillId="0" borderId="3" xfId="1" applyNumberFormat="1" applyFont="1" applyBorder="1" applyAlignment="1"/>
    <xf numFmtId="164" fontId="5" fillId="0" borderId="3" xfId="1" applyNumberFormat="1" applyFont="1" applyBorder="1" applyAlignment="1"/>
    <xf numFmtId="164" fontId="5" fillId="0" borderId="3" xfId="1" applyNumberFormat="1" applyFont="1" applyFill="1" applyBorder="1" applyAlignment="1"/>
    <xf numFmtId="164" fontId="5" fillId="0" borderId="0" xfId="1" applyNumberFormat="1" applyFont="1" applyAlignment="1"/>
    <xf numFmtId="164" fontId="5" fillId="0" borderId="3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left"/>
    </xf>
    <xf numFmtId="164" fontId="5" fillId="2" borderId="3" xfId="1" applyNumberFormat="1" applyFont="1" applyFill="1" applyBorder="1" applyAlignment="1"/>
    <xf numFmtId="164" fontId="5" fillId="0" borderId="3" xfId="1" applyNumberFormat="1" applyFont="1" applyFill="1" applyBorder="1" applyAlignment="1">
      <alignment horizontal="center"/>
    </xf>
    <xf numFmtId="164" fontId="5" fillId="2" borderId="3" xfId="1" applyNumberFormat="1" applyFont="1" applyFill="1" applyBorder="1" applyAlignment="1">
      <alignment horizontal="left"/>
    </xf>
    <xf numFmtId="0" fontId="5" fillId="0" borderId="2" xfId="1" applyNumberFormat="1" applyFont="1" applyBorder="1" applyAlignment="1"/>
    <xf numFmtId="164" fontId="5" fillId="0" borderId="2" xfId="1" applyNumberFormat="1" applyFont="1" applyBorder="1" applyAlignment="1"/>
    <xf numFmtId="164" fontId="5" fillId="0" borderId="2" xfId="1" applyNumberFormat="1" applyFont="1" applyBorder="1" applyAlignment="1">
      <alignment horizontal="center"/>
    </xf>
    <xf numFmtId="0" fontId="5" fillId="0" borderId="0" xfId="1" applyNumberFormat="1" applyFont="1" applyAlignment="1"/>
    <xf numFmtId="0" fontId="5" fillId="0" borderId="0" xfId="1" quotePrefix="1" applyNumberFormat="1" applyFont="1" applyAlignment="1"/>
    <xf numFmtId="3" fontId="5" fillId="0" borderId="0" xfId="2" applyNumberFormat="1" applyAlignment="1"/>
    <xf numFmtId="0" fontId="5" fillId="0" borderId="6" xfId="0" applyNumberFormat="1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3" fontId="5" fillId="0" borderId="0" xfId="2" applyNumberFormat="1" applyAlignment="1">
      <alignment horizontal="center" wrapText="1"/>
    </xf>
    <xf numFmtId="164" fontId="6" fillId="0" borderId="4" xfId="1" applyNumberFormat="1" applyFont="1" applyBorder="1" applyAlignment="1">
      <alignment horizontal="right"/>
    </xf>
    <xf numFmtId="164" fontId="6" fillId="0" borderId="0" xfId="1" applyNumberFormat="1" applyFont="1" applyBorder="1" applyAlignment="1">
      <alignment horizontal="right"/>
    </xf>
    <xf numFmtId="164" fontId="5" fillId="0" borderId="3" xfId="1" applyNumberFormat="1" applyFont="1" applyBorder="1" applyAlignment="1">
      <alignment horizontal="right"/>
    </xf>
    <xf numFmtId="164" fontId="5" fillId="0" borderId="0" xfId="1" applyNumberFormat="1" applyFont="1" applyAlignment="1">
      <alignment horizontal="right"/>
    </xf>
    <xf numFmtId="164" fontId="5" fillId="0" borderId="3" xfId="1" quotePrefix="1" applyNumberFormat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3" fontId="5" fillId="0" borderId="0" xfId="2" applyNumberFormat="1" applyAlignment="1">
      <alignment horizontal="right"/>
    </xf>
    <xf numFmtId="0" fontId="5" fillId="0" borderId="0" xfId="2" applyNumberFormat="1" applyAlignment="1">
      <alignment horizontal="left"/>
    </xf>
    <xf numFmtId="3" fontId="5" fillId="0" borderId="0" xfId="1" applyNumberFormat="1" applyFont="1" applyAlignment="1">
      <alignment horizontal="right"/>
    </xf>
    <xf numFmtId="3" fontId="5" fillId="0" borderId="0" xfId="2" applyNumberFormat="1" applyFont="1" applyAlignment="1">
      <alignment horizontal="right"/>
    </xf>
    <xf numFmtId="0" fontId="5" fillId="0" borderId="3" xfId="1" applyNumberFormat="1" applyFont="1" applyBorder="1" applyAlignment="1">
      <alignment horizontal="left"/>
    </xf>
    <xf numFmtId="0" fontId="5" fillId="0" borderId="2" xfId="1" applyNumberFormat="1" applyFont="1" applyBorder="1" applyAlignment="1">
      <alignment horizontal="left"/>
    </xf>
    <xf numFmtId="0" fontId="5" fillId="0" borderId="0" xfId="2" applyNumberFormat="1" applyFont="1" applyAlignment="1">
      <alignment horizontal="left"/>
    </xf>
    <xf numFmtId="3" fontId="3" fillId="0" borderId="0" xfId="2" applyNumberFormat="1" applyFont="1" applyAlignment="1"/>
    <xf numFmtId="0" fontId="5" fillId="0" borderId="0" xfId="1" applyNumberFormat="1" applyFont="1" applyAlignment="1">
      <alignment horizontal="left"/>
    </xf>
    <xf numFmtId="3" fontId="3" fillId="0" borderId="0" xfId="1" applyNumberFormat="1" applyFont="1" applyAlignment="1"/>
    <xf numFmtId="3" fontId="5" fillId="0" borderId="0" xfId="1" applyNumberFormat="1" applyFont="1" applyAlignment="1">
      <alignment horizontal="center" wrapText="1"/>
    </xf>
    <xf numFmtId="0" fontId="5" fillId="0" borderId="0" xfId="2" applyAlignment="1"/>
    <xf numFmtId="0" fontId="5" fillId="0" borderId="0" xfId="2" applyAlignment="1">
      <alignment horizontal="center" wrapText="1"/>
    </xf>
    <xf numFmtId="164" fontId="6" fillId="0" borderId="0" xfId="1" applyNumberFormat="1" applyFont="1" applyBorder="1" applyAlignment="1"/>
    <xf numFmtId="0" fontId="5" fillId="0" borderId="0" xfId="2" applyNumberFormat="1" applyAlignment="1"/>
    <xf numFmtId="0" fontId="5" fillId="0" borderId="0" xfId="0" applyFont="1" applyAlignment="1"/>
    <xf numFmtId="0" fontId="6" fillId="2" borderId="4" xfId="1" applyNumberFormat="1" applyFont="1" applyFill="1" applyBorder="1" applyAlignment="1">
      <alignment horizontal="center"/>
    </xf>
    <xf numFmtId="164" fontId="7" fillId="0" borderId="0" xfId="1" applyNumberFormat="1" applyFont="1" applyAlignment="1"/>
    <xf numFmtId="0" fontId="5" fillId="2" borderId="3" xfId="1" applyNumberFormat="1" applyFont="1" applyFill="1" applyBorder="1" applyAlignment="1">
      <alignment horizontal="left"/>
    </xf>
    <xf numFmtId="0" fontId="5" fillId="2" borderId="2" xfId="1" applyNumberFormat="1" applyFont="1" applyFill="1" applyBorder="1" applyAlignment="1">
      <alignment horizontal="left"/>
    </xf>
    <xf numFmtId="0" fontId="5" fillId="0" borderId="0" xfId="0" applyFont="1" applyAlignment="1">
      <alignment horizontal="right"/>
    </xf>
    <xf numFmtId="0" fontId="6" fillId="2" borderId="3" xfId="1" applyNumberFormat="1" applyFont="1" applyFill="1" applyBorder="1" applyAlignment="1">
      <alignment horizontal="center"/>
    </xf>
    <xf numFmtId="164" fontId="6" fillId="0" borderId="3" xfId="1" applyNumberFormat="1" applyFont="1" applyBorder="1" applyAlignment="1">
      <alignment horizontal="right"/>
    </xf>
    <xf numFmtId="164" fontId="6" fillId="0" borderId="5" xfId="1" applyNumberFormat="1" applyFont="1" applyBorder="1" applyAlignment="1">
      <alignment horizontal="right"/>
    </xf>
    <xf numFmtId="0" fontId="4" fillId="0" borderId="0" xfId="1" applyNumberFormat="1" applyFont="1" applyBorder="1" applyAlignment="1"/>
    <xf numFmtId="0" fontId="5" fillId="2" borderId="0" xfId="0" applyNumberFormat="1" applyFont="1" applyFill="1" applyAlignment="1"/>
    <xf numFmtId="0" fontId="5" fillId="0" borderId="6" xfId="0" applyNumberFormat="1" applyFont="1" applyBorder="1" applyAlignment="1">
      <alignment horizontal="center"/>
    </xf>
    <xf numFmtId="17" fontId="5" fillId="0" borderId="6" xfId="1" applyNumberFormat="1" applyFont="1" applyBorder="1" applyAlignment="1">
      <alignment horizontal="center"/>
    </xf>
    <xf numFmtId="17" fontId="5" fillId="0" borderId="6" xfId="1" applyNumberFormat="1" applyFont="1" applyBorder="1" applyAlignment="1">
      <alignment horizontal="center" wrapText="1"/>
    </xf>
    <xf numFmtId="0" fontId="5" fillId="0" borderId="0" xfId="1" applyNumberFormat="1" applyFont="1" applyAlignment="1">
      <alignment horizontal="left"/>
    </xf>
    <xf numFmtId="164" fontId="2" fillId="0" borderId="0" xfId="1" applyNumberFormat="1" applyFont="1" applyAlignment="1"/>
    <xf numFmtId="0" fontId="3" fillId="0" borderId="0" xfId="1" applyNumberFormat="1" applyFont="1" applyAlignment="1">
      <alignment horizontal="left"/>
    </xf>
    <xf numFmtId="14" fontId="4" fillId="0" borderId="1" xfId="1" applyNumberFormat="1" applyFont="1" applyBorder="1" applyAlignment="1">
      <alignment horizontal="left"/>
    </xf>
    <xf numFmtId="0" fontId="4" fillId="0" borderId="0" xfId="1" applyNumberFormat="1" applyFont="1" applyBorder="1" applyAlignment="1">
      <alignment horizontal="left"/>
    </xf>
    <xf numFmtId="0" fontId="2" fillId="0" borderId="0" xfId="1" applyNumberFormat="1" applyFont="1" applyAlignment="1">
      <alignment horizontal="left"/>
    </xf>
    <xf numFmtId="14" fontId="4" fillId="0" borderId="0" xfId="1" applyNumberFormat="1" applyFont="1" applyBorder="1" applyAlignment="1">
      <alignment horizontal="left"/>
    </xf>
    <xf numFmtId="0" fontId="5" fillId="0" borderId="0" xfId="2" applyNumberFormat="1" applyAlignment="1">
      <alignment horizontal="left"/>
    </xf>
    <xf numFmtId="0" fontId="4" fillId="0" borderId="7" xfId="1" applyNumberFormat="1" applyFont="1" applyBorder="1" applyAlignment="1"/>
    <xf numFmtId="0" fontId="4" fillId="0" borderId="7" xfId="1" applyNumberFormat="1" applyFont="1" applyBorder="1" applyAlignment="1">
      <alignment horizontal="left"/>
    </xf>
    <xf numFmtId="0" fontId="5" fillId="0" borderId="0" xfId="2" applyNumberFormat="1" applyFont="1" applyAlignment="1">
      <alignment horizontal="left"/>
    </xf>
    <xf numFmtId="0" fontId="5" fillId="0" borderId="0" xfId="1" applyNumberFormat="1" applyFont="1" applyAlignment="1"/>
    <xf numFmtId="0" fontId="5" fillId="0" borderId="0" xfId="2" applyNumberFormat="1" applyAlignment="1"/>
    <xf numFmtId="0" fontId="5" fillId="2" borderId="0" xfId="0" applyNumberFormat="1" applyFont="1" applyFill="1" applyAlignment="1">
      <alignment horizontal="left"/>
    </xf>
    <xf numFmtId="0" fontId="3" fillId="0" borderId="0" xfId="1" applyNumberFormat="1" applyFont="1" applyAlignment="1"/>
    <xf numFmtId="14" fontId="4" fillId="0" borderId="1" xfId="1" applyNumberFormat="1" applyFont="1" applyBorder="1" applyAlignment="1"/>
    <xf numFmtId="0" fontId="4" fillId="0" borderId="1" xfId="1" applyNumberFormat="1" applyFont="1" applyBorder="1" applyAlignment="1"/>
    <xf numFmtId="164" fontId="2" fillId="0" borderId="0" xfId="1" applyNumberFormat="1" applyFont="1" applyAlignment="1">
      <alignment horizontal="left"/>
    </xf>
    <xf numFmtId="0" fontId="2" fillId="0" borderId="0" xfId="1" applyNumberFormat="1" applyFont="1" applyAlignment="1"/>
    <xf numFmtId="14" fontId="4" fillId="0" borderId="7" xfId="1" applyNumberFormat="1" applyFont="1" applyBorder="1" applyAlignment="1">
      <alignment horizontal="left"/>
    </xf>
    <xf numFmtId="0" fontId="5" fillId="0" borderId="0" xfId="2" applyNumberFormat="1" applyFont="1" applyAlignment="1"/>
    <xf numFmtId="0" fontId="5" fillId="2" borderId="2" xfId="0" applyNumberFormat="1" applyFont="1" applyFill="1" applyBorder="1" applyAlignment="1">
      <alignment wrapText="1"/>
    </xf>
    <xf numFmtId="0" fontId="2" fillId="0" borderId="0" xfId="2" quotePrefix="1" applyFont="1" applyAlignment="1">
      <alignment horizontal="centerContinuous"/>
    </xf>
    <xf numFmtId="3" fontId="5" fillId="0" borderId="0" xfId="2" applyNumberFormat="1"/>
    <xf numFmtId="0" fontId="3" fillId="0" borderId="0" xfId="2" applyFont="1" applyAlignment="1">
      <alignment horizontal="centerContinuous"/>
    </xf>
    <xf numFmtId="0" fontId="2" fillId="0" borderId="0" xfId="1" quotePrefix="1" applyNumberFormat="1" applyFont="1" applyAlignment="1">
      <alignment horizontal="centerContinuous"/>
    </xf>
    <xf numFmtId="0" fontId="3" fillId="0" borderId="0" xfId="1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2" borderId="2" xfId="0" applyNumberFormat="1" applyFont="1" applyFill="1" applyBorder="1" applyAlignment="1"/>
    <xf numFmtId="0" fontId="4" fillId="0" borderId="1" xfId="0" applyFont="1" applyBorder="1"/>
    <xf numFmtId="0" fontId="5" fillId="2" borderId="0" xfId="0" applyFont="1" applyFill="1"/>
    <xf numFmtId="0" fontId="4" fillId="0" borderId="1" xfId="0" applyFont="1" applyBorder="1" applyAlignment="1">
      <alignment horizontal="centerContinuous"/>
    </xf>
    <xf numFmtId="0" fontId="4" fillId="0" borderId="0" xfId="0" applyFont="1" applyBorder="1" applyAlignment="1">
      <alignment horizontal="center"/>
    </xf>
    <xf numFmtId="0" fontId="2" fillId="0" borderId="0" xfId="0" quotePrefix="1" applyNumberFormat="1" applyFont="1" applyAlignment="1">
      <alignment horizontal="centerContinuous"/>
    </xf>
    <xf numFmtId="0" fontId="2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3" fillId="0" borderId="0" xfId="0" applyNumberFormat="1" applyFont="1" applyBorder="1" applyAlignment="1">
      <alignment horizontal="centerContinuous"/>
    </xf>
    <xf numFmtId="0" fontId="12" fillId="0" borderId="0" xfId="1" quotePrefix="1" applyNumberFormat="1" applyFont="1" applyAlignment="1">
      <alignment horizontal="left"/>
    </xf>
    <xf numFmtId="49" fontId="13" fillId="0" borderId="0" xfId="0" applyNumberFormat="1" applyFont="1" applyAlignment="1">
      <alignment horizontal="left"/>
    </xf>
    <xf numFmtId="0" fontId="0" fillId="0" borderId="0" xfId="0" applyFont="1"/>
    <xf numFmtId="0" fontId="8" fillId="0" borderId="0" xfId="3" applyFont="1" applyAlignment="1">
      <alignment horizontal="left" indent="1"/>
    </xf>
    <xf numFmtId="0" fontId="8" fillId="0" borderId="0" xfId="3" applyNumberFormat="1" applyFont="1" applyAlignment="1">
      <alignment horizontal="left" indent="1"/>
    </xf>
    <xf numFmtId="0" fontId="8" fillId="0" borderId="0" xfId="3" quotePrefix="1" applyNumberFormat="1" applyFont="1" applyAlignment="1">
      <alignment horizontal="left" indent="1"/>
    </xf>
    <xf numFmtId="0" fontId="8" fillId="0" borderId="0" xfId="3" quotePrefix="1" applyFill="1"/>
    <xf numFmtId="0" fontId="5" fillId="0" borderId="5" xfId="0" applyFont="1" applyBorder="1" applyAlignment="1">
      <alignment horizontal="center" wrapText="1"/>
    </xf>
    <xf numFmtId="164" fontId="5" fillId="0" borderId="5" xfId="1" applyNumberFormat="1" applyFont="1" applyBorder="1" applyAlignment="1">
      <alignment horizontal="right"/>
    </xf>
    <xf numFmtId="0" fontId="5" fillId="0" borderId="0" xfId="0" applyFont="1" applyBorder="1" applyAlignment="1"/>
    <xf numFmtId="164" fontId="5" fillId="0" borderId="0" xfId="1" applyNumberFormat="1" applyFont="1" applyBorder="1" applyAlignment="1"/>
    <xf numFmtId="49" fontId="9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Normal_200415monthsss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480F-4285-4091-9E12-CD35855E4B7D}">
  <sheetPr>
    <pageSetUpPr fitToPage="1"/>
  </sheetPr>
  <dimension ref="A1:G28"/>
  <sheetViews>
    <sheetView topLeftCell="A18" workbookViewId="0">
      <selection activeCell="A27" sqref="A27"/>
    </sheetView>
  </sheetViews>
  <sheetFormatPr defaultRowHeight="14.4" x14ac:dyDescent="0.3"/>
  <cols>
    <col min="1" max="1" width="47.5546875" bestFit="1" customWidth="1"/>
    <col min="7" max="7" width="10.77734375" customWidth="1"/>
  </cols>
  <sheetData>
    <row r="1" spans="1:7" ht="17.399999999999999" x14ac:dyDescent="0.3">
      <c r="A1" s="116" t="s">
        <v>65</v>
      </c>
      <c r="B1" s="116"/>
      <c r="C1" s="116"/>
      <c r="D1" s="116"/>
      <c r="E1" s="116"/>
      <c r="F1" s="116"/>
      <c r="G1" s="116"/>
    </row>
    <row r="2" spans="1:7" ht="17.399999999999999" x14ac:dyDescent="0.3">
      <c r="A2" s="117" t="s">
        <v>83</v>
      </c>
      <c r="B2" s="117"/>
      <c r="C2" s="117"/>
      <c r="D2" s="117"/>
      <c r="E2" s="117"/>
      <c r="F2" s="117"/>
      <c r="G2" s="117"/>
    </row>
    <row r="3" spans="1:7" x14ac:dyDescent="0.3">
      <c r="A3" s="118" t="s">
        <v>75</v>
      </c>
      <c r="B3" s="118"/>
      <c r="C3" s="118"/>
      <c r="D3" s="118"/>
      <c r="E3" s="118"/>
      <c r="F3" s="118"/>
      <c r="G3" s="118"/>
    </row>
    <row r="4" spans="1:7" s="107" customFormat="1" x14ac:dyDescent="0.3">
      <c r="A4" s="106" t="s">
        <v>76</v>
      </c>
    </row>
    <row r="5" spans="1:7" s="107" customFormat="1" x14ac:dyDescent="0.3">
      <c r="A5" s="108" t="s">
        <v>0</v>
      </c>
    </row>
    <row r="6" spans="1:7" s="107" customFormat="1" x14ac:dyDescent="0.3">
      <c r="A6" s="108" t="s">
        <v>59</v>
      </c>
    </row>
    <row r="7" spans="1:7" s="107" customFormat="1" x14ac:dyDescent="0.3">
      <c r="A7" s="108" t="s">
        <v>60</v>
      </c>
    </row>
    <row r="8" spans="1:7" s="107" customFormat="1" x14ac:dyDescent="0.3">
      <c r="A8" s="109" t="s">
        <v>61</v>
      </c>
    </row>
    <row r="9" spans="1:7" s="107" customFormat="1" x14ac:dyDescent="0.3">
      <c r="A9" s="106" t="s">
        <v>77</v>
      </c>
    </row>
    <row r="10" spans="1:7" s="107" customFormat="1" x14ac:dyDescent="0.3">
      <c r="A10" s="109" t="s">
        <v>62</v>
      </c>
    </row>
    <row r="11" spans="1:7" s="107" customFormat="1" x14ac:dyDescent="0.3">
      <c r="A11" s="109" t="s">
        <v>63</v>
      </c>
    </row>
    <row r="12" spans="1:7" s="107" customFormat="1" x14ac:dyDescent="0.3">
      <c r="A12" s="110" t="s">
        <v>64</v>
      </c>
    </row>
    <row r="13" spans="1:7" s="107" customFormat="1" x14ac:dyDescent="0.3">
      <c r="A13" s="106" t="s">
        <v>78</v>
      </c>
    </row>
    <row r="14" spans="1:7" s="107" customFormat="1" x14ac:dyDescent="0.3">
      <c r="A14" s="111" t="s">
        <v>81</v>
      </c>
    </row>
    <row r="15" spans="1:7" s="107" customFormat="1" x14ac:dyDescent="0.3">
      <c r="A15" s="111" t="s">
        <v>82</v>
      </c>
    </row>
    <row r="16" spans="1:7" s="107" customFormat="1" x14ac:dyDescent="0.3">
      <c r="A16" s="111" t="s">
        <v>84</v>
      </c>
    </row>
    <row r="17" spans="1:1" s="107" customFormat="1" x14ac:dyDescent="0.3">
      <c r="A17" s="111" t="s">
        <v>85</v>
      </c>
    </row>
    <row r="18" spans="1:1" s="107" customFormat="1" x14ac:dyDescent="0.3">
      <c r="A18" s="111" t="s">
        <v>86</v>
      </c>
    </row>
    <row r="19" spans="1:1" s="107" customFormat="1" x14ac:dyDescent="0.3">
      <c r="A19" s="111" t="s">
        <v>87</v>
      </c>
    </row>
    <row r="20" spans="1:1" s="107" customFormat="1" x14ac:dyDescent="0.3">
      <c r="A20" s="111" t="s">
        <v>88</v>
      </c>
    </row>
    <row r="21" spans="1:1" s="107" customFormat="1" x14ac:dyDescent="0.3">
      <c r="A21" s="111" t="s">
        <v>89</v>
      </c>
    </row>
    <row r="22" spans="1:1" s="107" customFormat="1" x14ac:dyDescent="0.3">
      <c r="A22" s="111" t="s">
        <v>90</v>
      </c>
    </row>
    <row r="23" spans="1:1" x14ac:dyDescent="0.3">
      <c r="A23" s="111" t="s">
        <v>91</v>
      </c>
    </row>
    <row r="24" spans="1:1" x14ac:dyDescent="0.3">
      <c r="A24" s="111" t="s">
        <v>92</v>
      </c>
    </row>
    <row r="25" spans="1:1" x14ac:dyDescent="0.3">
      <c r="A25" s="111" t="s">
        <v>93</v>
      </c>
    </row>
    <row r="26" spans="1:1" ht="15.6" x14ac:dyDescent="0.3">
      <c r="A26" s="105" t="s">
        <v>102</v>
      </c>
    </row>
    <row r="27" spans="1:1" x14ac:dyDescent="0.3">
      <c r="A27" s="111" t="s">
        <v>79</v>
      </c>
    </row>
    <row r="28" spans="1:1" x14ac:dyDescent="0.3">
      <c r="A28" s="111" t="s">
        <v>80</v>
      </c>
    </row>
  </sheetData>
  <mergeCells count="3">
    <mergeCell ref="A1:G1"/>
    <mergeCell ref="A2:G2"/>
    <mergeCell ref="A3:G3"/>
  </mergeCells>
  <hyperlinks>
    <hyperlink ref="A6" location="'Two-par'!A1" display="'Two-par'!A1" xr:uid="{97BDF56F-6ACA-4D97-BA86-9822EF3988FB}"/>
    <hyperlink ref="A5" location="TFam!A1" display="TFam!A1" xr:uid="{C96003FE-6291-4D1F-9D5C-43E999093E42}"/>
    <hyperlink ref="A7" location="'One-par'!A1" display="'One-par'!A1" xr:uid="{742A3697-5201-4BDC-8C9D-E13D37022A6C}"/>
    <hyperlink ref="A8" location="'Zero-par'!A1" display="'Zero-par'!A1" xr:uid="{9B4D5B98-50A3-42D5-BB06-FC8FD0FA080A}"/>
    <hyperlink ref="A10" location="TRec!A1" display="TRec!A1" xr:uid="{1B775242-9793-48DD-8FF6-5AFA83BB970B}"/>
    <hyperlink ref="A11" location="Adults!A1" display="Adults!A1" xr:uid="{DA8ED5FF-9970-490C-BDAD-8EB5F647129A}"/>
    <hyperlink ref="A12" location="Children!A1" display="Children!A1" xr:uid="{80B1036C-C16E-41A6-8A37-C4F6422BD19D}"/>
    <hyperlink ref="A14" location="'Oct23'!A1" display=" October 2023" xr:uid="{EA8D5D73-AD7D-416D-91BB-7FE74A6BA1A8}"/>
    <hyperlink ref="A15" location="'Nov23'!A1" display=" November 2023" xr:uid="{40ED396B-2D1F-4688-BC70-AB5D9C577A3F}"/>
    <hyperlink ref="A16" location="'Dec23'!A1" display=" December 2023" xr:uid="{FF9A74F2-D941-4D95-A71B-38D92E455BBC}"/>
    <hyperlink ref="A17" location="'Jan24'!A1" display=" January 2024" xr:uid="{766B1FEF-46D9-4F7A-8227-A31D03CF90DA}"/>
    <hyperlink ref="A18" location="'Feb24'!A1" display=" February 2024" xr:uid="{21C26F08-D81A-4314-8DEB-690BE35770BF}"/>
    <hyperlink ref="A19" location="'Mar24'!A1" display=" March 2024" xr:uid="{D3346EE4-41B4-4A2A-9192-5FD3E0049095}"/>
    <hyperlink ref="A20" location="'Apr24'!A1" display=" April 2024" xr:uid="{76FBF79F-A1AA-43ED-A658-C3C9AEA61206}"/>
    <hyperlink ref="A21" location="'May24'!A1" display=" May 2024" xr:uid="{358ACB66-E097-42DB-876F-2D49615B872C}"/>
    <hyperlink ref="A22" location="'Jun24'!A1" display=" June 2024" xr:uid="{BFF0087D-AD6A-4618-A7B8-86B8C9D69E71}"/>
    <hyperlink ref="A23" location="'Jul24'!A1" display="July 2024" xr:uid="{C67A174E-17FD-4A6E-BD5D-1A0D530EBD56}"/>
    <hyperlink ref="A24" location="'Aug24'!A1" display="August 2024" xr:uid="{C1570CB2-2CAA-4E32-96A5-4E0C67B54345}"/>
    <hyperlink ref="A25" location="'Sep24'!A1" display="September 2024" xr:uid="{7B7E3FBF-D444-4C23-8BA3-561B5029EF2F}"/>
    <hyperlink ref="A27" location="'FYCY2024-Families'!A1" display="Average Monthly Number of Families" xr:uid="{19DA26C2-E7DB-4FEF-A31C-77B80369D3CA}"/>
    <hyperlink ref="A28" location="'FYCY2024-Recipients'!A1" display="Average Monthly Number of Recipients" xr:uid="{F146C3C6-E06D-4B56-8C7F-7324FF1B83F5}"/>
  </hyperlink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4"/>
  <sheetViews>
    <sheetView topLeftCell="A52" workbookViewId="0">
      <selection activeCell="A63" sqref="A63"/>
    </sheetView>
  </sheetViews>
  <sheetFormatPr defaultColWidth="9.21875" defaultRowHeight="10.199999999999999" x14ac:dyDescent="0.2"/>
  <cols>
    <col min="1" max="1" width="14.21875" style="22" bestFit="1" customWidth="1"/>
    <col min="2" max="14" width="10" style="13" customWidth="1"/>
    <col min="15" max="16384" width="9.21875" style="13"/>
  </cols>
  <sheetData>
    <row r="1" spans="1:14" s="1" customFormat="1" ht="15.6" x14ac:dyDescent="0.3">
      <c r="A1" s="80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s="2" customFormat="1" ht="13.2" x14ac:dyDescent="0.25">
      <c r="A2" s="77" t="s">
        <v>96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</row>
    <row r="3" spans="1:14" s="2" customFormat="1" ht="13.2" x14ac:dyDescent="0.25">
      <c r="A3" s="66">
        <v>45687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</row>
    <row r="4" spans="1:14" s="6" customFormat="1" ht="20.399999999999999" x14ac:dyDescent="0.2">
      <c r="A4" s="3" t="s">
        <v>1</v>
      </c>
      <c r="B4" s="4">
        <v>45200</v>
      </c>
      <c r="C4" s="4">
        <v>45231</v>
      </c>
      <c r="D4" s="4">
        <v>45261</v>
      </c>
      <c r="E4" s="4">
        <v>45292</v>
      </c>
      <c r="F4" s="4">
        <v>45323</v>
      </c>
      <c r="G4" s="4">
        <v>45352</v>
      </c>
      <c r="H4" s="4">
        <v>45383</v>
      </c>
      <c r="I4" s="4">
        <v>45413</v>
      </c>
      <c r="J4" s="4">
        <v>45444</v>
      </c>
      <c r="K4" s="4">
        <v>45474</v>
      </c>
      <c r="L4" s="4">
        <v>45505</v>
      </c>
      <c r="M4" s="4">
        <v>45536</v>
      </c>
      <c r="N4" s="5" t="s">
        <v>94</v>
      </c>
    </row>
    <row r="5" spans="1:14" s="9" customFormat="1" x14ac:dyDescent="0.2">
      <c r="A5" s="7" t="s">
        <v>2</v>
      </c>
      <c r="B5" s="8">
        <f>SUM(B6:B59)</f>
        <v>856530</v>
      </c>
      <c r="C5" s="8">
        <f t="shared" ref="C5:M5" si="0">SUM(C6:C59)</f>
        <v>838009</v>
      </c>
      <c r="D5" s="8">
        <f t="shared" si="0"/>
        <v>827000</v>
      </c>
      <c r="E5" s="8">
        <f t="shared" si="0"/>
        <v>826530</v>
      </c>
      <c r="F5" s="8">
        <f t="shared" si="0"/>
        <v>829092</v>
      </c>
      <c r="G5" s="8">
        <f t="shared" si="0"/>
        <v>829625</v>
      </c>
      <c r="H5" s="8">
        <f t="shared" si="0"/>
        <v>830038</v>
      </c>
      <c r="I5" s="8">
        <f t="shared" si="0"/>
        <v>835567</v>
      </c>
      <c r="J5" s="8">
        <f t="shared" si="0"/>
        <v>825495</v>
      </c>
      <c r="K5" s="8">
        <f t="shared" si="0"/>
        <v>865103</v>
      </c>
      <c r="L5" s="8">
        <f t="shared" si="0"/>
        <v>869951</v>
      </c>
      <c r="M5" s="8">
        <f t="shared" si="0"/>
        <v>861564</v>
      </c>
      <c r="N5" s="8">
        <f t="shared" ref="N5:N36" si="1">AVERAGE(B5:M5)</f>
        <v>841208.66666666663</v>
      </c>
    </row>
    <row r="6" spans="1:14" x14ac:dyDescent="0.2">
      <c r="A6" s="10" t="s">
        <v>3</v>
      </c>
      <c r="B6" s="11">
        <v>5639</v>
      </c>
      <c r="C6" s="11">
        <v>5789</v>
      </c>
      <c r="D6" s="11">
        <v>5916</v>
      </c>
      <c r="E6" s="11">
        <v>5851</v>
      </c>
      <c r="F6" s="11">
        <v>5817</v>
      </c>
      <c r="G6" s="11">
        <v>5739</v>
      </c>
      <c r="H6" s="11">
        <v>5686</v>
      </c>
      <c r="I6" s="11">
        <v>5668</v>
      </c>
      <c r="J6" s="11">
        <v>5638</v>
      </c>
      <c r="K6" s="11">
        <v>5791</v>
      </c>
      <c r="L6" s="11">
        <v>5950</v>
      </c>
      <c r="M6" s="11">
        <v>6031</v>
      </c>
      <c r="N6" s="11">
        <f t="shared" si="1"/>
        <v>5792.916666666667</v>
      </c>
    </row>
    <row r="7" spans="1:14" x14ac:dyDescent="0.2">
      <c r="A7" s="10" t="s">
        <v>4</v>
      </c>
      <c r="B7" s="11">
        <v>1059</v>
      </c>
      <c r="C7" s="11">
        <v>1058</v>
      </c>
      <c r="D7" s="11">
        <v>1134</v>
      </c>
      <c r="E7" s="11">
        <v>1345</v>
      </c>
      <c r="F7" s="11">
        <v>1322</v>
      </c>
      <c r="G7" s="11">
        <v>1253</v>
      </c>
      <c r="H7" s="14">
        <v>1345</v>
      </c>
      <c r="I7" s="14">
        <v>1322</v>
      </c>
      <c r="J7" s="14">
        <v>1253</v>
      </c>
      <c r="K7" s="11">
        <v>1214</v>
      </c>
      <c r="L7" s="11">
        <v>1201</v>
      </c>
      <c r="M7" s="11">
        <v>1157</v>
      </c>
      <c r="N7" s="11">
        <f t="shared" si="1"/>
        <v>1221.9166666666667</v>
      </c>
    </row>
    <row r="8" spans="1:14" x14ac:dyDescent="0.2">
      <c r="A8" s="10" t="s">
        <v>5</v>
      </c>
      <c r="B8" s="11">
        <v>5136</v>
      </c>
      <c r="C8" s="11">
        <v>5096</v>
      </c>
      <c r="D8" s="11">
        <v>5169</v>
      </c>
      <c r="E8" s="11">
        <v>5118</v>
      </c>
      <c r="F8" s="11">
        <v>4997</v>
      </c>
      <c r="G8" s="11">
        <v>5023</v>
      </c>
      <c r="H8" s="11">
        <v>4930</v>
      </c>
      <c r="I8" s="11">
        <v>4882</v>
      </c>
      <c r="J8" s="11">
        <v>4744</v>
      </c>
      <c r="K8" s="11">
        <v>4627</v>
      </c>
      <c r="L8" s="11">
        <v>4561</v>
      </c>
      <c r="M8" s="11">
        <v>4430</v>
      </c>
      <c r="N8" s="11">
        <f t="shared" si="1"/>
        <v>4892.75</v>
      </c>
    </row>
    <row r="9" spans="1:14" x14ac:dyDescent="0.2">
      <c r="A9" s="10" t="s">
        <v>6</v>
      </c>
      <c r="B9" s="11">
        <v>986</v>
      </c>
      <c r="C9" s="11">
        <v>969</v>
      </c>
      <c r="D9" s="11">
        <v>999</v>
      </c>
      <c r="E9" s="11">
        <v>919</v>
      </c>
      <c r="F9" s="11">
        <v>997</v>
      </c>
      <c r="G9" s="11">
        <v>954</v>
      </c>
      <c r="H9" s="15">
        <v>911</v>
      </c>
      <c r="I9" s="15">
        <v>879</v>
      </c>
      <c r="J9" s="15">
        <v>838</v>
      </c>
      <c r="K9" s="11">
        <v>788</v>
      </c>
      <c r="L9" s="11">
        <v>738</v>
      </c>
      <c r="M9" s="11">
        <v>719</v>
      </c>
      <c r="N9" s="11">
        <f t="shared" si="1"/>
        <v>891.41666666666663</v>
      </c>
    </row>
    <row r="10" spans="1:14" x14ac:dyDescent="0.2">
      <c r="A10" s="10" t="s">
        <v>7</v>
      </c>
      <c r="B10" s="11">
        <v>304580</v>
      </c>
      <c r="C10" s="11">
        <v>290338</v>
      </c>
      <c r="D10" s="11">
        <v>280009</v>
      </c>
      <c r="E10" s="11">
        <v>281659</v>
      </c>
      <c r="F10" s="11">
        <v>283148</v>
      </c>
      <c r="G10" s="11">
        <v>283229</v>
      </c>
      <c r="H10" s="15">
        <v>282901</v>
      </c>
      <c r="I10" s="15">
        <v>284394</v>
      </c>
      <c r="J10" s="15">
        <v>274381</v>
      </c>
      <c r="K10" s="11">
        <v>308527</v>
      </c>
      <c r="L10" s="11">
        <v>310010</v>
      </c>
      <c r="M10" s="11">
        <v>299797</v>
      </c>
      <c r="N10" s="11">
        <f t="shared" si="1"/>
        <v>290247.75</v>
      </c>
    </row>
    <row r="11" spans="1:14" x14ac:dyDescent="0.2">
      <c r="A11" s="10" t="s">
        <v>8</v>
      </c>
      <c r="B11" s="11">
        <v>12778</v>
      </c>
      <c r="C11" s="11">
        <v>12163</v>
      </c>
      <c r="D11" s="11">
        <v>12144</v>
      </c>
      <c r="E11" s="11">
        <v>12204</v>
      </c>
      <c r="F11" s="11">
        <v>12162</v>
      </c>
      <c r="G11" s="11">
        <v>12241</v>
      </c>
      <c r="H11" s="11">
        <v>12250</v>
      </c>
      <c r="I11" s="11">
        <v>12292</v>
      </c>
      <c r="J11" s="11">
        <v>12257</v>
      </c>
      <c r="K11" s="11">
        <v>12640</v>
      </c>
      <c r="L11" s="11">
        <v>12878</v>
      </c>
      <c r="M11" s="11">
        <v>13464</v>
      </c>
      <c r="N11" s="11">
        <f t="shared" si="1"/>
        <v>12456.083333333334</v>
      </c>
    </row>
    <row r="12" spans="1:14" x14ac:dyDescent="0.2">
      <c r="A12" s="10" t="s">
        <v>9</v>
      </c>
      <c r="B12" s="11">
        <v>5106</v>
      </c>
      <c r="C12" s="11">
        <v>5181</v>
      </c>
      <c r="D12" s="11">
        <v>5124</v>
      </c>
      <c r="E12" s="11">
        <v>5053</v>
      </c>
      <c r="F12" s="11">
        <v>5081</v>
      </c>
      <c r="G12" s="11">
        <v>5045</v>
      </c>
      <c r="H12" s="14">
        <v>5021</v>
      </c>
      <c r="I12" s="14">
        <v>5103</v>
      </c>
      <c r="J12" s="14">
        <v>5303</v>
      </c>
      <c r="K12" s="11">
        <v>5385</v>
      </c>
      <c r="L12" s="11">
        <v>5421</v>
      </c>
      <c r="M12" s="11">
        <v>5515</v>
      </c>
      <c r="N12" s="11">
        <f t="shared" si="1"/>
        <v>5194.833333333333</v>
      </c>
    </row>
    <row r="13" spans="1:14" x14ac:dyDescent="0.2">
      <c r="A13" s="10" t="s">
        <v>10</v>
      </c>
      <c r="B13" s="11">
        <v>2749</v>
      </c>
      <c r="C13" s="11">
        <v>2690</v>
      </c>
      <c r="D13" s="11">
        <v>2662</v>
      </c>
      <c r="E13" s="11">
        <v>2615</v>
      </c>
      <c r="F13" s="11">
        <v>2569</v>
      </c>
      <c r="G13" s="11">
        <v>2503</v>
      </c>
      <c r="H13" s="11">
        <v>2460</v>
      </c>
      <c r="I13" s="11">
        <v>2455</v>
      </c>
      <c r="J13" s="11">
        <v>2470</v>
      </c>
      <c r="K13" s="11">
        <v>2476</v>
      </c>
      <c r="L13" s="11">
        <v>2539</v>
      </c>
      <c r="M13" s="11">
        <v>2541</v>
      </c>
      <c r="N13" s="11">
        <f t="shared" si="1"/>
        <v>2560.75</v>
      </c>
    </row>
    <row r="14" spans="1:14" x14ac:dyDescent="0.2">
      <c r="A14" s="10" t="s">
        <v>11</v>
      </c>
      <c r="B14" s="11">
        <v>5374</v>
      </c>
      <c r="C14" s="11">
        <v>4885</v>
      </c>
      <c r="D14" s="11">
        <v>4908</v>
      </c>
      <c r="E14" s="11">
        <v>4737</v>
      </c>
      <c r="F14" s="11">
        <v>4576</v>
      </c>
      <c r="G14" s="11">
        <v>4766</v>
      </c>
      <c r="H14" s="11">
        <v>4694</v>
      </c>
      <c r="I14" s="11">
        <v>4835</v>
      </c>
      <c r="J14" s="11">
        <v>4884</v>
      </c>
      <c r="K14" s="11">
        <v>6004</v>
      </c>
      <c r="L14" s="11">
        <v>5738</v>
      </c>
      <c r="M14" s="11">
        <v>5274</v>
      </c>
      <c r="N14" s="11">
        <f t="shared" si="1"/>
        <v>5056.25</v>
      </c>
    </row>
    <row r="15" spans="1:14" x14ac:dyDescent="0.2">
      <c r="A15" s="10" t="s">
        <v>12</v>
      </c>
      <c r="B15" s="11">
        <v>34929</v>
      </c>
      <c r="C15" s="11">
        <v>34015</v>
      </c>
      <c r="D15" s="11">
        <v>32986</v>
      </c>
      <c r="E15" s="11">
        <v>31649</v>
      </c>
      <c r="F15" s="11">
        <v>29599</v>
      </c>
      <c r="G15" s="11">
        <v>29402</v>
      </c>
      <c r="H15" s="15">
        <v>29046</v>
      </c>
      <c r="I15" s="15">
        <v>29042</v>
      </c>
      <c r="J15" s="15">
        <v>28754</v>
      </c>
      <c r="K15" s="11">
        <v>28070</v>
      </c>
      <c r="L15" s="11">
        <v>27281</v>
      </c>
      <c r="M15" s="11">
        <v>27469</v>
      </c>
      <c r="N15" s="11">
        <f t="shared" si="1"/>
        <v>30186.833333333332</v>
      </c>
    </row>
    <row r="16" spans="1:14" x14ac:dyDescent="0.2">
      <c r="A16" s="10" t="s">
        <v>13</v>
      </c>
      <c r="B16" s="11">
        <v>4518</v>
      </c>
      <c r="C16" s="11">
        <v>4424</v>
      </c>
      <c r="D16" s="11">
        <v>4352</v>
      </c>
      <c r="E16" s="11">
        <v>4281</v>
      </c>
      <c r="F16" s="11">
        <v>4194</v>
      </c>
      <c r="G16" s="11">
        <v>4095</v>
      </c>
      <c r="H16" s="11">
        <v>4024</v>
      </c>
      <c r="I16" s="11">
        <v>4038</v>
      </c>
      <c r="J16" s="11">
        <v>4007</v>
      </c>
      <c r="K16" s="11">
        <v>3978</v>
      </c>
      <c r="L16" s="11">
        <v>3984</v>
      </c>
      <c r="M16" s="11">
        <v>3944</v>
      </c>
      <c r="N16" s="11">
        <f t="shared" si="1"/>
        <v>4153.25</v>
      </c>
    </row>
    <row r="17" spans="1:14" x14ac:dyDescent="0.2">
      <c r="A17" s="10" t="s">
        <v>14</v>
      </c>
      <c r="B17" s="11">
        <v>149</v>
      </c>
      <c r="C17" s="11">
        <v>146</v>
      </c>
      <c r="D17" s="11">
        <v>157</v>
      </c>
      <c r="E17" s="17">
        <v>159</v>
      </c>
      <c r="F17" s="17">
        <v>172</v>
      </c>
      <c r="G17" s="17">
        <v>176</v>
      </c>
      <c r="H17" s="18">
        <v>194</v>
      </c>
      <c r="I17" s="18">
        <v>195</v>
      </c>
      <c r="J17" s="15">
        <v>204</v>
      </c>
      <c r="K17" s="11">
        <v>205</v>
      </c>
      <c r="L17" s="11">
        <v>198</v>
      </c>
      <c r="M17" s="11">
        <v>204</v>
      </c>
      <c r="N17" s="11">
        <f t="shared" si="1"/>
        <v>179.91666666666666</v>
      </c>
    </row>
    <row r="18" spans="1:14" x14ac:dyDescent="0.2">
      <c r="A18" s="10" t="s">
        <v>15</v>
      </c>
      <c r="B18" s="11">
        <v>3277</v>
      </c>
      <c r="C18" s="11">
        <v>3290</v>
      </c>
      <c r="D18" s="11">
        <v>3144</v>
      </c>
      <c r="E18" s="11">
        <v>3006</v>
      </c>
      <c r="F18" s="11">
        <v>2913</v>
      </c>
      <c r="G18" s="11">
        <v>2753</v>
      </c>
      <c r="H18" s="11">
        <v>2658</v>
      </c>
      <c r="I18" s="11">
        <v>2633</v>
      </c>
      <c r="J18" s="11">
        <v>2577</v>
      </c>
      <c r="K18" s="11">
        <v>2540</v>
      </c>
      <c r="L18" s="11">
        <v>2491</v>
      </c>
      <c r="M18" s="11">
        <v>2479</v>
      </c>
      <c r="N18" s="11">
        <f t="shared" si="1"/>
        <v>2813.4166666666665</v>
      </c>
    </row>
    <row r="19" spans="1:14" x14ac:dyDescent="0.2">
      <c r="A19" s="10" t="s">
        <v>16</v>
      </c>
      <c r="B19" s="11">
        <v>1486</v>
      </c>
      <c r="C19" s="17">
        <v>1479</v>
      </c>
      <c r="D19" s="17">
        <v>1477</v>
      </c>
      <c r="E19" s="11">
        <v>1505</v>
      </c>
      <c r="F19" s="11">
        <v>1501</v>
      </c>
      <c r="G19" s="11">
        <v>1481</v>
      </c>
      <c r="H19" s="11">
        <v>1487</v>
      </c>
      <c r="I19" s="11">
        <v>1476</v>
      </c>
      <c r="J19" s="11">
        <v>1466</v>
      </c>
      <c r="K19" s="11">
        <v>1477</v>
      </c>
      <c r="L19" s="11">
        <v>1471</v>
      </c>
      <c r="M19" s="11">
        <v>1482</v>
      </c>
      <c r="N19" s="11">
        <f t="shared" si="1"/>
        <v>1482.3333333333333</v>
      </c>
    </row>
    <row r="20" spans="1:14" x14ac:dyDescent="0.2">
      <c r="A20" s="10" t="s">
        <v>17</v>
      </c>
      <c r="B20" s="11">
        <v>9844</v>
      </c>
      <c r="C20" s="11">
        <v>9781</v>
      </c>
      <c r="D20" s="11">
        <v>9799</v>
      </c>
      <c r="E20" s="11">
        <v>9779</v>
      </c>
      <c r="F20" s="11">
        <v>9830</v>
      </c>
      <c r="G20" s="11">
        <v>9966</v>
      </c>
      <c r="H20" s="11">
        <v>9915</v>
      </c>
      <c r="I20" s="11">
        <v>9793</v>
      </c>
      <c r="J20" s="11">
        <v>9884</v>
      </c>
      <c r="K20" s="11">
        <v>9882</v>
      </c>
      <c r="L20" s="11">
        <v>9921</v>
      </c>
      <c r="M20" s="11">
        <v>9840</v>
      </c>
      <c r="N20" s="11">
        <f t="shared" si="1"/>
        <v>9852.8333333333339</v>
      </c>
    </row>
    <row r="21" spans="1:14" x14ac:dyDescent="0.2">
      <c r="A21" s="10" t="s">
        <v>18</v>
      </c>
      <c r="B21" s="11">
        <v>5374</v>
      </c>
      <c r="C21" s="11">
        <v>5523</v>
      </c>
      <c r="D21" s="11">
        <v>5595</v>
      </c>
      <c r="E21" s="11">
        <v>5654</v>
      </c>
      <c r="F21" s="11">
        <v>5719</v>
      </c>
      <c r="G21" s="11">
        <v>5529</v>
      </c>
      <c r="H21" s="11">
        <v>5302</v>
      </c>
      <c r="I21" s="11">
        <v>5224</v>
      </c>
      <c r="J21" s="11">
        <v>5290</v>
      </c>
      <c r="K21" s="11">
        <v>5375</v>
      </c>
      <c r="L21" s="11">
        <v>5499</v>
      </c>
      <c r="M21" s="11">
        <v>5597</v>
      </c>
      <c r="N21" s="11">
        <f t="shared" si="1"/>
        <v>5473.416666666667</v>
      </c>
    </row>
    <row r="22" spans="1:14" x14ac:dyDescent="0.2">
      <c r="A22" s="10" t="s">
        <v>19</v>
      </c>
      <c r="B22" s="11">
        <v>4289</v>
      </c>
      <c r="C22" s="11">
        <v>4176</v>
      </c>
      <c r="D22" s="11">
        <v>4096</v>
      </c>
      <c r="E22" s="11">
        <v>4027</v>
      </c>
      <c r="F22" s="11">
        <v>4005</v>
      </c>
      <c r="G22" s="11">
        <v>4009</v>
      </c>
      <c r="H22" s="15">
        <v>3997</v>
      </c>
      <c r="I22" s="15">
        <v>4045</v>
      </c>
      <c r="J22" s="15">
        <v>4011</v>
      </c>
      <c r="K22" s="11">
        <v>4009</v>
      </c>
      <c r="L22" s="11">
        <v>4134</v>
      </c>
      <c r="M22" s="11">
        <v>4202</v>
      </c>
      <c r="N22" s="11">
        <f t="shared" si="1"/>
        <v>4083.3333333333335</v>
      </c>
    </row>
    <row r="23" spans="1:14" x14ac:dyDescent="0.2">
      <c r="A23" s="10" t="s">
        <v>20</v>
      </c>
      <c r="B23" s="11">
        <v>3033</v>
      </c>
      <c r="C23" s="11">
        <v>3003</v>
      </c>
      <c r="D23" s="11">
        <v>2996</v>
      </c>
      <c r="E23" s="11">
        <v>2938</v>
      </c>
      <c r="F23" s="11">
        <v>2917</v>
      </c>
      <c r="G23" s="11">
        <v>2910</v>
      </c>
      <c r="H23" s="15">
        <v>2897</v>
      </c>
      <c r="I23" s="15">
        <v>2912</v>
      </c>
      <c r="J23" s="15">
        <v>2903</v>
      </c>
      <c r="K23" s="11">
        <v>2875</v>
      </c>
      <c r="L23" s="11">
        <v>2911</v>
      </c>
      <c r="M23" s="11">
        <v>2902</v>
      </c>
      <c r="N23" s="11">
        <f t="shared" si="1"/>
        <v>2933.0833333333335</v>
      </c>
    </row>
    <row r="24" spans="1:14" x14ac:dyDescent="0.2">
      <c r="A24" s="10" t="s">
        <v>21</v>
      </c>
      <c r="B24" s="11">
        <v>13517</v>
      </c>
      <c r="C24" s="11">
        <v>13677</v>
      </c>
      <c r="D24" s="11">
        <v>13699</v>
      </c>
      <c r="E24" s="11">
        <v>13870</v>
      </c>
      <c r="F24" s="11">
        <v>14210</v>
      </c>
      <c r="G24" s="11">
        <v>14323</v>
      </c>
      <c r="H24" s="14">
        <v>14602</v>
      </c>
      <c r="I24" s="14">
        <v>14935</v>
      </c>
      <c r="J24" s="14">
        <v>14977</v>
      </c>
      <c r="K24" s="11">
        <v>15365</v>
      </c>
      <c r="L24" s="11">
        <v>15735</v>
      </c>
      <c r="M24" s="11">
        <v>15902</v>
      </c>
      <c r="N24" s="11">
        <f t="shared" si="1"/>
        <v>14567.666666666666</v>
      </c>
    </row>
    <row r="25" spans="1:14" x14ac:dyDescent="0.2">
      <c r="A25" s="10" t="s">
        <v>22</v>
      </c>
      <c r="B25" s="11">
        <v>4834</v>
      </c>
      <c r="C25" s="11">
        <v>4826</v>
      </c>
      <c r="D25" s="11">
        <v>4766</v>
      </c>
      <c r="E25" s="11">
        <v>4858</v>
      </c>
      <c r="F25" s="11">
        <v>4865</v>
      </c>
      <c r="G25" s="11">
        <v>4764</v>
      </c>
      <c r="H25" s="15">
        <v>4730</v>
      </c>
      <c r="I25" s="15">
        <v>4755</v>
      </c>
      <c r="J25" s="15">
        <v>4822</v>
      </c>
      <c r="K25" s="11">
        <v>4931</v>
      </c>
      <c r="L25" s="11">
        <v>5013</v>
      </c>
      <c r="M25" s="11">
        <v>4876</v>
      </c>
      <c r="N25" s="11">
        <f t="shared" si="1"/>
        <v>4836.666666666667</v>
      </c>
    </row>
    <row r="26" spans="1:14" x14ac:dyDescent="0.2">
      <c r="A26" s="10" t="s">
        <v>23</v>
      </c>
      <c r="B26" s="11">
        <v>3613</v>
      </c>
      <c r="C26" s="11">
        <v>3498</v>
      </c>
      <c r="D26" s="11">
        <v>3584</v>
      </c>
      <c r="E26" s="11">
        <v>3648</v>
      </c>
      <c r="F26" s="11">
        <v>3603</v>
      </c>
      <c r="G26" s="11">
        <v>3680</v>
      </c>
      <c r="H26" s="11">
        <v>3662</v>
      </c>
      <c r="I26" s="11">
        <v>3702</v>
      </c>
      <c r="J26" s="11">
        <v>3753</v>
      </c>
      <c r="K26" s="11">
        <v>3803</v>
      </c>
      <c r="L26" s="11">
        <v>3754</v>
      </c>
      <c r="M26" s="11">
        <v>3852</v>
      </c>
      <c r="N26" s="11">
        <f t="shared" si="1"/>
        <v>3679.3333333333335</v>
      </c>
    </row>
    <row r="27" spans="1:14" x14ac:dyDescent="0.2">
      <c r="A27" s="10" t="s">
        <v>24</v>
      </c>
      <c r="B27" s="11">
        <v>10239</v>
      </c>
      <c r="C27" s="11">
        <v>10602</v>
      </c>
      <c r="D27" s="11">
        <v>11073</v>
      </c>
      <c r="E27" s="11">
        <v>11265</v>
      </c>
      <c r="F27" s="11">
        <v>11940</v>
      </c>
      <c r="G27" s="11">
        <v>12286</v>
      </c>
      <c r="H27" s="14">
        <v>12946</v>
      </c>
      <c r="I27" s="14">
        <v>14834</v>
      </c>
      <c r="J27" s="14">
        <v>14753</v>
      </c>
      <c r="K27" s="16">
        <v>14967</v>
      </c>
      <c r="L27" s="16">
        <v>15014</v>
      </c>
      <c r="M27" s="16">
        <v>15103</v>
      </c>
      <c r="N27" s="11">
        <f t="shared" si="1"/>
        <v>12918.5</v>
      </c>
    </row>
    <row r="28" spans="1:14" x14ac:dyDescent="0.2">
      <c r="A28" s="10" t="s">
        <v>25</v>
      </c>
      <c r="B28" s="11">
        <v>35960</v>
      </c>
      <c r="C28" s="11">
        <v>36798</v>
      </c>
      <c r="D28" s="11">
        <v>36180</v>
      </c>
      <c r="E28" s="11">
        <v>36219</v>
      </c>
      <c r="F28" s="11">
        <v>36215</v>
      </c>
      <c r="G28" s="11">
        <v>36199</v>
      </c>
      <c r="H28" s="11">
        <v>36152</v>
      </c>
      <c r="I28" s="11">
        <v>36448</v>
      </c>
      <c r="J28" s="11">
        <v>36572</v>
      </c>
      <c r="K28" s="11">
        <v>36943</v>
      </c>
      <c r="L28" s="11">
        <v>37760</v>
      </c>
      <c r="M28" s="11">
        <v>38311</v>
      </c>
      <c r="N28" s="11">
        <f t="shared" si="1"/>
        <v>36646.416666666664</v>
      </c>
    </row>
    <row r="29" spans="1:14" x14ac:dyDescent="0.2">
      <c r="A29" s="10" t="s">
        <v>26</v>
      </c>
      <c r="B29" s="11">
        <v>8280</v>
      </c>
      <c r="C29" s="11">
        <v>8076</v>
      </c>
      <c r="D29" s="11">
        <v>8143</v>
      </c>
      <c r="E29" s="11">
        <v>8169</v>
      </c>
      <c r="F29" s="11">
        <v>8110</v>
      </c>
      <c r="G29" s="11">
        <v>8105</v>
      </c>
      <c r="H29" s="15">
        <v>7783</v>
      </c>
      <c r="I29" s="15">
        <v>7513</v>
      </c>
      <c r="J29" s="15">
        <v>7604</v>
      </c>
      <c r="K29" s="11">
        <v>7704</v>
      </c>
      <c r="L29" s="11">
        <v>7864</v>
      </c>
      <c r="M29" s="11">
        <v>8221</v>
      </c>
      <c r="N29" s="11">
        <f t="shared" si="1"/>
        <v>7964.333333333333</v>
      </c>
    </row>
    <row r="30" spans="1:14" x14ac:dyDescent="0.2">
      <c r="A30" s="10" t="s">
        <v>27</v>
      </c>
      <c r="B30" s="11">
        <v>13544</v>
      </c>
      <c r="C30" s="11">
        <v>13440</v>
      </c>
      <c r="D30" s="11">
        <v>13470</v>
      </c>
      <c r="E30" s="11">
        <v>13510</v>
      </c>
      <c r="F30" s="11">
        <v>13369</v>
      </c>
      <c r="G30" s="11">
        <v>13265</v>
      </c>
      <c r="H30" s="15">
        <v>13220</v>
      </c>
      <c r="I30" s="15">
        <v>13278</v>
      </c>
      <c r="J30" s="15">
        <v>13325</v>
      </c>
      <c r="K30" s="11">
        <v>13184</v>
      </c>
      <c r="L30" s="11">
        <v>13178</v>
      </c>
      <c r="M30" s="11">
        <v>13231</v>
      </c>
      <c r="N30" s="11">
        <f t="shared" si="1"/>
        <v>13334.5</v>
      </c>
    </row>
    <row r="31" spans="1:14" x14ac:dyDescent="0.2">
      <c r="A31" s="10" t="s">
        <v>28</v>
      </c>
      <c r="B31" s="11">
        <v>1629</v>
      </c>
      <c r="C31" s="11">
        <v>1579</v>
      </c>
      <c r="D31" s="11">
        <v>1556</v>
      </c>
      <c r="E31" s="11">
        <v>1494</v>
      </c>
      <c r="F31" s="11">
        <v>1470</v>
      </c>
      <c r="G31" s="11">
        <v>1418</v>
      </c>
      <c r="H31" s="15">
        <v>1396</v>
      </c>
      <c r="I31" s="15">
        <v>1399</v>
      </c>
      <c r="J31" s="15">
        <v>1407</v>
      </c>
      <c r="K31" s="11">
        <v>1390</v>
      </c>
      <c r="L31" s="11">
        <v>1428</v>
      </c>
      <c r="M31" s="11">
        <v>1398</v>
      </c>
      <c r="N31" s="11">
        <f t="shared" si="1"/>
        <v>1463.6666666666667</v>
      </c>
    </row>
    <row r="32" spans="1:14" x14ac:dyDescent="0.2">
      <c r="A32" s="10" t="s">
        <v>29</v>
      </c>
      <c r="B32" s="11">
        <v>4891</v>
      </c>
      <c r="C32" s="11">
        <v>4747</v>
      </c>
      <c r="D32" s="11">
        <v>4904</v>
      </c>
      <c r="E32" s="11">
        <v>4851</v>
      </c>
      <c r="F32" s="11">
        <v>4830</v>
      </c>
      <c r="G32" s="11">
        <v>4783</v>
      </c>
      <c r="H32" s="14">
        <v>4747</v>
      </c>
      <c r="I32" s="14">
        <v>4725</v>
      </c>
      <c r="J32" s="14">
        <v>4675</v>
      </c>
      <c r="K32" s="11">
        <v>4805</v>
      </c>
      <c r="L32" s="11">
        <v>4881</v>
      </c>
      <c r="M32" s="11">
        <v>5021</v>
      </c>
      <c r="N32" s="11">
        <f t="shared" si="1"/>
        <v>4821.666666666667</v>
      </c>
    </row>
    <row r="33" spans="1:14" x14ac:dyDescent="0.2">
      <c r="A33" s="10" t="s">
        <v>30</v>
      </c>
      <c r="B33" s="11">
        <v>1688</v>
      </c>
      <c r="C33" s="11">
        <v>1639</v>
      </c>
      <c r="D33" s="11">
        <v>1608</v>
      </c>
      <c r="E33" s="11">
        <v>1607</v>
      </c>
      <c r="F33" s="11">
        <v>1628</v>
      </c>
      <c r="G33" s="11">
        <v>1580</v>
      </c>
      <c r="H33" s="11">
        <v>1563</v>
      </c>
      <c r="I33" s="11">
        <v>1587</v>
      </c>
      <c r="J33" s="11">
        <v>1584</v>
      </c>
      <c r="K33" s="11">
        <v>1586</v>
      </c>
      <c r="L33" s="11">
        <v>1574</v>
      </c>
      <c r="M33" s="11">
        <v>1537</v>
      </c>
      <c r="N33" s="11">
        <f t="shared" si="1"/>
        <v>1598.4166666666667</v>
      </c>
    </row>
    <row r="34" spans="1:14" x14ac:dyDescent="0.2">
      <c r="A34" s="10" t="s">
        <v>31</v>
      </c>
      <c r="B34" s="11">
        <v>2567</v>
      </c>
      <c r="C34" s="11">
        <v>2528</v>
      </c>
      <c r="D34" s="11">
        <v>2553</v>
      </c>
      <c r="E34" s="11">
        <v>2614</v>
      </c>
      <c r="F34" s="11">
        <v>2653</v>
      </c>
      <c r="G34" s="11">
        <v>2589</v>
      </c>
      <c r="H34" s="11">
        <v>2599</v>
      </c>
      <c r="I34" s="11">
        <v>2590</v>
      </c>
      <c r="J34" s="11">
        <v>2576</v>
      </c>
      <c r="K34" s="11">
        <v>2503</v>
      </c>
      <c r="L34" s="11">
        <v>2488</v>
      </c>
      <c r="M34" s="11">
        <v>2500</v>
      </c>
      <c r="N34" s="11">
        <f t="shared" si="1"/>
        <v>2563.3333333333335</v>
      </c>
    </row>
    <row r="35" spans="1:14" x14ac:dyDescent="0.2">
      <c r="A35" s="10" t="s">
        <v>32</v>
      </c>
      <c r="B35" s="11">
        <v>5807</v>
      </c>
      <c r="C35" s="11">
        <v>5671</v>
      </c>
      <c r="D35" s="11">
        <v>5514</v>
      </c>
      <c r="E35" s="11">
        <v>5467</v>
      </c>
      <c r="F35" s="11">
        <v>5381</v>
      </c>
      <c r="G35" s="11">
        <v>5323</v>
      </c>
      <c r="H35" s="11">
        <v>5342</v>
      </c>
      <c r="I35" s="11">
        <v>5390</v>
      </c>
      <c r="J35" s="11">
        <v>5444</v>
      </c>
      <c r="K35" s="11">
        <v>5446</v>
      </c>
      <c r="L35" s="11">
        <v>5449</v>
      </c>
      <c r="M35" s="11">
        <v>5495</v>
      </c>
      <c r="N35" s="11">
        <f t="shared" si="1"/>
        <v>5477.416666666667</v>
      </c>
    </row>
    <row r="36" spans="1:14" x14ac:dyDescent="0.2">
      <c r="A36" s="10" t="s">
        <v>33</v>
      </c>
      <c r="B36" s="11">
        <v>2505</v>
      </c>
      <c r="C36" s="11">
        <v>2521</v>
      </c>
      <c r="D36" s="11">
        <v>2503</v>
      </c>
      <c r="E36" s="11">
        <v>2483</v>
      </c>
      <c r="F36" s="11">
        <v>2473</v>
      </c>
      <c r="G36" s="11">
        <v>2466</v>
      </c>
      <c r="H36" s="11">
        <v>2503</v>
      </c>
      <c r="I36" s="11">
        <v>2501</v>
      </c>
      <c r="J36" s="11">
        <v>2499</v>
      </c>
      <c r="K36" s="11">
        <v>2516</v>
      </c>
      <c r="L36" s="11">
        <v>2515</v>
      </c>
      <c r="M36" s="11">
        <v>2506</v>
      </c>
      <c r="N36" s="11">
        <f t="shared" si="1"/>
        <v>2499.25</v>
      </c>
    </row>
    <row r="37" spans="1:14" x14ac:dyDescent="0.2">
      <c r="A37" s="10" t="s">
        <v>34</v>
      </c>
      <c r="B37" s="11">
        <v>9397</v>
      </c>
      <c r="C37" s="11">
        <v>9510</v>
      </c>
      <c r="D37" s="11">
        <v>9546</v>
      </c>
      <c r="E37" s="11">
        <v>9499</v>
      </c>
      <c r="F37" s="11">
        <v>9561</v>
      </c>
      <c r="G37" s="11">
        <v>9567</v>
      </c>
      <c r="H37" s="14">
        <v>9497</v>
      </c>
      <c r="I37" s="14">
        <v>9513</v>
      </c>
      <c r="J37" s="14">
        <v>9491</v>
      </c>
      <c r="K37" s="11">
        <v>9551</v>
      </c>
      <c r="L37" s="11">
        <v>9526</v>
      </c>
      <c r="M37" s="11">
        <v>9503</v>
      </c>
      <c r="N37" s="11">
        <f t="shared" ref="N37:N59" si="2">AVERAGE(B37:M37)</f>
        <v>9513.4166666666661</v>
      </c>
    </row>
    <row r="38" spans="1:14" x14ac:dyDescent="0.2">
      <c r="A38" s="10" t="s">
        <v>35</v>
      </c>
      <c r="B38" s="11">
        <v>6579</v>
      </c>
      <c r="C38" s="11">
        <v>6263</v>
      </c>
      <c r="D38" s="11">
        <v>6234</v>
      </c>
      <c r="E38" s="11">
        <v>6483</v>
      </c>
      <c r="F38" s="11">
        <v>6761</v>
      </c>
      <c r="G38" s="11">
        <v>6936</v>
      </c>
      <c r="H38" s="11">
        <v>7086</v>
      </c>
      <c r="I38" s="11">
        <v>7173</v>
      </c>
      <c r="J38" s="11">
        <v>7408</v>
      </c>
      <c r="K38" s="11">
        <v>7644</v>
      </c>
      <c r="L38" s="11">
        <v>7818</v>
      </c>
      <c r="M38" s="11">
        <v>7712</v>
      </c>
      <c r="N38" s="11">
        <f t="shared" si="2"/>
        <v>7008.083333333333</v>
      </c>
    </row>
    <row r="39" spans="1:14" x14ac:dyDescent="0.2">
      <c r="A39" s="10" t="s">
        <v>36</v>
      </c>
      <c r="B39" s="11">
        <v>122489</v>
      </c>
      <c r="C39" s="11">
        <v>121333</v>
      </c>
      <c r="D39" s="11">
        <v>122898</v>
      </c>
      <c r="E39" s="11">
        <v>124828</v>
      </c>
      <c r="F39" s="11">
        <v>127225</v>
      </c>
      <c r="G39" s="11">
        <v>129023</v>
      </c>
      <c r="H39" s="15">
        <v>129604</v>
      </c>
      <c r="I39" s="15">
        <v>130773</v>
      </c>
      <c r="J39" s="15">
        <v>131856</v>
      </c>
      <c r="K39" s="11">
        <v>132834</v>
      </c>
      <c r="L39" s="11">
        <v>133248</v>
      </c>
      <c r="M39" s="11">
        <v>133904</v>
      </c>
      <c r="N39" s="11">
        <f t="shared" si="2"/>
        <v>128334.58333333333</v>
      </c>
    </row>
    <row r="40" spans="1:14" x14ac:dyDescent="0.2">
      <c r="A40" s="10" t="s">
        <v>37</v>
      </c>
      <c r="B40" s="11">
        <v>7922</v>
      </c>
      <c r="C40" s="11">
        <v>7752</v>
      </c>
      <c r="D40" s="11">
        <v>7617</v>
      </c>
      <c r="E40" s="11">
        <v>7018</v>
      </c>
      <c r="F40" s="11">
        <v>6836</v>
      </c>
      <c r="G40" s="11">
        <v>6744</v>
      </c>
      <c r="H40" s="11">
        <v>7134</v>
      </c>
      <c r="I40" s="11">
        <v>7059</v>
      </c>
      <c r="J40" s="11">
        <v>6848</v>
      </c>
      <c r="K40" s="11">
        <v>6899</v>
      </c>
      <c r="L40" s="11">
        <v>6893</v>
      </c>
      <c r="M40" s="11">
        <v>6672</v>
      </c>
      <c r="N40" s="11">
        <f t="shared" si="2"/>
        <v>7116.166666666667</v>
      </c>
    </row>
    <row r="41" spans="1:14" x14ac:dyDescent="0.2">
      <c r="A41" s="10" t="s">
        <v>38</v>
      </c>
      <c r="B41" s="11">
        <v>588</v>
      </c>
      <c r="C41" s="11">
        <v>595</v>
      </c>
      <c r="D41" s="11">
        <v>589</v>
      </c>
      <c r="E41" s="11">
        <v>610</v>
      </c>
      <c r="F41" s="11">
        <v>600</v>
      </c>
      <c r="G41" s="11">
        <v>617</v>
      </c>
      <c r="H41" s="11">
        <v>632</v>
      </c>
      <c r="I41" s="11">
        <v>631</v>
      </c>
      <c r="J41" s="11">
        <v>652</v>
      </c>
      <c r="K41" s="11">
        <v>659</v>
      </c>
      <c r="L41" s="11">
        <v>689</v>
      </c>
      <c r="M41" s="11">
        <v>683</v>
      </c>
      <c r="N41" s="11">
        <f t="shared" si="2"/>
        <v>628.75</v>
      </c>
    </row>
    <row r="42" spans="1:14" x14ac:dyDescent="0.2">
      <c r="A42" s="10" t="s">
        <v>39</v>
      </c>
      <c r="B42" s="11">
        <v>40311</v>
      </c>
      <c r="C42" s="11">
        <v>40114</v>
      </c>
      <c r="D42" s="11">
        <v>39994</v>
      </c>
      <c r="E42" s="11">
        <v>39356</v>
      </c>
      <c r="F42" s="11">
        <v>39335</v>
      </c>
      <c r="G42" s="11">
        <v>39132</v>
      </c>
      <c r="H42" s="11">
        <v>39109</v>
      </c>
      <c r="I42" s="11">
        <v>39045</v>
      </c>
      <c r="J42" s="11">
        <v>38369</v>
      </c>
      <c r="K42" s="11">
        <v>38676</v>
      </c>
      <c r="L42" s="11">
        <v>38742</v>
      </c>
      <c r="M42" s="11">
        <v>38622</v>
      </c>
      <c r="N42" s="11">
        <f t="shared" si="2"/>
        <v>39233.75</v>
      </c>
    </row>
    <row r="43" spans="1:14" x14ac:dyDescent="0.2">
      <c r="A43" s="10" t="s">
        <v>40</v>
      </c>
      <c r="B43" s="11">
        <v>3605</v>
      </c>
      <c r="C43" s="11">
        <v>3644</v>
      </c>
      <c r="D43" s="11">
        <v>3585</v>
      </c>
      <c r="E43" s="11">
        <v>3539</v>
      </c>
      <c r="F43" s="11">
        <v>3558</v>
      </c>
      <c r="G43" s="11">
        <v>3537</v>
      </c>
      <c r="H43" s="11">
        <v>3378</v>
      </c>
      <c r="I43" s="11">
        <v>3283</v>
      </c>
      <c r="J43" s="11">
        <v>3157</v>
      </c>
      <c r="K43" s="11">
        <v>3195</v>
      </c>
      <c r="L43" s="11">
        <v>3226</v>
      </c>
      <c r="M43" s="11">
        <v>2982</v>
      </c>
      <c r="N43" s="11">
        <f t="shared" si="2"/>
        <v>3390.75</v>
      </c>
    </row>
    <row r="44" spans="1:14" x14ac:dyDescent="0.2">
      <c r="A44" s="10" t="s">
        <v>41</v>
      </c>
      <c r="B44" s="11">
        <v>17862</v>
      </c>
      <c r="C44" s="11">
        <v>17893</v>
      </c>
      <c r="D44" s="11">
        <v>17893</v>
      </c>
      <c r="E44" s="11">
        <v>18041</v>
      </c>
      <c r="F44" s="11">
        <v>18197</v>
      </c>
      <c r="G44" s="11">
        <v>18204</v>
      </c>
      <c r="H44" s="15">
        <v>18283</v>
      </c>
      <c r="I44" s="15">
        <v>18259</v>
      </c>
      <c r="J44" s="15">
        <v>18181</v>
      </c>
      <c r="K44" s="11">
        <v>18342</v>
      </c>
      <c r="L44" s="11">
        <v>18749</v>
      </c>
      <c r="M44" s="11">
        <v>18450</v>
      </c>
      <c r="N44" s="11">
        <f t="shared" si="2"/>
        <v>18196.166666666668</v>
      </c>
    </row>
    <row r="45" spans="1:14" x14ac:dyDescent="0.2">
      <c r="A45" s="10" t="s">
        <v>42</v>
      </c>
      <c r="B45" s="11">
        <v>25987</v>
      </c>
      <c r="C45" s="11">
        <v>25574</v>
      </c>
      <c r="D45" s="11">
        <v>25231</v>
      </c>
      <c r="E45" s="11">
        <v>25188</v>
      </c>
      <c r="F45" s="11">
        <v>24489</v>
      </c>
      <c r="G45" s="11">
        <v>23962</v>
      </c>
      <c r="H45" s="11">
        <v>23784</v>
      </c>
      <c r="I45" s="11">
        <v>23640</v>
      </c>
      <c r="J45" s="11">
        <v>23351</v>
      </c>
      <c r="K45" s="11">
        <v>23319</v>
      </c>
      <c r="L45" s="11">
        <v>22972</v>
      </c>
      <c r="M45" s="11">
        <v>22546</v>
      </c>
      <c r="N45" s="11">
        <f t="shared" si="2"/>
        <v>24170.25</v>
      </c>
    </row>
    <row r="46" spans="1:14" x14ac:dyDescent="0.2">
      <c r="A46" s="10" t="s">
        <v>43</v>
      </c>
      <c r="B46" s="11">
        <v>2485</v>
      </c>
      <c r="C46" s="11">
        <v>2567</v>
      </c>
      <c r="D46" s="11">
        <v>2547</v>
      </c>
      <c r="E46" s="17">
        <v>2477</v>
      </c>
      <c r="F46" s="17">
        <v>2401</v>
      </c>
      <c r="G46" s="17">
        <v>2340</v>
      </c>
      <c r="H46" s="15">
        <v>2200</v>
      </c>
      <c r="I46" s="15">
        <v>2167</v>
      </c>
      <c r="J46" s="15">
        <v>2223</v>
      </c>
      <c r="K46" s="11">
        <v>2284</v>
      </c>
      <c r="L46" s="11">
        <v>2453</v>
      </c>
      <c r="M46" s="11">
        <v>2537</v>
      </c>
      <c r="N46" s="11">
        <f t="shared" si="2"/>
        <v>2390.0833333333335</v>
      </c>
    </row>
    <row r="47" spans="1:14" x14ac:dyDescent="0.2">
      <c r="A47" s="10" t="s">
        <v>44</v>
      </c>
      <c r="B47" s="11">
        <v>3359</v>
      </c>
      <c r="C47" s="11">
        <v>3406</v>
      </c>
      <c r="D47" s="11">
        <v>3339</v>
      </c>
      <c r="E47" s="11">
        <v>3288</v>
      </c>
      <c r="F47" s="11">
        <v>3259</v>
      </c>
      <c r="G47" s="11">
        <v>3290</v>
      </c>
      <c r="H47" s="11">
        <v>3298</v>
      </c>
      <c r="I47" s="11">
        <v>3340</v>
      </c>
      <c r="J47" s="11">
        <v>3369</v>
      </c>
      <c r="K47" s="11">
        <v>3460</v>
      </c>
      <c r="L47" s="11">
        <v>3599</v>
      </c>
      <c r="M47" s="11">
        <v>3685</v>
      </c>
      <c r="N47" s="11">
        <f t="shared" si="2"/>
        <v>3391</v>
      </c>
    </row>
    <row r="48" spans="1:14" x14ac:dyDescent="0.2">
      <c r="A48" s="10" t="s">
        <v>45</v>
      </c>
      <c r="B48" s="11">
        <v>5564</v>
      </c>
      <c r="C48" s="11">
        <v>5675</v>
      </c>
      <c r="D48" s="11">
        <v>5688</v>
      </c>
      <c r="E48" s="11">
        <v>5591</v>
      </c>
      <c r="F48" s="11">
        <v>5662</v>
      </c>
      <c r="G48" s="11">
        <v>5553</v>
      </c>
      <c r="H48" s="11">
        <v>5460</v>
      </c>
      <c r="I48" s="11">
        <v>5567</v>
      </c>
      <c r="J48" s="11">
        <v>5605</v>
      </c>
      <c r="K48" s="11">
        <v>5553</v>
      </c>
      <c r="L48" s="11">
        <v>5660</v>
      </c>
      <c r="M48" s="11">
        <v>5684</v>
      </c>
      <c r="N48" s="11">
        <f t="shared" si="2"/>
        <v>5605.166666666667</v>
      </c>
    </row>
    <row r="49" spans="1:14" x14ac:dyDescent="0.2">
      <c r="A49" s="10" t="s">
        <v>46</v>
      </c>
      <c r="B49" s="11">
        <v>2479</v>
      </c>
      <c r="C49" s="11">
        <v>2462</v>
      </c>
      <c r="D49" s="11">
        <v>2457</v>
      </c>
      <c r="E49" s="11">
        <v>2434</v>
      </c>
      <c r="F49" s="11">
        <v>2449</v>
      </c>
      <c r="G49" s="11">
        <v>2478</v>
      </c>
      <c r="H49" s="15">
        <v>2477</v>
      </c>
      <c r="I49" s="15">
        <v>2505</v>
      </c>
      <c r="J49" s="15">
        <v>2495</v>
      </c>
      <c r="K49" s="11">
        <v>2519</v>
      </c>
      <c r="L49" s="11">
        <v>2561</v>
      </c>
      <c r="M49" s="11">
        <v>2518</v>
      </c>
      <c r="N49" s="11">
        <f t="shared" si="2"/>
        <v>2486.1666666666665</v>
      </c>
    </row>
    <row r="50" spans="1:14" x14ac:dyDescent="0.2">
      <c r="A50" s="10" t="s">
        <v>47</v>
      </c>
      <c r="B50" s="11">
        <v>13022</v>
      </c>
      <c r="C50" s="11">
        <v>12491</v>
      </c>
      <c r="D50" s="11">
        <v>11955</v>
      </c>
      <c r="E50" s="11">
        <v>10289</v>
      </c>
      <c r="F50" s="11">
        <v>11170</v>
      </c>
      <c r="G50" s="11">
        <v>11186</v>
      </c>
      <c r="H50" s="11">
        <v>11900</v>
      </c>
      <c r="I50" s="11">
        <v>12159</v>
      </c>
      <c r="J50" s="11">
        <v>12086</v>
      </c>
      <c r="K50" s="11">
        <v>13121</v>
      </c>
      <c r="L50" s="11">
        <v>12933</v>
      </c>
      <c r="M50" s="11">
        <v>13095</v>
      </c>
      <c r="N50" s="11">
        <f t="shared" si="2"/>
        <v>12117.25</v>
      </c>
    </row>
    <row r="51" spans="1:14" x14ac:dyDescent="0.2">
      <c r="A51" s="10" t="s">
        <v>48</v>
      </c>
      <c r="B51" s="11">
        <v>9560</v>
      </c>
      <c r="C51" s="11">
        <v>9517</v>
      </c>
      <c r="D51" s="11">
        <v>9421</v>
      </c>
      <c r="E51" s="11">
        <v>9241</v>
      </c>
      <c r="F51" s="11">
        <v>8965</v>
      </c>
      <c r="G51" s="11">
        <v>8982</v>
      </c>
      <c r="H51" s="15">
        <v>9078</v>
      </c>
      <c r="I51" s="15">
        <v>9047</v>
      </c>
      <c r="J51" s="15">
        <v>9267</v>
      </c>
      <c r="K51" s="11">
        <v>9687</v>
      </c>
      <c r="L51" s="11">
        <v>10200</v>
      </c>
      <c r="M51" s="11">
        <v>10587</v>
      </c>
      <c r="N51" s="11">
        <f t="shared" si="2"/>
        <v>9462.6666666666661</v>
      </c>
    </row>
    <row r="52" spans="1:14" x14ac:dyDescent="0.2">
      <c r="A52" s="10" t="s">
        <v>49</v>
      </c>
      <c r="B52" s="11">
        <v>1920</v>
      </c>
      <c r="C52" s="11">
        <v>1893</v>
      </c>
      <c r="D52" s="11">
        <v>1875</v>
      </c>
      <c r="E52" s="11">
        <v>1869</v>
      </c>
      <c r="F52" s="11">
        <v>1859</v>
      </c>
      <c r="G52" s="11">
        <v>1883</v>
      </c>
      <c r="H52" s="14">
        <v>1883</v>
      </c>
      <c r="I52" s="14">
        <v>1890</v>
      </c>
      <c r="J52" s="14">
        <v>1878</v>
      </c>
      <c r="K52" s="11">
        <v>1908</v>
      </c>
      <c r="L52" s="11">
        <v>1920</v>
      </c>
      <c r="M52" s="11">
        <v>1929</v>
      </c>
      <c r="N52" s="11">
        <f t="shared" si="2"/>
        <v>1892.25</v>
      </c>
    </row>
    <row r="53" spans="1:14" x14ac:dyDescent="0.2">
      <c r="A53" s="10" t="s">
        <v>50</v>
      </c>
      <c r="B53" s="11">
        <v>1692</v>
      </c>
      <c r="C53" s="11">
        <v>1694</v>
      </c>
      <c r="D53" s="11">
        <v>1630</v>
      </c>
      <c r="E53" s="11">
        <v>1648</v>
      </c>
      <c r="F53" s="11">
        <v>1711</v>
      </c>
      <c r="G53" s="11">
        <v>1651</v>
      </c>
      <c r="H53" s="15">
        <v>1633</v>
      </c>
      <c r="I53" s="15">
        <v>1682</v>
      </c>
      <c r="J53" s="15">
        <v>1621</v>
      </c>
      <c r="K53" s="11">
        <v>1625</v>
      </c>
      <c r="L53" s="11">
        <v>1629</v>
      </c>
      <c r="M53" s="11">
        <v>1642</v>
      </c>
      <c r="N53" s="11">
        <f t="shared" si="2"/>
        <v>1654.8333333333333</v>
      </c>
    </row>
    <row r="54" spans="1:14" x14ac:dyDescent="0.2">
      <c r="A54" s="10" t="s">
        <v>51</v>
      </c>
      <c r="B54" s="11">
        <v>59</v>
      </c>
      <c r="C54" s="11">
        <v>61</v>
      </c>
      <c r="D54" s="11">
        <v>57</v>
      </c>
      <c r="E54" s="11">
        <v>56</v>
      </c>
      <c r="F54" s="11">
        <v>57</v>
      </c>
      <c r="G54" s="11">
        <v>55</v>
      </c>
      <c r="H54" s="15">
        <v>53</v>
      </c>
      <c r="I54" s="15">
        <v>50</v>
      </c>
      <c r="J54" s="15">
        <v>50</v>
      </c>
      <c r="K54" s="11">
        <v>51</v>
      </c>
      <c r="L54" s="11">
        <v>49</v>
      </c>
      <c r="M54" s="11">
        <v>49</v>
      </c>
      <c r="N54" s="11">
        <f t="shared" si="2"/>
        <v>53.916666666666664</v>
      </c>
    </row>
    <row r="55" spans="1:14" x14ac:dyDescent="0.2">
      <c r="A55" s="10" t="s">
        <v>52</v>
      </c>
      <c r="B55" s="11">
        <v>13941</v>
      </c>
      <c r="C55" s="11">
        <v>13765</v>
      </c>
      <c r="D55" s="11">
        <v>13509</v>
      </c>
      <c r="E55" s="11">
        <v>13227</v>
      </c>
      <c r="F55" s="11">
        <v>13282</v>
      </c>
      <c r="G55" s="11">
        <v>13057</v>
      </c>
      <c r="H55" s="15">
        <v>12853</v>
      </c>
      <c r="I55" s="15">
        <v>12980</v>
      </c>
      <c r="J55" s="15">
        <v>12921</v>
      </c>
      <c r="K55" s="11">
        <v>12946</v>
      </c>
      <c r="L55" s="11">
        <v>12952</v>
      </c>
      <c r="M55" s="11">
        <v>12822</v>
      </c>
      <c r="N55" s="11">
        <f t="shared" si="2"/>
        <v>13187.916666666666</v>
      </c>
    </row>
    <row r="56" spans="1:14" x14ac:dyDescent="0.2">
      <c r="A56" s="10" t="s">
        <v>53</v>
      </c>
      <c r="B56" s="11">
        <v>31516</v>
      </c>
      <c r="C56" s="11">
        <v>31582</v>
      </c>
      <c r="D56" s="11">
        <v>31993</v>
      </c>
      <c r="E56" s="11">
        <v>32619</v>
      </c>
      <c r="F56" s="11">
        <v>32843</v>
      </c>
      <c r="G56" s="11">
        <v>33083</v>
      </c>
      <c r="H56" s="11">
        <v>33323</v>
      </c>
      <c r="I56" s="11">
        <v>33594</v>
      </c>
      <c r="J56" s="11">
        <v>33549</v>
      </c>
      <c r="K56" s="11">
        <v>33650</v>
      </c>
      <c r="L56" s="11">
        <v>34399</v>
      </c>
      <c r="M56" s="11">
        <v>34668</v>
      </c>
      <c r="N56" s="11">
        <f t="shared" si="2"/>
        <v>33068.25</v>
      </c>
    </row>
    <row r="57" spans="1:14" x14ac:dyDescent="0.2">
      <c r="A57" s="10" t="s">
        <v>54</v>
      </c>
      <c r="B57" s="11">
        <v>4973</v>
      </c>
      <c r="C57" s="11">
        <v>4934</v>
      </c>
      <c r="D57" s="11">
        <v>4911</v>
      </c>
      <c r="E57" s="11">
        <v>4856</v>
      </c>
      <c r="F57" s="11">
        <v>4808</v>
      </c>
      <c r="G57" s="11">
        <v>4727</v>
      </c>
      <c r="H57" s="15">
        <v>4618</v>
      </c>
      <c r="I57" s="15">
        <v>4579</v>
      </c>
      <c r="J57" s="15">
        <v>4500</v>
      </c>
      <c r="K57" s="11">
        <v>4457</v>
      </c>
      <c r="L57" s="11">
        <v>4495</v>
      </c>
      <c r="M57" s="11">
        <v>4503</v>
      </c>
      <c r="N57" s="11">
        <f t="shared" si="2"/>
        <v>4696.75</v>
      </c>
    </row>
    <row r="58" spans="1:14" x14ac:dyDescent="0.2">
      <c r="A58" s="10" t="s">
        <v>55</v>
      </c>
      <c r="B58" s="11">
        <v>11384</v>
      </c>
      <c r="C58" s="11">
        <v>11210</v>
      </c>
      <c r="D58" s="11">
        <v>11326</v>
      </c>
      <c r="E58" s="11">
        <v>11336</v>
      </c>
      <c r="F58" s="11">
        <v>11322</v>
      </c>
      <c r="G58" s="11">
        <v>11296</v>
      </c>
      <c r="H58" s="11">
        <v>11307</v>
      </c>
      <c r="I58" s="11">
        <v>11304</v>
      </c>
      <c r="J58" s="11">
        <v>11272</v>
      </c>
      <c r="K58" s="11">
        <v>11231</v>
      </c>
      <c r="L58" s="11">
        <v>11169</v>
      </c>
      <c r="M58" s="11">
        <v>11295</v>
      </c>
      <c r="N58" s="11">
        <f t="shared" si="2"/>
        <v>11287.666666666666</v>
      </c>
    </row>
    <row r="59" spans="1:14" x14ac:dyDescent="0.2">
      <c r="A59" s="19" t="s">
        <v>56</v>
      </c>
      <c r="B59" s="20">
        <v>456</v>
      </c>
      <c r="C59" s="20">
        <v>466</v>
      </c>
      <c r="D59" s="20">
        <v>485</v>
      </c>
      <c r="E59" s="20">
        <v>483</v>
      </c>
      <c r="F59" s="20">
        <v>476</v>
      </c>
      <c r="G59" s="20">
        <v>467</v>
      </c>
      <c r="H59" s="21">
        <v>485</v>
      </c>
      <c r="I59" s="21">
        <v>482</v>
      </c>
      <c r="J59" s="21">
        <v>491</v>
      </c>
      <c r="K59" s="20">
        <v>486</v>
      </c>
      <c r="L59" s="20">
        <v>490</v>
      </c>
      <c r="M59" s="20">
        <v>476</v>
      </c>
      <c r="N59" s="20">
        <f t="shared" si="2"/>
        <v>478.58333333333331</v>
      </c>
    </row>
    <row r="60" spans="1:14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</row>
    <row r="61" spans="1:14" x14ac:dyDescent="0.2">
      <c r="A61" s="74" t="s">
        <v>58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</row>
    <row r="62" spans="1:14" x14ac:dyDescent="0.2">
      <c r="A62" s="74" t="s">
        <v>95</v>
      </c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x14ac:dyDescent="0.2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x14ac:dyDescent="0.2">
      <c r="A64" s="23"/>
    </row>
  </sheetData>
  <pageMargins left="0.7" right="0.7" top="0.75" bottom="0.75" header="0.3" footer="0.3"/>
  <pageSetup scale="6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64"/>
  <sheetViews>
    <sheetView topLeftCell="A39" workbookViewId="0">
      <selection activeCell="A63" sqref="A63"/>
    </sheetView>
  </sheetViews>
  <sheetFormatPr defaultColWidth="9.21875" defaultRowHeight="10.199999999999999" x14ac:dyDescent="0.2"/>
  <cols>
    <col min="1" max="1" width="14.21875" style="22" bestFit="1" customWidth="1"/>
    <col min="2" max="14" width="10" style="13" customWidth="1"/>
    <col min="15" max="16384" width="9.21875" style="13"/>
  </cols>
  <sheetData>
    <row r="1" spans="1:14" s="1" customFormat="1" ht="15.6" x14ac:dyDescent="0.3">
      <c r="A1" s="68" t="s">
        <v>59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spans="1:14" s="2" customFormat="1" ht="13.2" x14ac:dyDescent="0.25">
      <c r="A2" s="65" t="str">
        <f>TFam!$A$2</f>
        <v>Fiscal Year 2024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</row>
    <row r="3" spans="1:14" s="2" customFormat="1" ht="13.2" x14ac:dyDescent="0.25">
      <c r="A3" s="66">
        <f>TFam!$A$3</f>
        <v>45687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</row>
    <row r="4" spans="1:14" s="6" customFormat="1" ht="21" customHeight="1" x14ac:dyDescent="0.2">
      <c r="A4" s="3" t="s">
        <v>1</v>
      </c>
      <c r="B4" s="4">
        <f>TFam!B4</f>
        <v>45200</v>
      </c>
      <c r="C4" s="4">
        <f>TFam!C4</f>
        <v>45231</v>
      </c>
      <c r="D4" s="4">
        <f>TFam!D4</f>
        <v>45261</v>
      </c>
      <c r="E4" s="4">
        <f>TFam!E4</f>
        <v>45292</v>
      </c>
      <c r="F4" s="4">
        <f>TFam!F4</f>
        <v>45323</v>
      </c>
      <c r="G4" s="4">
        <f>TFam!G4</f>
        <v>45352</v>
      </c>
      <c r="H4" s="4">
        <f>TFam!H4</f>
        <v>45383</v>
      </c>
      <c r="I4" s="4">
        <f>TFam!I4</f>
        <v>45413</v>
      </c>
      <c r="J4" s="4">
        <f>TFam!J4</f>
        <v>45444</v>
      </c>
      <c r="K4" s="4">
        <f>TFam!K4</f>
        <v>45474</v>
      </c>
      <c r="L4" s="4">
        <f>TFam!L4</f>
        <v>45505</v>
      </c>
      <c r="M4" s="4">
        <f>TFam!M4</f>
        <v>45536</v>
      </c>
      <c r="N4" s="5" t="str">
        <f>TFam!N4</f>
        <v>Average
FY 2024</v>
      </c>
    </row>
    <row r="5" spans="1:14" s="9" customFormat="1" ht="11.25" customHeight="1" x14ac:dyDescent="0.2">
      <c r="A5" s="7" t="s">
        <v>2</v>
      </c>
      <c r="B5" s="8">
        <f>SUM(B6:B59)</f>
        <v>58246</v>
      </c>
      <c r="C5" s="8">
        <f t="shared" ref="C5:M5" si="0">SUM(C6:C59)</f>
        <v>53794</v>
      </c>
      <c r="D5" s="8">
        <f t="shared" si="0"/>
        <v>54504</v>
      </c>
      <c r="E5" s="8">
        <f t="shared" si="0"/>
        <v>54857</v>
      </c>
      <c r="F5" s="8">
        <f t="shared" si="0"/>
        <v>55322</v>
      </c>
      <c r="G5" s="8">
        <f t="shared" si="0"/>
        <v>55607</v>
      </c>
      <c r="H5" s="8">
        <f t="shared" si="0"/>
        <v>55811</v>
      </c>
      <c r="I5" s="8">
        <f t="shared" si="0"/>
        <v>56278</v>
      </c>
      <c r="J5" s="8">
        <f t="shared" si="0"/>
        <v>55055</v>
      </c>
      <c r="K5" s="8">
        <f t="shared" si="0"/>
        <v>59572</v>
      </c>
      <c r="L5" s="8">
        <f t="shared" si="0"/>
        <v>59666</v>
      </c>
      <c r="M5" s="8">
        <f t="shared" si="0"/>
        <v>58459</v>
      </c>
      <c r="N5" s="8">
        <f t="shared" ref="N5:N36" si="1">AVERAGE(B5:M5)</f>
        <v>56430.916666666664</v>
      </c>
    </row>
    <row r="6" spans="1:14" ht="11.25" customHeight="1" x14ac:dyDescent="0.2">
      <c r="A6" s="10" t="s">
        <v>3</v>
      </c>
      <c r="B6" s="11">
        <v>38</v>
      </c>
      <c r="C6" s="11">
        <v>35</v>
      </c>
      <c r="D6" s="11">
        <v>34</v>
      </c>
      <c r="E6" s="11">
        <v>30</v>
      </c>
      <c r="F6" s="11">
        <v>29</v>
      </c>
      <c r="G6" s="11">
        <v>27</v>
      </c>
      <c r="H6" s="11">
        <v>29</v>
      </c>
      <c r="I6" s="11">
        <v>31</v>
      </c>
      <c r="J6" s="11">
        <v>34</v>
      </c>
      <c r="K6" s="11">
        <v>32</v>
      </c>
      <c r="L6" s="11">
        <v>35</v>
      </c>
      <c r="M6" s="11">
        <v>44</v>
      </c>
      <c r="N6" s="11">
        <f t="shared" si="1"/>
        <v>33.166666666666664</v>
      </c>
    </row>
    <row r="7" spans="1:14" ht="11.25" customHeight="1" x14ac:dyDescent="0.2">
      <c r="A7" s="10" t="s">
        <v>4</v>
      </c>
      <c r="B7" s="11">
        <v>135</v>
      </c>
      <c r="C7" s="11">
        <v>133</v>
      </c>
      <c r="D7" s="11">
        <v>145</v>
      </c>
      <c r="E7" s="11">
        <v>179</v>
      </c>
      <c r="F7" s="11">
        <v>174</v>
      </c>
      <c r="G7" s="11">
        <v>155</v>
      </c>
      <c r="H7" s="11">
        <v>179</v>
      </c>
      <c r="I7" s="11">
        <v>174</v>
      </c>
      <c r="J7" s="11">
        <v>155</v>
      </c>
      <c r="K7" s="11">
        <v>154</v>
      </c>
      <c r="L7" s="11">
        <v>167</v>
      </c>
      <c r="M7" s="11">
        <v>156</v>
      </c>
      <c r="N7" s="11">
        <f t="shared" si="1"/>
        <v>158.83333333333334</v>
      </c>
    </row>
    <row r="8" spans="1:14" ht="11.25" customHeight="1" x14ac:dyDescent="0.2">
      <c r="A8" s="10" t="s">
        <v>5</v>
      </c>
      <c r="B8" s="11">
        <v>253</v>
      </c>
      <c r="C8" s="11">
        <v>268</v>
      </c>
      <c r="D8" s="11">
        <v>296</v>
      </c>
      <c r="E8" s="11">
        <v>308</v>
      </c>
      <c r="F8" s="11">
        <v>327</v>
      </c>
      <c r="G8" s="11">
        <v>351</v>
      </c>
      <c r="H8" s="11">
        <v>343</v>
      </c>
      <c r="I8" s="11">
        <v>358</v>
      </c>
      <c r="J8" s="11">
        <v>359</v>
      </c>
      <c r="K8" s="11">
        <v>341</v>
      </c>
      <c r="L8" s="11">
        <v>318</v>
      </c>
      <c r="M8" s="11">
        <v>293</v>
      </c>
      <c r="N8" s="11">
        <f t="shared" si="1"/>
        <v>317.91666666666669</v>
      </c>
    </row>
    <row r="9" spans="1:14" ht="11.25" customHeight="1" x14ac:dyDescent="0.2">
      <c r="A9" s="10" t="s">
        <v>6</v>
      </c>
      <c r="B9" s="11">
        <v>39</v>
      </c>
      <c r="C9" s="11">
        <v>35</v>
      </c>
      <c r="D9" s="11">
        <v>37</v>
      </c>
      <c r="E9" s="11">
        <v>32</v>
      </c>
      <c r="F9" s="11">
        <v>41</v>
      </c>
      <c r="G9" s="11">
        <v>45</v>
      </c>
      <c r="H9" s="11">
        <v>42</v>
      </c>
      <c r="I9" s="11">
        <v>41</v>
      </c>
      <c r="J9" s="11">
        <v>32</v>
      </c>
      <c r="K9" s="11">
        <v>28</v>
      </c>
      <c r="L9" s="11">
        <v>26</v>
      </c>
      <c r="M9" s="11">
        <v>27</v>
      </c>
      <c r="N9" s="11">
        <f t="shared" si="1"/>
        <v>35.416666666666664</v>
      </c>
    </row>
    <row r="10" spans="1:14" ht="11.25" customHeight="1" x14ac:dyDescent="0.2">
      <c r="A10" s="10" t="s">
        <v>7</v>
      </c>
      <c r="B10" s="11">
        <v>36688</v>
      </c>
      <c r="C10" s="11">
        <v>32945</v>
      </c>
      <c r="D10" s="11">
        <v>34339</v>
      </c>
      <c r="E10" s="11">
        <v>34865</v>
      </c>
      <c r="F10" s="11">
        <v>35363</v>
      </c>
      <c r="G10" s="11">
        <v>35632</v>
      </c>
      <c r="H10" s="11">
        <v>35800</v>
      </c>
      <c r="I10" s="11">
        <v>36222</v>
      </c>
      <c r="J10" s="11">
        <v>35171</v>
      </c>
      <c r="K10" s="11">
        <v>39623</v>
      </c>
      <c r="L10" s="11">
        <v>39953</v>
      </c>
      <c r="M10" s="11">
        <v>38894</v>
      </c>
      <c r="N10" s="11">
        <f t="shared" si="1"/>
        <v>36291.25</v>
      </c>
    </row>
    <row r="11" spans="1:14" ht="11.25" customHeight="1" x14ac:dyDescent="0.2">
      <c r="A11" s="10" t="s">
        <v>8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f t="shared" si="1"/>
        <v>0</v>
      </c>
    </row>
    <row r="12" spans="1:14" ht="11.25" customHeight="1" x14ac:dyDescent="0.2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f t="shared" si="1"/>
        <v>0</v>
      </c>
    </row>
    <row r="13" spans="1:14" ht="11.25" customHeight="1" x14ac:dyDescent="0.2">
      <c r="A13" s="10" t="s">
        <v>10</v>
      </c>
      <c r="B13" s="11">
        <v>7</v>
      </c>
      <c r="C13" s="11">
        <v>5</v>
      </c>
      <c r="D13" s="11">
        <v>6</v>
      </c>
      <c r="E13" s="11">
        <v>5</v>
      </c>
      <c r="F13" s="11">
        <v>2</v>
      </c>
      <c r="G13" s="11">
        <v>3</v>
      </c>
      <c r="H13" s="11">
        <v>3</v>
      </c>
      <c r="I13" s="11">
        <v>4</v>
      </c>
      <c r="J13" s="11">
        <v>5</v>
      </c>
      <c r="K13" s="11">
        <v>6</v>
      </c>
      <c r="L13" s="11">
        <v>6</v>
      </c>
      <c r="M13" s="11">
        <v>5</v>
      </c>
      <c r="N13" s="11">
        <f t="shared" si="1"/>
        <v>4.75</v>
      </c>
    </row>
    <row r="14" spans="1:14" ht="11.25" customHeight="1" x14ac:dyDescent="0.2">
      <c r="A14" s="10" t="s">
        <v>11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f t="shared" si="1"/>
        <v>0</v>
      </c>
    </row>
    <row r="15" spans="1:14" ht="11.25" customHeight="1" x14ac:dyDescent="0.2">
      <c r="A15" s="10" t="s">
        <v>12</v>
      </c>
      <c r="B15" s="11">
        <v>7645</v>
      </c>
      <c r="C15" s="11">
        <v>6993</v>
      </c>
      <c r="D15" s="11">
        <v>6224</v>
      </c>
      <c r="E15" s="11">
        <v>5554</v>
      </c>
      <c r="F15" s="11">
        <v>5032</v>
      </c>
      <c r="G15" s="11">
        <v>4868</v>
      </c>
      <c r="H15" s="11">
        <v>4699</v>
      </c>
      <c r="I15" s="11">
        <v>4537</v>
      </c>
      <c r="J15" s="11">
        <v>4331</v>
      </c>
      <c r="K15" s="11">
        <v>4126</v>
      </c>
      <c r="L15" s="11">
        <v>3739</v>
      </c>
      <c r="M15" s="11">
        <v>3520</v>
      </c>
      <c r="N15" s="11">
        <f t="shared" si="1"/>
        <v>5105.666666666667</v>
      </c>
    </row>
    <row r="16" spans="1:14" ht="11.25" customHeight="1" x14ac:dyDescent="0.2">
      <c r="A16" s="10" t="s">
        <v>13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2</v>
      </c>
      <c r="L16" s="11">
        <v>0</v>
      </c>
      <c r="M16" s="11">
        <v>0</v>
      </c>
      <c r="N16" s="11">
        <f t="shared" si="1"/>
        <v>0.16666666666666666</v>
      </c>
    </row>
    <row r="17" spans="1:14" ht="11.25" customHeight="1" x14ac:dyDescent="0.2">
      <c r="A17" s="10" t="s">
        <v>14</v>
      </c>
      <c r="B17" s="11">
        <v>5</v>
      </c>
      <c r="C17" s="11">
        <v>7</v>
      </c>
      <c r="D17" s="11">
        <v>7</v>
      </c>
      <c r="E17" s="12">
        <v>8</v>
      </c>
      <c r="F17" s="12">
        <v>9</v>
      </c>
      <c r="G17" s="12">
        <v>6</v>
      </c>
      <c r="H17" s="11">
        <v>7</v>
      </c>
      <c r="I17" s="11">
        <v>12</v>
      </c>
      <c r="J17" s="11">
        <v>12</v>
      </c>
      <c r="K17" s="11">
        <v>13</v>
      </c>
      <c r="L17" s="11">
        <v>12</v>
      </c>
      <c r="M17" s="11">
        <v>13</v>
      </c>
      <c r="N17" s="11">
        <f t="shared" si="1"/>
        <v>9.25</v>
      </c>
    </row>
    <row r="18" spans="1:14" ht="11.25" customHeight="1" x14ac:dyDescent="0.2">
      <c r="A18" s="10" t="s">
        <v>15</v>
      </c>
      <c r="B18" s="11">
        <v>547</v>
      </c>
      <c r="C18" s="11">
        <v>553</v>
      </c>
      <c r="D18" s="11">
        <v>517</v>
      </c>
      <c r="E18" s="11">
        <v>475</v>
      </c>
      <c r="F18" s="11">
        <v>452</v>
      </c>
      <c r="G18" s="11">
        <v>419</v>
      </c>
      <c r="H18" s="11">
        <v>371</v>
      </c>
      <c r="I18" s="11">
        <v>368</v>
      </c>
      <c r="J18" s="11">
        <v>360</v>
      </c>
      <c r="K18" s="11">
        <v>361</v>
      </c>
      <c r="L18" s="11">
        <v>344</v>
      </c>
      <c r="M18" s="11">
        <v>339</v>
      </c>
      <c r="N18" s="11">
        <f t="shared" si="1"/>
        <v>425.5</v>
      </c>
    </row>
    <row r="19" spans="1:14" ht="11.25" customHeight="1" x14ac:dyDescent="0.2">
      <c r="A19" s="10" t="s">
        <v>16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f t="shared" si="1"/>
        <v>0</v>
      </c>
    </row>
    <row r="20" spans="1:14" x14ac:dyDescent="0.2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f t="shared" si="1"/>
        <v>0</v>
      </c>
    </row>
    <row r="21" spans="1:14" x14ac:dyDescent="0.2">
      <c r="A21" s="10" t="s">
        <v>18</v>
      </c>
      <c r="B21" s="11">
        <v>938</v>
      </c>
      <c r="C21" s="11">
        <v>964</v>
      </c>
      <c r="D21" s="11">
        <v>957</v>
      </c>
      <c r="E21" s="11">
        <v>949</v>
      </c>
      <c r="F21" s="11">
        <v>915</v>
      </c>
      <c r="G21" s="11">
        <v>884</v>
      </c>
      <c r="H21" s="11">
        <v>834</v>
      </c>
      <c r="I21" s="11">
        <v>790</v>
      </c>
      <c r="J21" s="11">
        <v>786</v>
      </c>
      <c r="K21" s="11">
        <v>748</v>
      </c>
      <c r="L21" s="11">
        <v>691</v>
      </c>
      <c r="M21" s="11">
        <v>636</v>
      </c>
      <c r="N21" s="11">
        <f t="shared" si="1"/>
        <v>841</v>
      </c>
    </row>
    <row r="22" spans="1:14" x14ac:dyDescent="0.2">
      <c r="A22" s="10" t="s">
        <v>19</v>
      </c>
      <c r="B22" s="11">
        <v>190</v>
      </c>
      <c r="C22" s="11">
        <v>184</v>
      </c>
      <c r="D22" s="11">
        <v>191</v>
      </c>
      <c r="E22" s="11">
        <v>195</v>
      </c>
      <c r="F22" s="11">
        <v>210</v>
      </c>
      <c r="G22" s="11">
        <v>220</v>
      </c>
      <c r="H22" s="11">
        <v>221</v>
      </c>
      <c r="I22" s="11">
        <v>231</v>
      </c>
      <c r="J22" s="11">
        <v>231</v>
      </c>
      <c r="K22" s="11">
        <v>238</v>
      </c>
      <c r="L22" s="11">
        <v>260</v>
      </c>
      <c r="M22" s="11">
        <v>284</v>
      </c>
      <c r="N22" s="11">
        <f t="shared" si="1"/>
        <v>221.25</v>
      </c>
    </row>
    <row r="23" spans="1:14" x14ac:dyDescent="0.2">
      <c r="A23" s="10" t="s">
        <v>20</v>
      </c>
      <c r="B23" s="11">
        <v>231</v>
      </c>
      <c r="C23" s="11">
        <v>236</v>
      </c>
      <c r="D23" s="11">
        <v>232</v>
      </c>
      <c r="E23" s="11">
        <v>234</v>
      </c>
      <c r="F23" s="11">
        <v>251</v>
      </c>
      <c r="G23" s="11">
        <v>261</v>
      </c>
      <c r="H23" s="11">
        <v>270</v>
      </c>
      <c r="I23" s="11">
        <v>262</v>
      </c>
      <c r="J23" s="11">
        <v>261</v>
      </c>
      <c r="K23" s="11">
        <v>248</v>
      </c>
      <c r="L23" s="11">
        <v>259</v>
      </c>
      <c r="M23" s="11">
        <v>242</v>
      </c>
      <c r="N23" s="11">
        <f t="shared" si="1"/>
        <v>248.91666666666666</v>
      </c>
    </row>
    <row r="24" spans="1:14" x14ac:dyDescent="0.2">
      <c r="A24" s="10" t="s">
        <v>21</v>
      </c>
      <c r="B24" s="11">
        <v>766</v>
      </c>
      <c r="C24" s="11">
        <v>705</v>
      </c>
      <c r="D24" s="11">
        <v>729</v>
      </c>
      <c r="E24" s="11">
        <v>791</v>
      </c>
      <c r="F24" s="11">
        <v>876</v>
      </c>
      <c r="G24" s="11">
        <v>951</v>
      </c>
      <c r="H24" s="11">
        <v>996</v>
      </c>
      <c r="I24" s="11">
        <v>1050</v>
      </c>
      <c r="J24" s="11">
        <v>1059</v>
      </c>
      <c r="K24" s="11">
        <v>1097</v>
      </c>
      <c r="L24" s="11">
        <v>1136</v>
      </c>
      <c r="M24" s="11">
        <v>1157</v>
      </c>
      <c r="N24" s="11">
        <f t="shared" si="1"/>
        <v>942.75</v>
      </c>
    </row>
    <row r="25" spans="1:14" x14ac:dyDescent="0.2">
      <c r="A25" s="10" t="s">
        <v>22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f t="shared" si="1"/>
        <v>0</v>
      </c>
    </row>
    <row r="26" spans="1:14" x14ac:dyDescent="0.2">
      <c r="A26" s="10" t="s">
        <v>23</v>
      </c>
      <c r="B26" s="11">
        <v>448</v>
      </c>
      <c r="C26" s="11">
        <v>418</v>
      </c>
      <c r="D26" s="11">
        <v>457</v>
      </c>
      <c r="E26" s="11">
        <v>481</v>
      </c>
      <c r="F26" s="11">
        <v>495</v>
      </c>
      <c r="G26" s="11">
        <v>502</v>
      </c>
      <c r="H26" s="11">
        <v>511</v>
      </c>
      <c r="I26" s="11">
        <v>505</v>
      </c>
      <c r="J26" s="11">
        <v>517</v>
      </c>
      <c r="K26" s="11">
        <v>531</v>
      </c>
      <c r="L26" s="11">
        <v>526</v>
      </c>
      <c r="M26" s="11">
        <v>528</v>
      </c>
      <c r="N26" s="11">
        <f t="shared" si="1"/>
        <v>493.25</v>
      </c>
    </row>
    <row r="27" spans="1:14" x14ac:dyDescent="0.2">
      <c r="A27" s="10" t="s">
        <v>24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f t="shared" si="1"/>
        <v>0</v>
      </c>
    </row>
    <row r="28" spans="1:14" x14ac:dyDescent="0.2">
      <c r="A28" s="10" t="s">
        <v>25</v>
      </c>
      <c r="B28" s="11">
        <v>1819</v>
      </c>
      <c r="C28" s="11">
        <v>1896</v>
      </c>
      <c r="D28" s="11">
        <v>1921</v>
      </c>
      <c r="E28" s="11">
        <v>2021</v>
      </c>
      <c r="F28" s="11">
        <v>2086</v>
      </c>
      <c r="G28" s="11">
        <v>2186</v>
      </c>
      <c r="H28" s="11">
        <v>2245</v>
      </c>
      <c r="I28" s="11">
        <v>2295</v>
      </c>
      <c r="J28" s="11">
        <v>2331</v>
      </c>
      <c r="K28" s="11">
        <v>2349</v>
      </c>
      <c r="L28" s="11">
        <v>2373</v>
      </c>
      <c r="M28" s="11">
        <v>2390</v>
      </c>
      <c r="N28" s="11">
        <f t="shared" si="1"/>
        <v>2159.3333333333335</v>
      </c>
    </row>
    <row r="29" spans="1:14" x14ac:dyDescent="0.2">
      <c r="A29" s="10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f t="shared" si="1"/>
        <v>0</v>
      </c>
    </row>
    <row r="30" spans="1:14" x14ac:dyDescent="0.2">
      <c r="A30" s="10" t="s">
        <v>27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f t="shared" si="1"/>
        <v>0</v>
      </c>
    </row>
    <row r="31" spans="1:14" x14ac:dyDescent="0.2">
      <c r="A31" s="10" t="s">
        <v>28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f t="shared" si="1"/>
        <v>0</v>
      </c>
    </row>
    <row r="32" spans="1:14" x14ac:dyDescent="0.2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f t="shared" si="1"/>
        <v>0</v>
      </c>
    </row>
    <row r="33" spans="1:14" x14ac:dyDescent="0.2">
      <c r="A33" s="10" t="s">
        <v>30</v>
      </c>
      <c r="B33" s="11">
        <v>89</v>
      </c>
      <c r="C33" s="11">
        <v>77</v>
      </c>
      <c r="D33" s="11">
        <v>74</v>
      </c>
      <c r="E33" s="11">
        <v>82</v>
      </c>
      <c r="F33" s="11">
        <v>94</v>
      </c>
      <c r="G33" s="11">
        <v>92</v>
      </c>
      <c r="H33" s="11">
        <v>88</v>
      </c>
      <c r="I33" s="11">
        <v>95</v>
      </c>
      <c r="J33" s="11">
        <v>91</v>
      </c>
      <c r="K33" s="11">
        <v>98</v>
      </c>
      <c r="L33" s="11">
        <v>98</v>
      </c>
      <c r="M33" s="11">
        <v>89</v>
      </c>
      <c r="N33" s="11">
        <f t="shared" si="1"/>
        <v>88.916666666666671</v>
      </c>
    </row>
    <row r="34" spans="1:14" x14ac:dyDescent="0.2">
      <c r="A34" s="10" t="s">
        <v>31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f t="shared" si="1"/>
        <v>0</v>
      </c>
    </row>
    <row r="35" spans="1:14" x14ac:dyDescent="0.2">
      <c r="A35" s="10" t="s">
        <v>32</v>
      </c>
      <c r="B35" s="11">
        <v>488</v>
      </c>
      <c r="C35" s="11">
        <v>457</v>
      </c>
      <c r="D35" s="11">
        <v>459</v>
      </c>
      <c r="E35" s="11">
        <v>452</v>
      </c>
      <c r="F35" s="11">
        <v>450</v>
      </c>
      <c r="G35" s="11">
        <v>470</v>
      </c>
      <c r="H35" s="11">
        <v>480</v>
      </c>
      <c r="I35" s="11">
        <v>475</v>
      </c>
      <c r="J35" s="11">
        <v>513</v>
      </c>
      <c r="K35" s="11">
        <v>526</v>
      </c>
      <c r="L35" s="11">
        <v>525</v>
      </c>
      <c r="M35" s="11">
        <v>537</v>
      </c>
      <c r="N35" s="11">
        <f t="shared" si="1"/>
        <v>486</v>
      </c>
    </row>
    <row r="36" spans="1:14" x14ac:dyDescent="0.2">
      <c r="A36" s="10" t="s">
        <v>33</v>
      </c>
      <c r="B36" s="11">
        <v>2</v>
      </c>
      <c r="C36" s="11">
        <v>3</v>
      </c>
      <c r="D36" s="11">
        <v>3</v>
      </c>
      <c r="E36" s="11">
        <v>2</v>
      </c>
      <c r="F36" s="11">
        <v>2</v>
      </c>
      <c r="G36" s="11">
        <v>2</v>
      </c>
      <c r="H36" s="11">
        <v>1</v>
      </c>
      <c r="I36" s="11">
        <v>1</v>
      </c>
      <c r="J36" s="11">
        <v>1</v>
      </c>
      <c r="K36" s="11">
        <v>1</v>
      </c>
      <c r="L36" s="11">
        <v>0</v>
      </c>
      <c r="M36" s="11">
        <v>0</v>
      </c>
      <c r="N36" s="11">
        <f t="shared" si="1"/>
        <v>1.5</v>
      </c>
    </row>
    <row r="37" spans="1:14" x14ac:dyDescent="0.2">
      <c r="A37" s="10" t="s">
        <v>34</v>
      </c>
      <c r="B37" s="11">
        <v>64</v>
      </c>
      <c r="C37" s="11">
        <v>64</v>
      </c>
      <c r="D37" s="11">
        <v>64</v>
      </c>
      <c r="E37" s="11">
        <v>68</v>
      </c>
      <c r="F37" s="11">
        <v>67</v>
      </c>
      <c r="G37" s="11">
        <v>74</v>
      </c>
      <c r="H37" s="11">
        <v>71</v>
      </c>
      <c r="I37" s="11">
        <v>59</v>
      </c>
      <c r="J37" s="11">
        <v>56</v>
      </c>
      <c r="K37" s="11">
        <v>66</v>
      </c>
      <c r="L37" s="11">
        <v>58</v>
      </c>
      <c r="M37" s="11">
        <v>54</v>
      </c>
      <c r="N37" s="11">
        <f t="shared" ref="N37:N59" si="2">AVERAGE(B37:M37)</f>
        <v>63.75</v>
      </c>
    </row>
    <row r="38" spans="1:14" x14ac:dyDescent="0.2">
      <c r="A38" s="10" t="s">
        <v>35</v>
      </c>
      <c r="B38" s="11">
        <v>396</v>
      </c>
      <c r="C38" s="11">
        <v>369</v>
      </c>
      <c r="D38" s="11">
        <v>366</v>
      </c>
      <c r="E38" s="11">
        <v>389</v>
      </c>
      <c r="F38" s="11">
        <v>410</v>
      </c>
      <c r="G38" s="11">
        <v>423</v>
      </c>
      <c r="H38" s="11">
        <v>429</v>
      </c>
      <c r="I38" s="11">
        <v>449</v>
      </c>
      <c r="J38" s="11">
        <v>481</v>
      </c>
      <c r="K38" s="11">
        <v>505</v>
      </c>
      <c r="L38" s="11">
        <v>517</v>
      </c>
      <c r="M38" s="11">
        <v>480</v>
      </c>
      <c r="N38" s="11">
        <f t="shared" si="2"/>
        <v>434.5</v>
      </c>
    </row>
    <row r="39" spans="1:14" x14ac:dyDescent="0.2">
      <c r="A39" s="10" t="s">
        <v>36</v>
      </c>
      <c r="B39" s="11">
        <v>1490</v>
      </c>
      <c r="C39" s="11">
        <v>1500</v>
      </c>
      <c r="D39" s="11">
        <v>1466</v>
      </c>
      <c r="E39" s="11">
        <v>1542</v>
      </c>
      <c r="F39" s="11">
        <v>1618</v>
      </c>
      <c r="G39" s="11">
        <v>1614</v>
      </c>
      <c r="H39" s="11">
        <v>1646</v>
      </c>
      <c r="I39" s="11">
        <v>1659</v>
      </c>
      <c r="J39" s="11">
        <v>1742</v>
      </c>
      <c r="K39" s="11">
        <v>1794</v>
      </c>
      <c r="L39" s="11">
        <v>1840</v>
      </c>
      <c r="M39" s="11">
        <v>1867</v>
      </c>
      <c r="N39" s="11">
        <f t="shared" si="2"/>
        <v>1648.1666666666667</v>
      </c>
    </row>
    <row r="40" spans="1:14" x14ac:dyDescent="0.2">
      <c r="A40" s="10" t="s">
        <v>37</v>
      </c>
      <c r="B40" s="11">
        <v>112</v>
      </c>
      <c r="C40" s="11">
        <v>104</v>
      </c>
      <c r="D40" s="11">
        <v>85</v>
      </c>
      <c r="E40" s="11">
        <v>64</v>
      </c>
      <c r="F40" s="11">
        <v>56</v>
      </c>
      <c r="G40" s="11">
        <v>55</v>
      </c>
      <c r="H40" s="11">
        <v>81</v>
      </c>
      <c r="I40" s="11">
        <v>73</v>
      </c>
      <c r="J40" s="11">
        <v>65</v>
      </c>
      <c r="K40" s="11">
        <v>59</v>
      </c>
      <c r="L40" s="11">
        <v>66</v>
      </c>
      <c r="M40" s="11">
        <v>60</v>
      </c>
      <c r="N40" s="11">
        <f t="shared" si="2"/>
        <v>73.333333333333329</v>
      </c>
    </row>
    <row r="41" spans="1:14" x14ac:dyDescent="0.2">
      <c r="A41" s="10" t="s">
        <v>38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f t="shared" si="2"/>
        <v>0</v>
      </c>
    </row>
    <row r="42" spans="1:14" x14ac:dyDescent="0.2">
      <c r="A42" s="10" t="s">
        <v>39</v>
      </c>
      <c r="B42" s="11">
        <v>857</v>
      </c>
      <c r="C42" s="11">
        <v>845</v>
      </c>
      <c r="D42" s="11">
        <v>855</v>
      </c>
      <c r="E42" s="11">
        <v>846</v>
      </c>
      <c r="F42" s="11">
        <v>858</v>
      </c>
      <c r="G42" s="11">
        <v>790</v>
      </c>
      <c r="H42" s="11">
        <v>758</v>
      </c>
      <c r="I42" s="11">
        <v>759</v>
      </c>
      <c r="J42" s="11">
        <v>699</v>
      </c>
      <c r="K42" s="11">
        <v>664</v>
      </c>
      <c r="L42" s="11">
        <v>626</v>
      </c>
      <c r="M42" s="11">
        <v>605</v>
      </c>
      <c r="N42" s="11">
        <f t="shared" si="2"/>
        <v>763.5</v>
      </c>
    </row>
    <row r="43" spans="1:14" x14ac:dyDescent="0.2">
      <c r="A43" s="10" t="s">
        <v>40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f t="shared" si="2"/>
        <v>0</v>
      </c>
    </row>
    <row r="44" spans="1:14" x14ac:dyDescent="0.2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f t="shared" si="2"/>
        <v>0</v>
      </c>
    </row>
    <row r="45" spans="1:14" x14ac:dyDescent="0.2">
      <c r="A45" s="10" t="s">
        <v>42</v>
      </c>
      <c r="B45" s="11">
        <v>308</v>
      </c>
      <c r="C45" s="11">
        <v>376</v>
      </c>
      <c r="D45" s="11">
        <v>323</v>
      </c>
      <c r="E45" s="11">
        <v>348</v>
      </c>
      <c r="F45" s="11">
        <v>353</v>
      </c>
      <c r="G45" s="11">
        <v>294</v>
      </c>
      <c r="H45" s="11">
        <v>360</v>
      </c>
      <c r="I45" s="11">
        <v>383</v>
      </c>
      <c r="J45" s="11">
        <v>345</v>
      </c>
      <c r="K45" s="11">
        <v>393</v>
      </c>
      <c r="L45" s="11">
        <v>339</v>
      </c>
      <c r="M45" s="11">
        <v>364</v>
      </c>
      <c r="N45" s="11">
        <f t="shared" si="2"/>
        <v>348.83333333333331</v>
      </c>
    </row>
    <row r="46" spans="1:14" x14ac:dyDescent="0.2">
      <c r="A46" s="10" t="s">
        <v>43</v>
      </c>
      <c r="B46" s="11">
        <v>100</v>
      </c>
      <c r="C46" s="11">
        <v>112</v>
      </c>
      <c r="D46" s="11">
        <v>115</v>
      </c>
      <c r="E46" s="11">
        <v>123</v>
      </c>
      <c r="F46" s="11">
        <v>107</v>
      </c>
      <c r="G46" s="11">
        <v>107</v>
      </c>
      <c r="H46" s="11">
        <v>94</v>
      </c>
      <c r="I46" s="11">
        <v>91</v>
      </c>
      <c r="J46" s="11">
        <v>92</v>
      </c>
      <c r="K46" s="11">
        <v>95</v>
      </c>
      <c r="L46" s="11">
        <v>102</v>
      </c>
      <c r="M46" s="11">
        <v>115</v>
      </c>
      <c r="N46" s="11">
        <f t="shared" si="2"/>
        <v>104.41666666666667</v>
      </c>
    </row>
    <row r="47" spans="1:14" x14ac:dyDescent="0.2">
      <c r="A47" s="10" t="s">
        <v>44</v>
      </c>
      <c r="B47" s="11">
        <v>212</v>
      </c>
      <c r="C47" s="11">
        <v>210</v>
      </c>
      <c r="D47" s="11">
        <v>208</v>
      </c>
      <c r="E47" s="11">
        <v>213</v>
      </c>
      <c r="F47" s="11">
        <v>213</v>
      </c>
      <c r="G47" s="11">
        <v>221</v>
      </c>
      <c r="H47" s="11">
        <v>223</v>
      </c>
      <c r="I47" s="11">
        <v>225</v>
      </c>
      <c r="J47" s="11">
        <v>230</v>
      </c>
      <c r="K47" s="11">
        <v>238</v>
      </c>
      <c r="L47" s="11">
        <v>265</v>
      </c>
      <c r="M47" s="11">
        <v>271</v>
      </c>
      <c r="N47" s="11">
        <f t="shared" si="2"/>
        <v>227.41666666666666</v>
      </c>
    </row>
    <row r="48" spans="1:14" x14ac:dyDescent="0.2">
      <c r="A48" s="10" t="s">
        <v>45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f t="shared" si="2"/>
        <v>0</v>
      </c>
    </row>
    <row r="49" spans="1:14" x14ac:dyDescent="0.2">
      <c r="A49" s="10" t="s">
        <v>46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f t="shared" si="2"/>
        <v>0</v>
      </c>
    </row>
    <row r="50" spans="1:14" x14ac:dyDescent="0.2">
      <c r="A50" s="10" t="s">
        <v>47</v>
      </c>
      <c r="B50" s="11">
        <v>263</v>
      </c>
      <c r="C50" s="11">
        <v>136</v>
      </c>
      <c r="D50" s="11">
        <v>102</v>
      </c>
      <c r="E50" s="11">
        <v>136</v>
      </c>
      <c r="F50" s="11">
        <v>204</v>
      </c>
      <c r="G50" s="11">
        <v>233</v>
      </c>
      <c r="H50" s="11">
        <v>248</v>
      </c>
      <c r="I50" s="11">
        <v>256</v>
      </c>
      <c r="J50" s="11">
        <v>253</v>
      </c>
      <c r="K50" s="11">
        <v>342</v>
      </c>
      <c r="L50" s="11">
        <v>318</v>
      </c>
      <c r="M50" s="11">
        <v>333</v>
      </c>
      <c r="N50" s="11">
        <f t="shared" si="2"/>
        <v>235.33333333333334</v>
      </c>
    </row>
    <row r="51" spans="1:14" x14ac:dyDescent="0.2">
      <c r="A51" s="10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f t="shared" si="2"/>
        <v>0</v>
      </c>
    </row>
    <row r="52" spans="1:14" x14ac:dyDescent="0.2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f t="shared" si="2"/>
        <v>0</v>
      </c>
    </row>
    <row r="53" spans="1:14" x14ac:dyDescent="0.2">
      <c r="A53" s="10" t="s">
        <v>50</v>
      </c>
      <c r="B53" s="11">
        <v>107</v>
      </c>
      <c r="C53" s="11">
        <v>119</v>
      </c>
      <c r="D53" s="11">
        <v>112</v>
      </c>
      <c r="E53" s="11">
        <v>107</v>
      </c>
      <c r="F53" s="11">
        <v>114</v>
      </c>
      <c r="G53" s="11">
        <v>115</v>
      </c>
      <c r="H53" s="11">
        <v>109</v>
      </c>
      <c r="I53" s="11">
        <v>128</v>
      </c>
      <c r="J53" s="11">
        <v>115</v>
      </c>
      <c r="K53" s="11">
        <v>108</v>
      </c>
      <c r="L53" s="11">
        <v>106</v>
      </c>
      <c r="M53" s="11">
        <v>126</v>
      </c>
      <c r="N53" s="11">
        <f t="shared" si="2"/>
        <v>113.83333333333333</v>
      </c>
    </row>
    <row r="54" spans="1:14" x14ac:dyDescent="0.2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f t="shared" si="2"/>
        <v>0</v>
      </c>
    </row>
    <row r="55" spans="1:14" x14ac:dyDescent="0.2">
      <c r="A55" s="10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f t="shared" si="2"/>
        <v>0</v>
      </c>
    </row>
    <row r="56" spans="1:14" x14ac:dyDescent="0.2">
      <c r="A56" s="10" t="s">
        <v>53</v>
      </c>
      <c r="B56" s="11">
        <v>3918</v>
      </c>
      <c r="C56" s="11">
        <v>3953</v>
      </c>
      <c r="D56" s="11">
        <v>4081</v>
      </c>
      <c r="E56" s="11">
        <v>4266</v>
      </c>
      <c r="F56" s="11">
        <v>4424</v>
      </c>
      <c r="G56" s="11">
        <v>4508</v>
      </c>
      <c r="H56" s="11">
        <v>4572</v>
      </c>
      <c r="I56" s="11">
        <v>4646</v>
      </c>
      <c r="J56" s="11">
        <v>4623</v>
      </c>
      <c r="K56" s="11">
        <v>4675</v>
      </c>
      <c r="L56" s="11">
        <v>4852</v>
      </c>
      <c r="M56" s="11">
        <v>4927</v>
      </c>
      <c r="N56" s="11">
        <f t="shared" si="2"/>
        <v>4453.75</v>
      </c>
    </row>
    <row r="57" spans="1:14" x14ac:dyDescent="0.2">
      <c r="A57" s="10" t="s">
        <v>54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f t="shared" si="2"/>
        <v>0</v>
      </c>
    </row>
    <row r="58" spans="1:14" x14ac:dyDescent="0.2">
      <c r="A58" s="10" t="s">
        <v>55</v>
      </c>
      <c r="B58" s="11">
        <v>78</v>
      </c>
      <c r="C58" s="11">
        <v>80</v>
      </c>
      <c r="D58" s="11">
        <v>88</v>
      </c>
      <c r="E58" s="11">
        <v>79</v>
      </c>
      <c r="F58" s="11">
        <v>73</v>
      </c>
      <c r="G58" s="11">
        <v>82</v>
      </c>
      <c r="H58" s="11">
        <v>81</v>
      </c>
      <c r="I58" s="11">
        <v>77</v>
      </c>
      <c r="J58" s="11">
        <v>82</v>
      </c>
      <c r="K58" s="11">
        <v>86</v>
      </c>
      <c r="L58" s="11">
        <v>84</v>
      </c>
      <c r="M58" s="11">
        <v>81</v>
      </c>
      <c r="N58" s="11">
        <f t="shared" si="2"/>
        <v>80.916666666666671</v>
      </c>
    </row>
    <row r="59" spans="1:14" x14ac:dyDescent="0.2">
      <c r="A59" s="19" t="s">
        <v>56</v>
      </c>
      <c r="B59" s="20">
        <v>13</v>
      </c>
      <c r="C59" s="20">
        <v>12</v>
      </c>
      <c r="D59" s="20">
        <v>11</v>
      </c>
      <c r="E59" s="20">
        <v>13</v>
      </c>
      <c r="F59" s="20">
        <v>17</v>
      </c>
      <c r="G59" s="20">
        <v>17</v>
      </c>
      <c r="H59" s="20">
        <v>20</v>
      </c>
      <c r="I59" s="20">
        <v>22</v>
      </c>
      <c r="J59" s="20">
        <v>23</v>
      </c>
      <c r="K59" s="20">
        <v>25</v>
      </c>
      <c r="L59" s="20">
        <v>25</v>
      </c>
      <c r="M59" s="20">
        <v>22</v>
      </c>
      <c r="N59" s="20">
        <f t="shared" si="2"/>
        <v>18.333333333333332</v>
      </c>
    </row>
    <row r="60" spans="1:14" s="6" customFormat="1" x14ac:dyDescent="0.2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</row>
    <row r="61" spans="1:14" x14ac:dyDescent="0.2">
      <c r="A61" s="63" t="s">
        <v>58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</row>
    <row r="62" spans="1:14" x14ac:dyDescent="0.2">
      <c r="A62" s="63" t="str">
        <f>TFam!A62</f>
        <v>Fiscal year average is based on data Oct. 2023 through Sep. 2024</v>
      </c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</row>
    <row r="63" spans="1:14" x14ac:dyDescent="0.2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</row>
    <row r="64" spans="1:14" x14ac:dyDescent="0.2">
      <c r="A64" s="63" t="s">
        <v>74</v>
      </c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</row>
  </sheetData>
  <pageMargins left="0.7" right="0.7" top="0.75" bottom="0.75" header="0.3" footer="0.3"/>
  <pageSetup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opLeftCell="A41" workbookViewId="0">
      <selection activeCell="A63" sqref="A63"/>
    </sheetView>
  </sheetViews>
  <sheetFormatPr defaultColWidth="9.21875" defaultRowHeight="10.199999999999999" x14ac:dyDescent="0.2"/>
  <cols>
    <col min="1" max="1" width="14.21875" style="22" bestFit="1" customWidth="1"/>
    <col min="2" max="14" width="10" style="13" customWidth="1"/>
    <col min="15" max="16384" width="9.21875" style="13"/>
  </cols>
  <sheetData>
    <row r="1" spans="1:14" s="1" customFormat="1" ht="15.6" x14ac:dyDescent="0.3">
      <c r="A1" s="68" t="s">
        <v>60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s="2" customFormat="1" ht="13.2" x14ac:dyDescent="0.25">
      <c r="A2" s="65" t="str">
        <f>TFam!$A$2</f>
        <v>Fiscal Year 2024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s="6" customFormat="1" x14ac:dyDescent="0.2">
      <c r="A3" s="66">
        <f>TFam!$A$3</f>
        <v>45687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1:14" s="6" customFormat="1" ht="20.399999999999999" x14ac:dyDescent="0.2">
      <c r="A4" s="3" t="s">
        <v>1</v>
      </c>
      <c r="B4" s="4">
        <f>TFam!B4</f>
        <v>45200</v>
      </c>
      <c r="C4" s="4">
        <f>TFam!C4</f>
        <v>45231</v>
      </c>
      <c r="D4" s="4">
        <f>TFam!D4</f>
        <v>45261</v>
      </c>
      <c r="E4" s="4">
        <f>TFam!E4</f>
        <v>45292</v>
      </c>
      <c r="F4" s="4">
        <f>TFam!F4</f>
        <v>45323</v>
      </c>
      <c r="G4" s="4">
        <f>TFam!G4</f>
        <v>45352</v>
      </c>
      <c r="H4" s="4">
        <f>TFam!H4</f>
        <v>45383</v>
      </c>
      <c r="I4" s="4">
        <f>TFam!I4</f>
        <v>45413</v>
      </c>
      <c r="J4" s="4">
        <f>TFam!J4</f>
        <v>45444</v>
      </c>
      <c r="K4" s="4">
        <f>TFam!K4</f>
        <v>45474</v>
      </c>
      <c r="L4" s="4">
        <f>TFam!L4</f>
        <v>45505</v>
      </c>
      <c r="M4" s="4">
        <f>TFam!M4</f>
        <v>45536</v>
      </c>
      <c r="N4" s="5" t="str">
        <f>TFam!N4</f>
        <v>Average
FY 2024</v>
      </c>
    </row>
    <row r="5" spans="1:14" s="9" customFormat="1" x14ac:dyDescent="0.2">
      <c r="A5" s="7" t="s">
        <v>2</v>
      </c>
      <c r="B5" s="8">
        <f>SUM(B6:B59)</f>
        <v>442955</v>
      </c>
      <c r="C5" s="8">
        <f t="shared" ref="C5:M5" si="0">SUM(C6:C59)</f>
        <v>433579</v>
      </c>
      <c r="D5" s="8">
        <f t="shared" si="0"/>
        <v>425721</v>
      </c>
      <c r="E5" s="8">
        <f t="shared" si="0"/>
        <v>424576</v>
      </c>
      <c r="F5" s="8">
        <f t="shared" si="0"/>
        <v>427261</v>
      </c>
      <c r="G5" s="8">
        <f t="shared" si="0"/>
        <v>428338</v>
      </c>
      <c r="H5" s="8">
        <f t="shared" si="0"/>
        <v>429016</v>
      </c>
      <c r="I5" s="8">
        <f t="shared" si="0"/>
        <v>434037</v>
      </c>
      <c r="J5" s="8">
        <f t="shared" si="0"/>
        <v>431648</v>
      </c>
      <c r="K5" s="8">
        <f t="shared" si="0"/>
        <v>458344</v>
      </c>
      <c r="L5" s="8">
        <f t="shared" si="0"/>
        <v>463771</v>
      </c>
      <c r="M5" s="8">
        <f t="shared" si="0"/>
        <v>462093</v>
      </c>
      <c r="N5" s="8">
        <f t="shared" ref="N5:N36" si="1">AVERAGE(B5:M5)</f>
        <v>438444.91666666669</v>
      </c>
    </row>
    <row r="6" spans="1:14" x14ac:dyDescent="0.2">
      <c r="A6" s="10" t="s">
        <v>3</v>
      </c>
      <c r="B6" s="11">
        <v>2227</v>
      </c>
      <c r="C6" s="11">
        <v>2358</v>
      </c>
      <c r="D6" s="11">
        <v>2521</v>
      </c>
      <c r="E6" s="11">
        <v>2476</v>
      </c>
      <c r="F6" s="11">
        <v>2468</v>
      </c>
      <c r="G6" s="11">
        <v>2393</v>
      </c>
      <c r="H6" s="11">
        <v>2354</v>
      </c>
      <c r="I6" s="11">
        <v>2353</v>
      </c>
      <c r="J6" s="11">
        <v>2373</v>
      </c>
      <c r="K6" s="11">
        <v>2471</v>
      </c>
      <c r="L6" s="11">
        <v>2612</v>
      </c>
      <c r="M6" s="11">
        <v>2722</v>
      </c>
      <c r="N6" s="11">
        <f t="shared" si="1"/>
        <v>2444</v>
      </c>
    </row>
    <row r="7" spans="1:14" x14ac:dyDescent="0.2">
      <c r="A7" s="10" t="s">
        <v>4</v>
      </c>
      <c r="B7" s="11">
        <v>565</v>
      </c>
      <c r="C7" s="11">
        <v>556</v>
      </c>
      <c r="D7" s="11">
        <v>611</v>
      </c>
      <c r="E7" s="11">
        <v>787</v>
      </c>
      <c r="F7" s="11">
        <v>766</v>
      </c>
      <c r="G7" s="11">
        <v>722</v>
      </c>
      <c r="H7" s="11">
        <v>787</v>
      </c>
      <c r="I7" s="11">
        <v>766</v>
      </c>
      <c r="J7" s="11">
        <v>722</v>
      </c>
      <c r="K7" s="11">
        <v>689</v>
      </c>
      <c r="L7" s="11">
        <v>670</v>
      </c>
      <c r="M7" s="11">
        <v>647</v>
      </c>
      <c r="N7" s="11">
        <f t="shared" si="1"/>
        <v>690.66666666666663</v>
      </c>
    </row>
    <row r="8" spans="1:14" x14ac:dyDescent="0.2">
      <c r="A8" s="10" t="s">
        <v>5</v>
      </c>
      <c r="B8" s="11">
        <v>1346</v>
      </c>
      <c r="C8" s="11">
        <v>1317</v>
      </c>
      <c r="D8" s="11">
        <v>1328</v>
      </c>
      <c r="E8" s="11">
        <v>1301</v>
      </c>
      <c r="F8" s="11">
        <v>1272</v>
      </c>
      <c r="G8" s="11">
        <v>1297</v>
      </c>
      <c r="H8" s="11">
        <v>1295</v>
      </c>
      <c r="I8" s="11">
        <v>1284</v>
      </c>
      <c r="J8" s="11">
        <v>1251</v>
      </c>
      <c r="K8" s="11">
        <v>1218</v>
      </c>
      <c r="L8" s="11">
        <v>1191</v>
      </c>
      <c r="M8" s="11">
        <v>1170</v>
      </c>
      <c r="N8" s="11">
        <f t="shared" si="1"/>
        <v>1272.5</v>
      </c>
    </row>
    <row r="9" spans="1:14" x14ac:dyDescent="0.2">
      <c r="A9" s="10" t="s">
        <v>6</v>
      </c>
      <c r="B9" s="11">
        <v>551</v>
      </c>
      <c r="C9" s="11">
        <v>537</v>
      </c>
      <c r="D9" s="11">
        <v>572</v>
      </c>
      <c r="E9" s="11">
        <v>515</v>
      </c>
      <c r="F9" s="11">
        <v>578</v>
      </c>
      <c r="G9" s="11">
        <v>538</v>
      </c>
      <c r="H9" s="11">
        <v>501</v>
      </c>
      <c r="I9" s="11">
        <v>488</v>
      </c>
      <c r="J9" s="11">
        <v>470</v>
      </c>
      <c r="K9" s="11">
        <v>432</v>
      </c>
      <c r="L9" s="11">
        <v>386</v>
      </c>
      <c r="M9" s="11">
        <v>391</v>
      </c>
      <c r="N9" s="11">
        <f t="shared" si="1"/>
        <v>496.58333333333331</v>
      </c>
    </row>
    <row r="10" spans="1:14" x14ac:dyDescent="0.2">
      <c r="A10" s="10" t="s">
        <v>7</v>
      </c>
      <c r="B10" s="11">
        <v>165800</v>
      </c>
      <c r="C10" s="11">
        <v>158689</v>
      </c>
      <c r="D10" s="11">
        <v>149817</v>
      </c>
      <c r="E10" s="11">
        <v>149645</v>
      </c>
      <c r="F10" s="11">
        <v>149891</v>
      </c>
      <c r="G10" s="11">
        <v>149141</v>
      </c>
      <c r="H10" s="11">
        <v>148668</v>
      </c>
      <c r="I10" s="11">
        <v>149622</v>
      </c>
      <c r="J10" s="11">
        <v>144691</v>
      </c>
      <c r="K10" s="11">
        <v>165248</v>
      </c>
      <c r="L10" s="11">
        <v>166663</v>
      </c>
      <c r="M10" s="11">
        <v>161793</v>
      </c>
      <c r="N10" s="11">
        <f t="shared" si="1"/>
        <v>154972.33333333334</v>
      </c>
    </row>
    <row r="11" spans="1:14" x14ac:dyDescent="0.2">
      <c r="A11" s="10" t="s">
        <v>8</v>
      </c>
      <c r="B11" s="11">
        <v>8346</v>
      </c>
      <c r="C11" s="11">
        <v>7915</v>
      </c>
      <c r="D11" s="11">
        <v>7866</v>
      </c>
      <c r="E11" s="11">
        <v>7903</v>
      </c>
      <c r="F11" s="11">
        <v>7846</v>
      </c>
      <c r="G11" s="11">
        <v>7958</v>
      </c>
      <c r="H11" s="11">
        <v>8027</v>
      </c>
      <c r="I11" s="11">
        <v>8090</v>
      </c>
      <c r="J11" s="11">
        <v>8145</v>
      </c>
      <c r="K11" s="11">
        <v>8490</v>
      </c>
      <c r="L11" s="11">
        <v>8740</v>
      </c>
      <c r="M11" s="11">
        <v>9143</v>
      </c>
      <c r="N11" s="11">
        <f t="shared" si="1"/>
        <v>8205.75</v>
      </c>
    </row>
    <row r="12" spans="1:14" x14ac:dyDescent="0.2">
      <c r="A12" s="10" t="s">
        <v>9</v>
      </c>
      <c r="B12" s="11">
        <v>1886</v>
      </c>
      <c r="C12" s="11">
        <v>1949</v>
      </c>
      <c r="D12" s="11">
        <v>1914</v>
      </c>
      <c r="E12" s="11">
        <v>1903</v>
      </c>
      <c r="F12" s="11">
        <v>1959</v>
      </c>
      <c r="G12" s="11">
        <v>1940</v>
      </c>
      <c r="H12" s="11">
        <v>1951</v>
      </c>
      <c r="I12" s="11">
        <v>2058</v>
      </c>
      <c r="J12" s="11">
        <v>2211</v>
      </c>
      <c r="K12" s="11">
        <v>2300</v>
      </c>
      <c r="L12" s="11">
        <v>2358</v>
      </c>
      <c r="M12" s="11">
        <v>2461</v>
      </c>
      <c r="N12" s="11">
        <f t="shared" si="1"/>
        <v>2074.1666666666665</v>
      </c>
    </row>
    <row r="13" spans="1:14" x14ac:dyDescent="0.2">
      <c r="A13" s="10" t="s">
        <v>10</v>
      </c>
      <c r="B13" s="11">
        <v>812</v>
      </c>
      <c r="C13" s="11">
        <v>741</v>
      </c>
      <c r="D13" s="11">
        <v>724</v>
      </c>
      <c r="E13" s="11">
        <v>689</v>
      </c>
      <c r="F13" s="11">
        <v>673</v>
      </c>
      <c r="G13" s="11">
        <v>630</v>
      </c>
      <c r="H13" s="11">
        <v>593</v>
      </c>
      <c r="I13" s="11">
        <v>582</v>
      </c>
      <c r="J13" s="11">
        <v>573</v>
      </c>
      <c r="K13" s="11">
        <v>570</v>
      </c>
      <c r="L13" s="11">
        <v>606</v>
      </c>
      <c r="M13" s="11">
        <v>604</v>
      </c>
      <c r="N13" s="11">
        <f t="shared" si="1"/>
        <v>649.75</v>
      </c>
    </row>
    <row r="14" spans="1:14" x14ac:dyDescent="0.2">
      <c r="A14" s="10" t="s">
        <v>11</v>
      </c>
      <c r="B14" s="11">
        <v>3944</v>
      </c>
      <c r="C14" s="11">
        <v>3464</v>
      </c>
      <c r="D14" s="11">
        <v>3504</v>
      </c>
      <c r="E14" s="11">
        <v>3363</v>
      </c>
      <c r="F14" s="11">
        <v>3187</v>
      </c>
      <c r="G14" s="11">
        <v>3365</v>
      </c>
      <c r="H14" s="11">
        <v>3289</v>
      </c>
      <c r="I14" s="11">
        <v>3398</v>
      </c>
      <c r="J14" s="11">
        <v>3423</v>
      </c>
      <c r="K14" s="11">
        <v>4527</v>
      </c>
      <c r="L14" s="11">
        <v>4279</v>
      </c>
      <c r="M14" s="11">
        <v>3824</v>
      </c>
      <c r="N14" s="11">
        <f t="shared" si="1"/>
        <v>3630.5833333333335</v>
      </c>
    </row>
    <row r="15" spans="1:14" x14ac:dyDescent="0.2">
      <c r="A15" s="10" t="s">
        <v>12</v>
      </c>
      <c r="B15" s="11">
        <v>7966</v>
      </c>
      <c r="C15" s="11">
        <v>7802</v>
      </c>
      <c r="D15" s="11">
        <v>7514</v>
      </c>
      <c r="E15" s="11">
        <v>7085</v>
      </c>
      <c r="F15" s="11">
        <v>6567</v>
      </c>
      <c r="G15" s="11">
        <v>6841</v>
      </c>
      <c r="H15" s="11">
        <v>6966</v>
      </c>
      <c r="I15" s="11">
        <v>7131</v>
      </c>
      <c r="J15" s="11">
        <v>7397</v>
      </c>
      <c r="K15" s="11">
        <v>7345</v>
      </c>
      <c r="L15" s="11">
        <v>7203</v>
      </c>
      <c r="M15" s="11">
        <v>7598</v>
      </c>
      <c r="N15" s="11">
        <f t="shared" si="1"/>
        <v>7284.583333333333</v>
      </c>
    </row>
    <row r="16" spans="1:14" x14ac:dyDescent="0.2">
      <c r="A16" s="10" t="s">
        <v>13</v>
      </c>
      <c r="B16" s="11">
        <v>216</v>
      </c>
      <c r="C16" s="11">
        <v>194</v>
      </c>
      <c r="D16" s="11">
        <v>189</v>
      </c>
      <c r="E16" s="16">
        <v>180</v>
      </c>
      <c r="F16" s="11">
        <v>160</v>
      </c>
      <c r="G16" s="11">
        <v>147</v>
      </c>
      <c r="H16" s="11">
        <v>136</v>
      </c>
      <c r="I16" s="11">
        <v>143</v>
      </c>
      <c r="J16" s="11">
        <v>129</v>
      </c>
      <c r="K16" s="11">
        <v>101</v>
      </c>
      <c r="L16" s="11">
        <v>109</v>
      </c>
      <c r="M16" s="11">
        <v>105</v>
      </c>
      <c r="N16" s="11">
        <f t="shared" si="1"/>
        <v>150.75</v>
      </c>
    </row>
    <row r="17" spans="1:14" x14ac:dyDescent="0.2">
      <c r="A17" s="10" t="s">
        <v>14</v>
      </c>
      <c r="B17" s="11">
        <v>43</v>
      </c>
      <c r="C17" s="11">
        <v>40</v>
      </c>
      <c r="D17" s="11">
        <v>42</v>
      </c>
      <c r="E17" s="12">
        <v>45</v>
      </c>
      <c r="F17" s="12">
        <v>49</v>
      </c>
      <c r="G17" s="12">
        <v>49</v>
      </c>
      <c r="H17" s="11">
        <v>53</v>
      </c>
      <c r="I17" s="11">
        <v>47</v>
      </c>
      <c r="J17" s="11">
        <v>51</v>
      </c>
      <c r="K17" s="11">
        <v>54</v>
      </c>
      <c r="L17" s="11">
        <v>51</v>
      </c>
      <c r="M17" s="11">
        <v>55</v>
      </c>
      <c r="N17" s="11">
        <f t="shared" si="1"/>
        <v>48.25</v>
      </c>
    </row>
    <row r="18" spans="1:14" x14ac:dyDescent="0.2">
      <c r="A18" s="10" t="s">
        <v>15</v>
      </c>
      <c r="B18" s="11">
        <v>2043</v>
      </c>
      <c r="C18" s="11">
        <v>2042</v>
      </c>
      <c r="D18" s="11">
        <v>1946</v>
      </c>
      <c r="E18" s="11">
        <v>1882</v>
      </c>
      <c r="F18" s="11">
        <v>1820</v>
      </c>
      <c r="G18" s="11">
        <v>1711</v>
      </c>
      <c r="H18" s="11">
        <v>1673</v>
      </c>
      <c r="I18" s="11">
        <v>1655</v>
      </c>
      <c r="J18" s="11">
        <v>1619</v>
      </c>
      <c r="K18" s="11">
        <v>1597</v>
      </c>
      <c r="L18" s="11">
        <v>1572</v>
      </c>
      <c r="M18" s="11">
        <v>1562</v>
      </c>
      <c r="N18" s="11">
        <f t="shared" si="1"/>
        <v>1760.1666666666667</v>
      </c>
    </row>
    <row r="19" spans="1:14" x14ac:dyDescent="0.2">
      <c r="A19" s="10" t="s">
        <v>16</v>
      </c>
      <c r="B19" s="11">
        <v>21</v>
      </c>
      <c r="C19" s="12">
        <v>15</v>
      </c>
      <c r="D19" s="12">
        <v>19</v>
      </c>
      <c r="E19" s="11">
        <v>24</v>
      </c>
      <c r="F19" s="11">
        <v>26</v>
      </c>
      <c r="G19" s="11">
        <v>22</v>
      </c>
      <c r="H19" s="11">
        <v>21</v>
      </c>
      <c r="I19" s="11">
        <v>20</v>
      </c>
      <c r="J19" s="11">
        <v>15</v>
      </c>
      <c r="K19" s="11">
        <v>28</v>
      </c>
      <c r="L19" s="11">
        <v>35</v>
      </c>
      <c r="M19" s="11">
        <v>39</v>
      </c>
      <c r="N19" s="11">
        <f t="shared" si="1"/>
        <v>23.75</v>
      </c>
    </row>
    <row r="20" spans="1:14" x14ac:dyDescent="0.2">
      <c r="A20" s="10" t="s">
        <v>17</v>
      </c>
      <c r="B20" s="11">
        <v>2398</v>
      </c>
      <c r="C20" s="11">
        <v>2326</v>
      </c>
      <c r="D20" s="11">
        <v>2269</v>
      </c>
      <c r="E20" s="11">
        <v>2191</v>
      </c>
      <c r="F20" s="11">
        <v>2188</v>
      </c>
      <c r="G20" s="11">
        <v>2304</v>
      </c>
      <c r="H20" s="11">
        <v>2297</v>
      </c>
      <c r="I20" s="11">
        <v>2184</v>
      </c>
      <c r="J20" s="11">
        <v>2249</v>
      </c>
      <c r="K20" s="11">
        <v>2198</v>
      </c>
      <c r="L20" s="11">
        <v>2247</v>
      </c>
      <c r="M20" s="11">
        <v>2258</v>
      </c>
      <c r="N20" s="11">
        <f t="shared" si="1"/>
        <v>2259.0833333333335</v>
      </c>
    </row>
    <row r="21" spans="1:14" x14ac:dyDescent="0.2">
      <c r="A21" s="10" t="s">
        <v>18</v>
      </c>
      <c r="B21" s="11">
        <v>1887</v>
      </c>
      <c r="C21" s="11">
        <v>2187</v>
      </c>
      <c r="D21" s="11">
        <v>2369</v>
      </c>
      <c r="E21" s="11">
        <v>2142</v>
      </c>
      <c r="F21" s="11">
        <v>2231</v>
      </c>
      <c r="G21" s="11">
        <v>2098</v>
      </c>
      <c r="H21" s="11">
        <v>1952</v>
      </c>
      <c r="I21" s="11">
        <v>1961</v>
      </c>
      <c r="J21" s="11">
        <v>2039</v>
      </c>
      <c r="K21" s="11">
        <v>2173</v>
      </c>
      <c r="L21" s="11">
        <v>2341</v>
      </c>
      <c r="M21" s="11">
        <v>2497</v>
      </c>
      <c r="N21" s="11">
        <f t="shared" si="1"/>
        <v>2156.4166666666665</v>
      </c>
    </row>
    <row r="22" spans="1:14" x14ac:dyDescent="0.2">
      <c r="A22" s="10" t="s">
        <v>19</v>
      </c>
      <c r="B22" s="11">
        <v>2011</v>
      </c>
      <c r="C22" s="11">
        <v>1939</v>
      </c>
      <c r="D22" s="11">
        <v>1908</v>
      </c>
      <c r="E22" s="11">
        <v>1886</v>
      </c>
      <c r="F22" s="11">
        <v>1861</v>
      </c>
      <c r="G22" s="11">
        <v>1864</v>
      </c>
      <c r="H22" s="11">
        <v>1872</v>
      </c>
      <c r="I22" s="11">
        <v>1923</v>
      </c>
      <c r="J22" s="11">
        <v>1922</v>
      </c>
      <c r="K22" s="11">
        <v>1931</v>
      </c>
      <c r="L22" s="11">
        <v>2029</v>
      </c>
      <c r="M22" s="11">
        <v>2090</v>
      </c>
      <c r="N22" s="11">
        <f t="shared" si="1"/>
        <v>1936.3333333333333</v>
      </c>
    </row>
    <row r="23" spans="1:14" x14ac:dyDescent="0.2">
      <c r="A23" s="10" t="s">
        <v>20</v>
      </c>
      <c r="B23" s="11">
        <v>1500</v>
      </c>
      <c r="C23" s="11">
        <v>1447</v>
      </c>
      <c r="D23" s="11">
        <v>1466</v>
      </c>
      <c r="E23" s="11">
        <v>1412</v>
      </c>
      <c r="F23" s="11">
        <v>1392</v>
      </c>
      <c r="G23" s="11">
        <v>1379</v>
      </c>
      <c r="H23" s="11">
        <v>1355</v>
      </c>
      <c r="I23" s="11">
        <v>1375</v>
      </c>
      <c r="J23" s="11">
        <v>1387</v>
      </c>
      <c r="K23" s="11">
        <v>1394</v>
      </c>
      <c r="L23" s="11">
        <v>1427</v>
      </c>
      <c r="M23" s="11">
        <v>1427</v>
      </c>
      <c r="N23" s="11">
        <f t="shared" si="1"/>
        <v>1413.4166666666667</v>
      </c>
    </row>
    <row r="24" spans="1:14" x14ac:dyDescent="0.2">
      <c r="A24" s="10" t="s">
        <v>21</v>
      </c>
      <c r="B24" s="11">
        <v>4540</v>
      </c>
      <c r="C24" s="11">
        <v>4697</v>
      </c>
      <c r="D24" s="11">
        <v>4748</v>
      </c>
      <c r="E24" s="11">
        <v>4860</v>
      </c>
      <c r="F24" s="11">
        <v>5050</v>
      </c>
      <c r="G24" s="11">
        <v>5096</v>
      </c>
      <c r="H24" s="11">
        <v>5301</v>
      </c>
      <c r="I24" s="11">
        <v>5531</v>
      </c>
      <c r="J24" s="11">
        <v>5699</v>
      </c>
      <c r="K24" s="11">
        <v>6016</v>
      </c>
      <c r="L24" s="11">
        <v>6295</v>
      </c>
      <c r="M24" s="11">
        <v>6457</v>
      </c>
      <c r="N24" s="11">
        <f t="shared" si="1"/>
        <v>5357.5</v>
      </c>
    </row>
    <row r="25" spans="1:14" x14ac:dyDescent="0.2">
      <c r="A25" s="10" t="s">
        <v>22</v>
      </c>
      <c r="B25" s="11">
        <v>2763</v>
      </c>
      <c r="C25" s="11">
        <v>2759</v>
      </c>
      <c r="D25" s="11">
        <v>2714</v>
      </c>
      <c r="E25" s="11">
        <v>2793</v>
      </c>
      <c r="F25" s="11">
        <v>2776</v>
      </c>
      <c r="G25" s="11">
        <v>2712</v>
      </c>
      <c r="H25" s="11">
        <v>2664</v>
      </c>
      <c r="I25" s="11">
        <v>2669</v>
      </c>
      <c r="J25" s="11">
        <v>2723</v>
      </c>
      <c r="K25" s="11">
        <v>2818</v>
      </c>
      <c r="L25" s="11">
        <v>2918</v>
      </c>
      <c r="M25" s="11">
        <v>2834</v>
      </c>
      <c r="N25" s="11">
        <f t="shared" si="1"/>
        <v>2761.9166666666665</v>
      </c>
    </row>
    <row r="26" spans="1:14" x14ac:dyDescent="0.2">
      <c r="A26" s="10" t="s">
        <v>23</v>
      </c>
      <c r="B26" s="11">
        <v>2062</v>
      </c>
      <c r="C26" s="11">
        <v>2041</v>
      </c>
      <c r="D26" s="11">
        <v>2084</v>
      </c>
      <c r="E26" s="11">
        <v>2111</v>
      </c>
      <c r="F26" s="11">
        <v>2097</v>
      </c>
      <c r="G26" s="11">
        <v>2168</v>
      </c>
      <c r="H26" s="11">
        <v>2157</v>
      </c>
      <c r="I26" s="11">
        <v>2195</v>
      </c>
      <c r="J26" s="11">
        <v>2235</v>
      </c>
      <c r="K26" s="11">
        <v>2231</v>
      </c>
      <c r="L26" s="11">
        <v>2228</v>
      </c>
      <c r="M26" s="11">
        <v>2307</v>
      </c>
      <c r="N26" s="11">
        <f t="shared" si="1"/>
        <v>2159.6666666666665</v>
      </c>
    </row>
    <row r="27" spans="1:14" x14ac:dyDescent="0.2">
      <c r="A27" s="10" t="s">
        <v>24</v>
      </c>
      <c r="B27" s="11">
        <v>6849</v>
      </c>
      <c r="C27" s="11">
        <v>7518</v>
      </c>
      <c r="D27" s="11">
        <v>7921</v>
      </c>
      <c r="E27" s="11">
        <v>7723</v>
      </c>
      <c r="F27" s="11">
        <v>8240</v>
      </c>
      <c r="G27" s="11">
        <v>8541</v>
      </c>
      <c r="H27" s="11">
        <v>9090</v>
      </c>
      <c r="I27" s="11">
        <v>10806</v>
      </c>
      <c r="J27" s="11">
        <v>10721</v>
      </c>
      <c r="K27" s="11">
        <v>10857</v>
      </c>
      <c r="L27" s="11">
        <v>10903</v>
      </c>
      <c r="M27" s="11">
        <v>10993</v>
      </c>
      <c r="N27" s="11">
        <f t="shared" si="1"/>
        <v>9180.1666666666661</v>
      </c>
    </row>
    <row r="28" spans="1:14" x14ac:dyDescent="0.2">
      <c r="A28" s="10" t="s">
        <v>25</v>
      </c>
      <c r="B28" s="11">
        <v>22727</v>
      </c>
      <c r="C28" s="11">
        <v>22764</v>
      </c>
      <c r="D28" s="11">
        <v>22693</v>
      </c>
      <c r="E28" s="11">
        <v>22192</v>
      </c>
      <c r="F28" s="11">
        <v>22183</v>
      </c>
      <c r="G28" s="11">
        <v>22142</v>
      </c>
      <c r="H28" s="11">
        <v>21978</v>
      </c>
      <c r="I28" s="11">
        <v>22128</v>
      </c>
      <c r="J28" s="11">
        <v>22365</v>
      </c>
      <c r="K28" s="11">
        <v>22817</v>
      </c>
      <c r="L28" s="11">
        <v>23661</v>
      </c>
      <c r="M28" s="11">
        <v>24012</v>
      </c>
      <c r="N28" s="11">
        <f t="shared" si="1"/>
        <v>22638.5</v>
      </c>
    </row>
    <row r="29" spans="1:14" x14ac:dyDescent="0.2">
      <c r="A29" s="10" t="s">
        <v>26</v>
      </c>
      <c r="B29" s="11">
        <v>4075</v>
      </c>
      <c r="C29" s="11">
        <v>3898</v>
      </c>
      <c r="D29" s="11">
        <v>3975</v>
      </c>
      <c r="E29" s="11">
        <v>4035</v>
      </c>
      <c r="F29" s="11">
        <v>4012</v>
      </c>
      <c r="G29" s="11">
        <v>4026</v>
      </c>
      <c r="H29" s="11">
        <v>3747</v>
      </c>
      <c r="I29" s="11">
        <v>3522</v>
      </c>
      <c r="J29" s="11">
        <v>3623</v>
      </c>
      <c r="K29" s="11">
        <v>3717</v>
      </c>
      <c r="L29" s="11">
        <v>3829</v>
      </c>
      <c r="M29" s="11">
        <v>4130</v>
      </c>
      <c r="N29" s="11">
        <f t="shared" si="1"/>
        <v>3882.4166666666665</v>
      </c>
    </row>
    <row r="30" spans="1:14" x14ac:dyDescent="0.2">
      <c r="A30" s="10" t="s">
        <v>27</v>
      </c>
      <c r="B30" s="11">
        <v>7925</v>
      </c>
      <c r="C30" s="11">
        <v>7854</v>
      </c>
      <c r="D30" s="11">
        <v>7916</v>
      </c>
      <c r="E30" s="11">
        <v>7920</v>
      </c>
      <c r="F30" s="11">
        <v>7789</v>
      </c>
      <c r="G30" s="11">
        <v>7675</v>
      </c>
      <c r="H30" s="11">
        <v>7608</v>
      </c>
      <c r="I30" s="11">
        <v>7686</v>
      </c>
      <c r="J30" s="11">
        <v>7789</v>
      </c>
      <c r="K30" s="11">
        <v>7794</v>
      </c>
      <c r="L30" s="11">
        <v>7812</v>
      </c>
      <c r="M30" s="11">
        <v>7833</v>
      </c>
      <c r="N30" s="11">
        <f t="shared" si="1"/>
        <v>7800.083333333333</v>
      </c>
    </row>
    <row r="31" spans="1:14" x14ac:dyDescent="0.2">
      <c r="A31" s="10" t="s">
        <v>28</v>
      </c>
      <c r="B31" s="11">
        <v>397</v>
      </c>
      <c r="C31" s="11">
        <v>366</v>
      </c>
      <c r="D31" s="11">
        <v>360</v>
      </c>
      <c r="E31" s="11">
        <v>321</v>
      </c>
      <c r="F31" s="11">
        <v>317</v>
      </c>
      <c r="G31" s="11">
        <v>297</v>
      </c>
      <c r="H31" s="11">
        <v>281</v>
      </c>
      <c r="I31" s="11">
        <v>288</v>
      </c>
      <c r="J31" s="11">
        <v>306</v>
      </c>
      <c r="K31" s="11">
        <v>294</v>
      </c>
      <c r="L31" s="11">
        <v>315</v>
      </c>
      <c r="M31" s="11">
        <v>303</v>
      </c>
      <c r="N31" s="11">
        <f t="shared" si="1"/>
        <v>320.41666666666669</v>
      </c>
    </row>
    <row r="32" spans="1:14" x14ac:dyDescent="0.2">
      <c r="A32" s="10" t="s">
        <v>29</v>
      </c>
      <c r="B32" s="11">
        <v>2657</v>
      </c>
      <c r="C32" s="11">
        <v>2536</v>
      </c>
      <c r="D32" s="11">
        <v>2713</v>
      </c>
      <c r="E32" s="11">
        <v>2704</v>
      </c>
      <c r="F32" s="11">
        <v>2707</v>
      </c>
      <c r="G32" s="11">
        <v>2675</v>
      </c>
      <c r="H32" s="11">
        <v>2658</v>
      </c>
      <c r="I32" s="11">
        <v>2653</v>
      </c>
      <c r="J32" s="11">
        <v>2608</v>
      </c>
      <c r="K32" s="11">
        <v>2736</v>
      </c>
      <c r="L32" s="11">
        <v>2810</v>
      </c>
      <c r="M32" s="11">
        <v>2958</v>
      </c>
      <c r="N32" s="11">
        <f t="shared" si="1"/>
        <v>2701.25</v>
      </c>
    </row>
    <row r="33" spans="1:14" x14ac:dyDescent="0.2">
      <c r="A33" s="10" t="s">
        <v>30</v>
      </c>
      <c r="B33" s="11">
        <v>665</v>
      </c>
      <c r="C33" s="11">
        <v>650</v>
      </c>
      <c r="D33" s="11">
        <v>635</v>
      </c>
      <c r="E33" s="11">
        <v>638</v>
      </c>
      <c r="F33" s="11">
        <v>637</v>
      </c>
      <c r="G33" s="11">
        <v>598</v>
      </c>
      <c r="H33" s="11">
        <v>594</v>
      </c>
      <c r="I33" s="11">
        <v>606</v>
      </c>
      <c r="J33" s="11">
        <v>612</v>
      </c>
      <c r="K33" s="11">
        <v>618</v>
      </c>
      <c r="L33" s="11">
        <v>607</v>
      </c>
      <c r="M33" s="11">
        <v>600</v>
      </c>
      <c r="N33" s="11">
        <f t="shared" si="1"/>
        <v>621.66666666666663</v>
      </c>
    </row>
    <row r="34" spans="1:14" x14ac:dyDescent="0.2">
      <c r="A34" s="10" t="s">
        <v>31</v>
      </c>
      <c r="B34" s="11">
        <v>693</v>
      </c>
      <c r="C34" s="11">
        <v>670</v>
      </c>
      <c r="D34" s="11">
        <v>682</v>
      </c>
      <c r="E34" s="11">
        <v>733</v>
      </c>
      <c r="F34" s="11">
        <v>762</v>
      </c>
      <c r="G34" s="11">
        <v>735</v>
      </c>
      <c r="H34" s="11">
        <v>719</v>
      </c>
      <c r="I34" s="11">
        <v>708</v>
      </c>
      <c r="J34" s="11">
        <v>729</v>
      </c>
      <c r="K34" s="11">
        <v>728</v>
      </c>
      <c r="L34" s="11">
        <v>715</v>
      </c>
      <c r="M34" s="11">
        <v>762</v>
      </c>
      <c r="N34" s="11">
        <f t="shared" si="1"/>
        <v>719.66666666666663</v>
      </c>
    </row>
    <row r="35" spans="1:14" x14ac:dyDescent="0.2">
      <c r="A35" s="10" t="s">
        <v>32</v>
      </c>
      <c r="B35" s="11">
        <v>2557</v>
      </c>
      <c r="C35" s="11">
        <v>2477</v>
      </c>
      <c r="D35" s="11">
        <v>2369</v>
      </c>
      <c r="E35" s="11">
        <v>2321</v>
      </c>
      <c r="F35" s="11">
        <v>2256</v>
      </c>
      <c r="G35" s="11">
        <v>2212</v>
      </c>
      <c r="H35" s="11">
        <v>2230</v>
      </c>
      <c r="I35" s="11">
        <v>2277</v>
      </c>
      <c r="J35" s="11">
        <v>2344</v>
      </c>
      <c r="K35" s="11">
        <v>2348</v>
      </c>
      <c r="L35" s="11">
        <v>2397</v>
      </c>
      <c r="M35" s="11">
        <v>2469</v>
      </c>
      <c r="N35" s="11">
        <f t="shared" si="1"/>
        <v>2354.75</v>
      </c>
    </row>
    <row r="36" spans="1:14" x14ac:dyDescent="0.2">
      <c r="A36" s="10" t="s">
        <v>33</v>
      </c>
      <c r="B36" s="11">
        <v>973</v>
      </c>
      <c r="C36" s="11">
        <v>987</v>
      </c>
      <c r="D36" s="11">
        <v>989</v>
      </c>
      <c r="E36" s="11">
        <v>982</v>
      </c>
      <c r="F36" s="11">
        <v>981</v>
      </c>
      <c r="G36" s="11">
        <v>977</v>
      </c>
      <c r="H36" s="11">
        <v>1015</v>
      </c>
      <c r="I36" s="11">
        <v>1018</v>
      </c>
      <c r="J36" s="11">
        <v>1024</v>
      </c>
      <c r="K36" s="11">
        <v>1043</v>
      </c>
      <c r="L36" s="11">
        <v>1051</v>
      </c>
      <c r="M36" s="11">
        <v>1049</v>
      </c>
      <c r="N36" s="11">
        <f t="shared" si="1"/>
        <v>1007.4166666666666</v>
      </c>
    </row>
    <row r="37" spans="1:14" x14ac:dyDescent="0.2">
      <c r="A37" s="10" t="s">
        <v>34</v>
      </c>
      <c r="B37" s="11">
        <v>7042</v>
      </c>
      <c r="C37" s="11">
        <v>7160</v>
      </c>
      <c r="D37" s="11">
        <v>7219</v>
      </c>
      <c r="E37" s="11">
        <v>7196</v>
      </c>
      <c r="F37" s="11">
        <v>7261</v>
      </c>
      <c r="G37" s="11">
        <v>7290</v>
      </c>
      <c r="H37" s="11">
        <v>7228</v>
      </c>
      <c r="I37" s="11">
        <v>7243</v>
      </c>
      <c r="J37" s="11">
        <v>7243</v>
      </c>
      <c r="K37" s="11">
        <v>7317</v>
      </c>
      <c r="L37" s="11">
        <v>7320</v>
      </c>
      <c r="M37" s="11">
        <v>7335</v>
      </c>
      <c r="N37" s="11">
        <f t="shared" ref="N37:N59" si="2">AVERAGE(B37:M37)</f>
        <v>7237.833333333333</v>
      </c>
    </row>
    <row r="38" spans="1:14" x14ac:dyDescent="0.2">
      <c r="A38" s="10" t="s">
        <v>35</v>
      </c>
      <c r="B38" s="11">
        <v>2950</v>
      </c>
      <c r="C38" s="11">
        <v>2828</v>
      </c>
      <c r="D38" s="11">
        <v>2837</v>
      </c>
      <c r="E38" s="11">
        <v>3003</v>
      </c>
      <c r="F38" s="11">
        <v>3238</v>
      </c>
      <c r="G38" s="11">
        <v>3358</v>
      </c>
      <c r="H38" s="11">
        <v>3438</v>
      </c>
      <c r="I38" s="11">
        <v>3491</v>
      </c>
      <c r="J38" s="11">
        <v>3705</v>
      </c>
      <c r="K38" s="11">
        <v>3858</v>
      </c>
      <c r="L38" s="11">
        <v>4020</v>
      </c>
      <c r="M38" s="11">
        <v>3952</v>
      </c>
      <c r="N38" s="11">
        <f t="shared" si="2"/>
        <v>3389.8333333333335</v>
      </c>
    </row>
    <row r="39" spans="1:14" x14ac:dyDescent="0.2">
      <c r="A39" s="10" t="s">
        <v>36</v>
      </c>
      <c r="B39" s="11">
        <v>89375</v>
      </c>
      <c r="C39" s="11">
        <v>89071</v>
      </c>
      <c r="D39" s="11">
        <v>90453</v>
      </c>
      <c r="E39" s="11">
        <v>91863</v>
      </c>
      <c r="F39" s="11">
        <v>94235</v>
      </c>
      <c r="G39" s="11">
        <v>96019</v>
      </c>
      <c r="H39" s="11">
        <v>96386</v>
      </c>
      <c r="I39" s="11">
        <v>97252</v>
      </c>
      <c r="J39" s="11">
        <v>98179</v>
      </c>
      <c r="K39" s="11">
        <v>99088</v>
      </c>
      <c r="L39" s="11">
        <v>99495</v>
      </c>
      <c r="M39" s="11">
        <v>100106</v>
      </c>
      <c r="N39" s="11">
        <f t="shared" si="2"/>
        <v>95126.833333333328</v>
      </c>
    </row>
    <row r="40" spans="1:14" x14ac:dyDescent="0.2">
      <c r="A40" s="10" t="s">
        <v>37</v>
      </c>
      <c r="B40" s="11">
        <v>1227</v>
      </c>
      <c r="C40" s="11">
        <v>1170</v>
      </c>
      <c r="D40" s="11">
        <v>1104</v>
      </c>
      <c r="E40" s="11">
        <v>807</v>
      </c>
      <c r="F40" s="11">
        <v>747</v>
      </c>
      <c r="G40" s="11">
        <v>715</v>
      </c>
      <c r="H40" s="11">
        <v>1021</v>
      </c>
      <c r="I40" s="11">
        <v>1019</v>
      </c>
      <c r="J40" s="11">
        <v>899</v>
      </c>
      <c r="K40" s="11">
        <v>1043</v>
      </c>
      <c r="L40" s="11">
        <v>1066</v>
      </c>
      <c r="M40" s="11">
        <v>939</v>
      </c>
      <c r="N40" s="11">
        <f t="shared" si="2"/>
        <v>979.75</v>
      </c>
    </row>
    <row r="41" spans="1:14" x14ac:dyDescent="0.2">
      <c r="A41" s="10" t="s">
        <v>38</v>
      </c>
      <c r="B41" s="11">
        <v>278</v>
      </c>
      <c r="C41" s="11">
        <v>289</v>
      </c>
      <c r="D41" s="11">
        <v>291</v>
      </c>
      <c r="E41" s="11">
        <v>312</v>
      </c>
      <c r="F41" s="11">
        <v>305</v>
      </c>
      <c r="G41" s="11">
        <v>318</v>
      </c>
      <c r="H41" s="11">
        <v>336</v>
      </c>
      <c r="I41" s="11">
        <v>330</v>
      </c>
      <c r="J41" s="11">
        <v>352</v>
      </c>
      <c r="K41" s="11">
        <v>369</v>
      </c>
      <c r="L41" s="11">
        <v>400</v>
      </c>
      <c r="M41" s="11">
        <v>394</v>
      </c>
      <c r="N41" s="11">
        <f t="shared" si="2"/>
        <v>331.16666666666669</v>
      </c>
    </row>
    <row r="42" spans="1:14" x14ac:dyDescent="0.2">
      <c r="A42" s="10" t="s">
        <v>39</v>
      </c>
      <c r="B42" s="11">
        <v>5053</v>
      </c>
      <c r="C42" s="11">
        <v>5032</v>
      </c>
      <c r="D42" s="11">
        <v>5028</v>
      </c>
      <c r="E42" s="11">
        <v>4843</v>
      </c>
      <c r="F42" s="11">
        <v>4861</v>
      </c>
      <c r="G42" s="11">
        <v>4831</v>
      </c>
      <c r="H42" s="11">
        <v>4844</v>
      </c>
      <c r="I42" s="11">
        <v>4812</v>
      </c>
      <c r="J42" s="11">
        <v>4684</v>
      </c>
      <c r="K42" s="11">
        <v>5089</v>
      </c>
      <c r="L42" s="11">
        <v>5235</v>
      </c>
      <c r="M42" s="11">
        <v>5246</v>
      </c>
      <c r="N42" s="11">
        <f t="shared" si="2"/>
        <v>4963.166666666667</v>
      </c>
    </row>
    <row r="43" spans="1:14" x14ac:dyDescent="0.2">
      <c r="A43" s="10" t="s">
        <v>40</v>
      </c>
      <c r="B43" s="11">
        <v>807</v>
      </c>
      <c r="C43" s="11">
        <v>838</v>
      </c>
      <c r="D43" s="11">
        <v>813</v>
      </c>
      <c r="E43" s="11">
        <v>785</v>
      </c>
      <c r="F43" s="11">
        <v>793</v>
      </c>
      <c r="G43" s="11">
        <v>770</v>
      </c>
      <c r="H43" s="11">
        <v>753</v>
      </c>
      <c r="I43" s="11">
        <v>782</v>
      </c>
      <c r="J43" s="11">
        <v>768</v>
      </c>
      <c r="K43" s="11">
        <v>786</v>
      </c>
      <c r="L43" s="11">
        <v>828</v>
      </c>
      <c r="M43" s="11">
        <v>837</v>
      </c>
      <c r="N43" s="11">
        <f t="shared" si="2"/>
        <v>796.66666666666663</v>
      </c>
    </row>
    <row r="44" spans="1:14" x14ac:dyDescent="0.2">
      <c r="A44" s="10" t="s">
        <v>41</v>
      </c>
      <c r="B44" s="11">
        <v>11817</v>
      </c>
      <c r="C44" s="11">
        <v>11975</v>
      </c>
      <c r="D44" s="11">
        <v>12012</v>
      </c>
      <c r="E44" s="11">
        <v>12132</v>
      </c>
      <c r="F44" s="11">
        <v>12191</v>
      </c>
      <c r="G44" s="11">
        <v>12148</v>
      </c>
      <c r="H44" s="11">
        <v>12175</v>
      </c>
      <c r="I44" s="11">
        <v>12175</v>
      </c>
      <c r="J44" s="11">
        <v>12061</v>
      </c>
      <c r="K44" s="11">
        <v>12193</v>
      </c>
      <c r="L44" s="11">
        <v>12398</v>
      </c>
      <c r="M44" s="11">
        <v>12399</v>
      </c>
      <c r="N44" s="11">
        <f t="shared" si="2"/>
        <v>12139.666666666666</v>
      </c>
    </row>
    <row r="45" spans="1:14" x14ac:dyDescent="0.2">
      <c r="A45" s="10" t="s">
        <v>42</v>
      </c>
      <c r="B45" s="11">
        <v>16599</v>
      </c>
      <c r="C45" s="11">
        <v>16198</v>
      </c>
      <c r="D45" s="11">
        <v>15959</v>
      </c>
      <c r="E45" s="11">
        <v>15939</v>
      </c>
      <c r="F45" s="11">
        <v>15321</v>
      </c>
      <c r="G45" s="11">
        <v>14953</v>
      </c>
      <c r="H45" s="11">
        <v>14796</v>
      </c>
      <c r="I45" s="11">
        <v>14727</v>
      </c>
      <c r="J45" s="11">
        <v>14661</v>
      </c>
      <c r="K45" s="11">
        <v>14710</v>
      </c>
      <c r="L45" s="11">
        <v>14431</v>
      </c>
      <c r="M45" s="11">
        <v>14112</v>
      </c>
      <c r="N45" s="11">
        <f t="shared" si="2"/>
        <v>15200.5</v>
      </c>
    </row>
    <row r="46" spans="1:14" x14ac:dyDescent="0.2">
      <c r="A46" s="10" t="s">
        <v>43</v>
      </c>
      <c r="B46" s="11">
        <v>2233</v>
      </c>
      <c r="C46" s="11">
        <v>2294</v>
      </c>
      <c r="D46" s="11">
        <v>2269</v>
      </c>
      <c r="E46" s="12">
        <v>2197</v>
      </c>
      <c r="F46" s="12">
        <v>2139</v>
      </c>
      <c r="G46" s="12">
        <v>2077</v>
      </c>
      <c r="H46" s="11">
        <v>1953</v>
      </c>
      <c r="I46" s="11">
        <v>1927</v>
      </c>
      <c r="J46" s="11">
        <v>1975</v>
      </c>
      <c r="K46" s="11">
        <v>2035</v>
      </c>
      <c r="L46" s="11">
        <v>2200</v>
      </c>
      <c r="M46" s="11">
        <v>2264</v>
      </c>
      <c r="N46" s="11">
        <f t="shared" si="2"/>
        <v>2130.25</v>
      </c>
    </row>
    <row r="47" spans="1:14" x14ac:dyDescent="0.2">
      <c r="A47" s="10" t="s">
        <v>44</v>
      </c>
      <c r="B47" s="11">
        <v>2539</v>
      </c>
      <c r="C47" s="11">
        <v>2584</v>
      </c>
      <c r="D47" s="11">
        <v>2525</v>
      </c>
      <c r="E47" s="11">
        <v>2479</v>
      </c>
      <c r="F47" s="11">
        <v>2457</v>
      </c>
      <c r="G47" s="11">
        <v>2478</v>
      </c>
      <c r="H47" s="11">
        <v>2481</v>
      </c>
      <c r="I47" s="11">
        <v>2537</v>
      </c>
      <c r="J47" s="11">
        <v>2569</v>
      </c>
      <c r="K47" s="11">
        <v>2656</v>
      </c>
      <c r="L47" s="11">
        <v>2767</v>
      </c>
      <c r="M47" s="11">
        <v>2853</v>
      </c>
      <c r="N47" s="11">
        <f t="shared" si="2"/>
        <v>2577.0833333333335</v>
      </c>
    </row>
    <row r="48" spans="1:14" x14ac:dyDescent="0.2">
      <c r="A48" s="10" t="s">
        <v>45</v>
      </c>
      <c r="B48" s="11">
        <v>2386</v>
      </c>
      <c r="C48" s="11">
        <v>2484</v>
      </c>
      <c r="D48" s="11">
        <v>2506</v>
      </c>
      <c r="E48" s="11">
        <v>2461</v>
      </c>
      <c r="F48" s="11">
        <v>2517</v>
      </c>
      <c r="G48" s="11">
        <v>2444</v>
      </c>
      <c r="H48" s="11">
        <v>2364</v>
      </c>
      <c r="I48" s="11">
        <v>2454</v>
      </c>
      <c r="J48" s="11">
        <v>2535</v>
      </c>
      <c r="K48" s="11">
        <v>2509</v>
      </c>
      <c r="L48" s="11">
        <v>2602</v>
      </c>
      <c r="M48" s="11">
        <v>2636</v>
      </c>
      <c r="N48" s="11">
        <f t="shared" si="2"/>
        <v>2491.5</v>
      </c>
    </row>
    <row r="49" spans="1:14" x14ac:dyDescent="0.2">
      <c r="A49" s="10" t="s">
        <v>46</v>
      </c>
      <c r="B49" s="11">
        <v>359</v>
      </c>
      <c r="C49" s="11">
        <v>366</v>
      </c>
      <c r="D49" s="11">
        <v>363</v>
      </c>
      <c r="E49" s="11">
        <v>346</v>
      </c>
      <c r="F49" s="11">
        <v>369</v>
      </c>
      <c r="G49" s="11">
        <v>397</v>
      </c>
      <c r="H49" s="11">
        <v>397</v>
      </c>
      <c r="I49" s="11">
        <v>423</v>
      </c>
      <c r="J49" s="11">
        <v>433</v>
      </c>
      <c r="K49" s="11">
        <v>443</v>
      </c>
      <c r="L49" s="11">
        <v>462</v>
      </c>
      <c r="M49" s="11">
        <v>452</v>
      </c>
      <c r="N49" s="11">
        <f t="shared" si="2"/>
        <v>400.83333333333331</v>
      </c>
    </row>
    <row r="50" spans="1:14" x14ac:dyDescent="0.2">
      <c r="A50" s="10" t="s">
        <v>47</v>
      </c>
      <c r="B50" s="11">
        <v>4644</v>
      </c>
      <c r="C50" s="11">
        <v>3659</v>
      </c>
      <c r="D50" s="11">
        <v>3041</v>
      </c>
      <c r="E50" s="11">
        <v>2459</v>
      </c>
      <c r="F50" s="11">
        <v>3050</v>
      </c>
      <c r="G50" s="11">
        <v>3350</v>
      </c>
      <c r="H50" s="11">
        <v>3967</v>
      </c>
      <c r="I50" s="11">
        <v>4291</v>
      </c>
      <c r="J50" s="11">
        <v>4402</v>
      </c>
      <c r="K50" s="11">
        <v>5110</v>
      </c>
      <c r="L50" s="11">
        <v>5168</v>
      </c>
      <c r="M50" s="11">
        <v>5420</v>
      </c>
      <c r="N50" s="11">
        <f t="shared" si="2"/>
        <v>4046.75</v>
      </c>
    </row>
    <row r="51" spans="1:14" x14ac:dyDescent="0.2">
      <c r="A51" s="10" t="s">
        <v>48</v>
      </c>
      <c r="B51" s="11">
        <v>2537</v>
      </c>
      <c r="C51" s="11">
        <v>2507</v>
      </c>
      <c r="D51" s="11">
        <v>2507</v>
      </c>
      <c r="E51" s="11">
        <v>2471</v>
      </c>
      <c r="F51" s="11">
        <v>2337</v>
      </c>
      <c r="G51" s="11">
        <v>2361</v>
      </c>
      <c r="H51" s="11">
        <v>2415</v>
      </c>
      <c r="I51" s="11">
        <v>2478</v>
      </c>
      <c r="J51" s="11">
        <v>2741</v>
      </c>
      <c r="K51" s="11">
        <v>2997</v>
      </c>
      <c r="L51" s="11">
        <v>3334</v>
      </c>
      <c r="M51" s="11">
        <v>3675</v>
      </c>
      <c r="N51" s="11">
        <f t="shared" si="2"/>
        <v>2696.6666666666665</v>
      </c>
    </row>
    <row r="52" spans="1:14" x14ac:dyDescent="0.2">
      <c r="A52" s="10" t="s">
        <v>49</v>
      </c>
      <c r="B52" s="11">
        <v>811</v>
      </c>
      <c r="C52" s="11">
        <v>797</v>
      </c>
      <c r="D52" s="11">
        <v>780</v>
      </c>
      <c r="E52" s="11">
        <v>783</v>
      </c>
      <c r="F52" s="11">
        <v>782</v>
      </c>
      <c r="G52" s="11">
        <v>809</v>
      </c>
      <c r="H52" s="11">
        <v>809</v>
      </c>
      <c r="I52" s="11">
        <v>826</v>
      </c>
      <c r="J52" s="11">
        <v>840</v>
      </c>
      <c r="K52" s="11">
        <v>858</v>
      </c>
      <c r="L52" s="11">
        <v>870</v>
      </c>
      <c r="M52" s="11">
        <v>877</v>
      </c>
      <c r="N52" s="11">
        <f t="shared" si="2"/>
        <v>820.16666666666663</v>
      </c>
    </row>
    <row r="53" spans="1:14" x14ac:dyDescent="0.2">
      <c r="A53" s="10" t="s">
        <v>50</v>
      </c>
      <c r="B53" s="11">
        <v>606</v>
      </c>
      <c r="C53" s="11">
        <v>596</v>
      </c>
      <c r="D53" s="11">
        <v>558</v>
      </c>
      <c r="E53" s="11">
        <v>594</v>
      </c>
      <c r="F53" s="11">
        <v>648</v>
      </c>
      <c r="G53" s="11">
        <v>579</v>
      </c>
      <c r="H53" s="11">
        <v>588</v>
      </c>
      <c r="I53" s="11">
        <v>624</v>
      </c>
      <c r="J53" s="11">
        <v>574</v>
      </c>
      <c r="K53" s="11">
        <v>594</v>
      </c>
      <c r="L53" s="11">
        <v>592</v>
      </c>
      <c r="M53" s="11">
        <v>592</v>
      </c>
      <c r="N53" s="11">
        <f t="shared" si="2"/>
        <v>595.41666666666663</v>
      </c>
    </row>
    <row r="54" spans="1:14" x14ac:dyDescent="0.2">
      <c r="A54" s="10" t="s">
        <v>51</v>
      </c>
      <c r="B54" s="11">
        <v>48</v>
      </c>
      <c r="C54" s="11">
        <v>50</v>
      </c>
      <c r="D54" s="11">
        <v>46</v>
      </c>
      <c r="E54" s="11">
        <v>46</v>
      </c>
      <c r="F54" s="11">
        <v>47</v>
      </c>
      <c r="G54" s="11">
        <v>45</v>
      </c>
      <c r="H54" s="11">
        <v>43</v>
      </c>
      <c r="I54" s="11">
        <v>40</v>
      </c>
      <c r="J54" s="11">
        <v>39</v>
      </c>
      <c r="K54" s="11">
        <v>39</v>
      </c>
      <c r="L54" s="11">
        <v>39</v>
      </c>
      <c r="M54" s="11">
        <v>39</v>
      </c>
      <c r="N54" s="11">
        <f t="shared" si="2"/>
        <v>43.416666666666664</v>
      </c>
    </row>
    <row r="55" spans="1:14" x14ac:dyDescent="0.2">
      <c r="A55" s="10" t="s">
        <v>52</v>
      </c>
      <c r="B55" s="11">
        <v>7333</v>
      </c>
      <c r="C55" s="11">
        <v>7227</v>
      </c>
      <c r="D55" s="11">
        <v>7051</v>
      </c>
      <c r="E55" s="11">
        <v>6877</v>
      </c>
      <c r="F55" s="11">
        <v>6954</v>
      </c>
      <c r="G55" s="11">
        <v>6758</v>
      </c>
      <c r="H55" s="11">
        <v>6614</v>
      </c>
      <c r="I55" s="11">
        <v>6710</v>
      </c>
      <c r="J55" s="11">
        <v>6696</v>
      </c>
      <c r="K55" s="11">
        <v>6759</v>
      </c>
      <c r="L55" s="11">
        <v>6805</v>
      </c>
      <c r="M55" s="11">
        <v>6740</v>
      </c>
      <c r="N55" s="11">
        <f t="shared" si="2"/>
        <v>6877</v>
      </c>
    </row>
    <row r="56" spans="1:14" x14ac:dyDescent="0.2">
      <c r="A56" s="10" t="s">
        <v>53</v>
      </c>
      <c r="B56" s="11">
        <v>17304</v>
      </c>
      <c r="C56" s="11">
        <v>17295</v>
      </c>
      <c r="D56" s="11">
        <v>17428</v>
      </c>
      <c r="E56" s="11">
        <v>17724</v>
      </c>
      <c r="F56" s="11">
        <v>17797</v>
      </c>
      <c r="G56" s="11">
        <v>17949</v>
      </c>
      <c r="H56" s="11">
        <v>18204</v>
      </c>
      <c r="I56" s="11">
        <v>18401</v>
      </c>
      <c r="J56" s="11">
        <v>18477</v>
      </c>
      <c r="K56" s="11">
        <v>18727</v>
      </c>
      <c r="L56" s="11">
        <v>19344</v>
      </c>
      <c r="M56" s="11">
        <v>19594</v>
      </c>
      <c r="N56" s="11">
        <f t="shared" si="2"/>
        <v>18187</v>
      </c>
    </row>
    <row r="57" spans="1:14" x14ac:dyDescent="0.2">
      <c r="A57" s="10" t="s">
        <v>54</v>
      </c>
      <c r="B57" s="11">
        <v>1218</v>
      </c>
      <c r="C57" s="11">
        <v>1192</v>
      </c>
      <c r="D57" s="11">
        <v>1197</v>
      </c>
      <c r="E57" s="11">
        <v>1183</v>
      </c>
      <c r="F57" s="11">
        <v>1151</v>
      </c>
      <c r="G57" s="11">
        <v>1127</v>
      </c>
      <c r="H57" s="11">
        <v>1078</v>
      </c>
      <c r="I57" s="11">
        <v>1053</v>
      </c>
      <c r="J57" s="11">
        <v>1046</v>
      </c>
      <c r="K57" s="11">
        <v>1028</v>
      </c>
      <c r="L57" s="11">
        <v>1044</v>
      </c>
      <c r="M57" s="11">
        <v>1097</v>
      </c>
      <c r="N57" s="11">
        <f t="shared" si="2"/>
        <v>1117.8333333333333</v>
      </c>
    </row>
    <row r="58" spans="1:14" x14ac:dyDescent="0.2">
      <c r="A58" s="10" t="s">
        <v>55</v>
      </c>
      <c r="B58" s="11">
        <v>3119</v>
      </c>
      <c r="C58" s="11">
        <v>2990</v>
      </c>
      <c r="D58" s="11">
        <v>3095</v>
      </c>
      <c r="E58" s="11">
        <v>3058</v>
      </c>
      <c r="F58" s="11">
        <v>3071</v>
      </c>
      <c r="G58" s="11">
        <v>3070</v>
      </c>
      <c r="H58" s="11">
        <v>3043</v>
      </c>
      <c r="I58" s="11">
        <v>3029</v>
      </c>
      <c r="J58" s="11">
        <v>3072</v>
      </c>
      <c r="K58" s="11">
        <v>3105</v>
      </c>
      <c r="L58" s="11">
        <v>3036</v>
      </c>
      <c r="M58" s="11">
        <v>3198</v>
      </c>
      <c r="N58" s="11">
        <f t="shared" si="2"/>
        <v>3073.8333333333335</v>
      </c>
    </row>
    <row r="59" spans="1:14" x14ac:dyDescent="0.2">
      <c r="A59" s="19" t="s">
        <v>56</v>
      </c>
      <c r="B59" s="20">
        <v>225</v>
      </c>
      <c r="C59" s="20">
        <v>242</v>
      </c>
      <c r="D59" s="20">
        <v>261</v>
      </c>
      <c r="E59" s="20">
        <v>256</v>
      </c>
      <c r="F59" s="20">
        <v>249</v>
      </c>
      <c r="G59" s="20">
        <v>239</v>
      </c>
      <c r="H59" s="20">
        <v>251</v>
      </c>
      <c r="I59" s="20">
        <v>246</v>
      </c>
      <c r="J59" s="20">
        <v>252</v>
      </c>
      <c r="K59" s="20">
        <v>248</v>
      </c>
      <c r="L59" s="20">
        <v>255</v>
      </c>
      <c r="M59" s="20">
        <v>243</v>
      </c>
      <c r="N59" s="20">
        <f t="shared" si="2"/>
        <v>247.25</v>
      </c>
    </row>
    <row r="60" spans="1:14" s="6" customFormat="1" x14ac:dyDescent="0.2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</row>
    <row r="61" spans="1:14" x14ac:dyDescent="0.2">
      <c r="A61" s="63" t="s">
        <v>58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</row>
    <row r="62" spans="1:14" x14ac:dyDescent="0.2">
      <c r="A62" s="63" t="str">
        <f>TFam!A62</f>
        <v>Fiscal year average is based on data Oct. 2023 through Sep. 2024</v>
      </c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</row>
    <row r="63" spans="1:14" x14ac:dyDescent="0.2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</row>
  </sheetData>
  <pageMargins left="0.7" right="0.7" top="0.75" bottom="0.75" header="0.3" footer="0.3"/>
  <pageSetup scale="6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63"/>
  <sheetViews>
    <sheetView topLeftCell="A44" workbookViewId="0">
      <selection activeCell="A63" sqref="A63"/>
    </sheetView>
  </sheetViews>
  <sheetFormatPr defaultColWidth="9.21875" defaultRowHeight="10.199999999999999" x14ac:dyDescent="0.2"/>
  <cols>
    <col min="1" max="1" width="14.21875" style="22" bestFit="1" customWidth="1"/>
    <col min="2" max="14" width="10" style="13" customWidth="1"/>
    <col min="15" max="16384" width="9.21875" style="13"/>
  </cols>
  <sheetData>
    <row r="1" spans="1:14" s="1" customFormat="1" ht="15.6" x14ac:dyDescent="0.3">
      <c r="A1" s="68" t="s">
        <v>61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s="2" customFormat="1" ht="13.2" x14ac:dyDescent="0.25">
      <c r="A2" s="65" t="str">
        <f>TFam!$A$2</f>
        <v>Fiscal Year 2024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s="6" customFormat="1" ht="12" customHeight="1" x14ac:dyDescent="0.2">
      <c r="A3" s="69">
        <f>TFam!$A$3</f>
        <v>45687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1:14" s="6" customFormat="1" ht="20.399999999999999" x14ac:dyDescent="0.2">
      <c r="A4" s="60" t="s">
        <v>1</v>
      </c>
      <c r="B4" s="61">
        <f>TFam!B4</f>
        <v>45200</v>
      </c>
      <c r="C4" s="61">
        <f>TFam!C4</f>
        <v>45231</v>
      </c>
      <c r="D4" s="61">
        <f>TFam!D4</f>
        <v>45261</v>
      </c>
      <c r="E4" s="61">
        <f>TFam!E4</f>
        <v>45292</v>
      </c>
      <c r="F4" s="61">
        <f>TFam!F4</f>
        <v>45323</v>
      </c>
      <c r="G4" s="61">
        <f>TFam!G4</f>
        <v>45352</v>
      </c>
      <c r="H4" s="61">
        <f>TFam!H4</f>
        <v>45383</v>
      </c>
      <c r="I4" s="61">
        <f>TFam!I4</f>
        <v>45413</v>
      </c>
      <c r="J4" s="61">
        <f>TFam!J4</f>
        <v>45444</v>
      </c>
      <c r="K4" s="61">
        <f>TFam!K4</f>
        <v>45474</v>
      </c>
      <c r="L4" s="61">
        <f>TFam!L4</f>
        <v>45505</v>
      </c>
      <c r="M4" s="61">
        <f>TFam!M4</f>
        <v>45536</v>
      </c>
      <c r="N4" s="62" t="str">
        <f>TFam!N4</f>
        <v>Average
FY 2024</v>
      </c>
    </row>
    <row r="5" spans="1:14" s="9" customFormat="1" x14ac:dyDescent="0.2">
      <c r="A5" s="7" t="s">
        <v>2</v>
      </c>
      <c r="B5" s="8">
        <f>SUM(B6:B59)</f>
        <v>355329</v>
      </c>
      <c r="C5" s="8">
        <f t="shared" ref="C5:M5" si="0">SUM(C6:C59)</f>
        <v>350636</v>
      </c>
      <c r="D5" s="8">
        <f t="shared" si="0"/>
        <v>346775</v>
      </c>
      <c r="E5" s="8">
        <f t="shared" si="0"/>
        <v>347097</v>
      </c>
      <c r="F5" s="8">
        <f t="shared" si="0"/>
        <v>346509</v>
      </c>
      <c r="G5" s="8">
        <f t="shared" si="0"/>
        <v>345680</v>
      </c>
      <c r="H5" s="8">
        <f t="shared" si="0"/>
        <v>345211</v>
      </c>
      <c r="I5" s="8">
        <f t="shared" si="0"/>
        <v>345252</v>
      </c>
      <c r="J5" s="8">
        <f t="shared" si="0"/>
        <v>338792</v>
      </c>
      <c r="K5" s="8">
        <f t="shared" si="0"/>
        <v>347187</v>
      </c>
      <c r="L5" s="8">
        <f t="shared" si="0"/>
        <v>346514</v>
      </c>
      <c r="M5" s="8">
        <f t="shared" si="0"/>
        <v>341012</v>
      </c>
      <c r="N5" s="8">
        <f t="shared" ref="N5:N36" si="1">AVERAGE(B5:M5)</f>
        <v>346332.83333333331</v>
      </c>
    </row>
    <row r="6" spans="1:14" x14ac:dyDescent="0.2">
      <c r="A6" s="10" t="s">
        <v>3</v>
      </c>
      <c r="B6" s="11">
        <v>3374</v>
      </c>
      <c r="C6" s="11">
        <v>3396</v>
      </c>
      <c r="D6" s="11">
        <v>3361</v>
      </c>
      <c r="E6" s="11">
        <v>3345</v>
      </c>
      <c r="F6" s="11">
        <v>3320</v>
      </c>
      <c r="G6" s="11">
        <v>3319</v>
      </c>
      <c r="H6" s="11">
        <v>3303</v>
      </c>
      <c r="I6" s="11">
        <v>3284</v>
      </c>
      <c r="J6" s="11">
        <v>3231</v>
      </c>
      <c r="K6" s="11">
        <v>3288</v>
      </c>
      <c r="L6" s="11">
        <v>3303</v>
      </c>
      <c r="M6" s="11">
        <v>3265</v>
      </c>
      <c r="N6" s="11">
        <f t="shared" si="1"/>
        <v>3315.75</v>
      </c>
    </row>
    <row r="7" spans="1:14" x14ac:dyDescent="0.2">
      <c r="A7" s="10" t="s">
        <v>4</v>
      </c>
      <c r="B7" s="11">
        <v>359</v>
      </c>
      <c r="C7" s="11">
        <v>369</v>
      </c>
      <c r="D7" s="11">
        <v>378</v>
      </c>
      <c r="E7" s="11">
        <v>379</v>
      </c>
      <c r="F7" s="11">
        <v>382</v>
      </c>
      <c r="G7" s="11">
        <v>376</v>
      </c>
      <c r="H7" s="11">
        <v>379</v>
      </c>
      <c r="I7" s="11">
        <v>382</v>
      </c>
      <c r="J7" s="11">
        <v>376</v>
      </c>
      <c r="K7" s="11">
        <v>371</v>
      </c>
      <c r="L7" s="11">
        <v>364</v>
      </c>
      <c r="M7" s="11">
        <v>354</v>
      </c>
      <c r="N7" s="11">
        <f t="shared" si="1"/>
        <v>372.41666666666669</v>
      </c>
    </row>
    <row r="8" spans="1:14" x14ac:dyDescent="0.2">
      <c r="A8" s="10" t="s">
        <v>5</v>
      </c>
      <c r="B8" s="11">
        <v>3537</v>
      </c>
      <c r="C8" s="11">
        <v>3511</v>
      </c>
      <c r="D8" s="11">
        <v>3545</v>
      </c>
      <c r="E8" s="11">
        <v>3509</v>
      </c>
      <c r="F8" s="11">
        <v>3398</v>
      </c>
      <c r="G8" s="11">
        <v>3375</v>
      </c>
      <c r="H8" s="11">
        <v>3292</v>
      </c>
      <c r="I8" s="11">
        <v>3240</v>
      </c>
      <c r="J8" s="11">
        <v>3134</v>
      </c>
      <c r="K8" s="11">
        <v>3068</v>
      </c>
      <c r="L8" s="11">
        <v>3052</v>
      </c>
      <c r="M8" s="11">
        <v>2967</v>
      </c>
      <c r="N8" s="11">
        <f t="shared" si="1"/>
        <v>3302.3333333333335</v>
      </c>
    </row>
    <row r="9" spans="1:14" x14ac:dyDescent="0.2">
      <c r="A9" s="10" t="s">
        <v>6</v>
      </c>
      <c r="B9" s="11">
        <v>396</v>
      </c>
      <c r="C9" s="11">
        <v>397</v>
      </c>
      <c r="D9" s="11">
        <v>390</v>
      </c>
      <c r="E9" s="11">
        <v>372</v>
      </c>
      <c r="F9" s="11">
        <v>378</v>
      </c>
      <c r="G9" s="11">
        <v>371</v>
      </c>
      <c r="H9" s="11">
        <v>368</v>
      </c>
      <c r="I9" s="11">
        <v>350</v>
      </c>
      <c r="J9" s="11">
        <v>336</v>
      </c>
      <c r="K9" s="11">
        <v>328</v>
      </c>
      <c r="L9" s="11">
        <v>326</v>
      </c>
      <c r="M9" s="11">
        <v>301</v>
      </c>
      <c r="N9" s="11">
        <f t="shared" si="1"/>
        <v>359.41666666666669</v>
      </c>
    </row>
    <row r="10" spans="1:14" x14ac:dyDescent="0.2">
      <c r="A10" s="10" t="s">
        <v>7</v>
      </c>
      <c r="B10" s="11">
        <v>102092</v>
      </c>
      <c r="C10" s="11">
        <v>98704</v>
      </c>
      <c r="D10" s="11">
        <v>95853</v>
      </c>
      <c r="E10" s="11">
        <v>97149</v>
      </c>
      <c r="F10" s="11">
        <v>97894</v>
      </c>
      <c r="G10" s="11">
        <v>98456</v>
      </c>
      <c r="H10" s="11">
        <v>98433</v>
      </c>
      <c r="I10" s="11">
        <v>98550</v>
      </c>
      <c r="J10" s="11">
        <v>94519</v>
      </c>
      <c r="K10" s="11">
        <v>103656</v>
      </c>
      <c r="L10" s="11">
        <v>103394</v>
      </c>
      <c r="M10" s="11">
        <v>99110</v>
      </c>
      <c r="N10" s="11">
        <f t="shared" si="1"/>
        <v>98984.166666666672</v>
      </c>
    </row>
    <row r="11" spans="1:14" x14ac:dyDescent="0.2">
      <c r="A11" s="10" t="s">
        <v>8</v>
      </c>
      <c r="B11" s="11">
        <v>4432</v>
      </c>
      <c r="C11" s="11">
        <v>4248</v>
      </c>
      <c r="D11" s="11">
        <v>4278</v>
      </c>
      <c r="E11" s="11">
        <v>4301</v>
      </c>
      <c r="F11" s="11">
        <v>4316</v>
      </c>
      <c r="G11" s="11">
        <v>4283</v>
      </c>
      <c r="H11" s="11">
        <v>4223</v>
      </c>
      <c r="I11" s="11">
        <v>4202</v>
      </c>
      <c r="J11" s="11">
        <v>4112</v>
      </c>
      <c r="K11" s="11">
        <v>4150</v>
      </c>
      <c r="L11" s="11">
        <v>4138</v>
      </c>
      <c r="M11" s="11">
        <v>4321</v>
      </c>
      <c r="N11" s="11">
        <f t="shared" si="1"/>
        <v>4250.333333333333</v>
      </c>
    </row>
    <row r="12" spans="1:14" x14ac:dyDescent="0.2">
      <c r="A12" s="10" t="s">
        <v>9</v>
      </c>
      <c r="B12" s="11">
        <v>3220</v>
      </c>
      <c r="C12" s="11">
        <v>3232</v>
      </c>
      <c r="D12" s="11">
        <v>3210</v>
      </c>
      <c r="E12" s="11">
        <v>3150</v>
      </c>
      <c r="F12" s="11">
        <v>3122</v>
      </c>
      <c r="G12" s="11">
        <v>3105</v>
      </c>
      <c r="H12" s="11">
        <v>3070</v>
      </c>
      <c r="I12" s="11">
        <v>3045</v>
      </c>
      <c r="J12" s="11">
        <v>3092</v>
      </c>
      <c r="K12" s="11">
        <v>3085</v>
      </c>
      <c r="L12" s="11">
        <v>3063</v>
      </c>
      <c r="M12" s="11">
        <v>3054</v>
      </c>
      <c r="N12" s="11">
        <f t="shared" si="1"/>
        <v>3120.6666666666665</v>
      </c>
    </row>
    <row r="13" spans="1:14" x14ac:dyDescent="0.2">
      <c r="A13" s="10" t="s">
        <v>10</v>
      </c>
      <c r="B13" s="11">
        <v>1930</v>
      </c>
      <c r="C13" s="11">
        <v>1944</v>
      </c>
      <c r="D13" s="11">
        <v>1932</v>
      </c>
      <c r="E13" s="11">
        <v>1921</v>
      </c>
      <c r="F13" s="11">
        <v>1894</v>
      </c>
      <c r="G13" s="11">
        <v>1870</v>
      </c>
      <c r="H13" s="11">
        <v>1864</v>
      </c>
      <c r="I13" s="11">
        <v>1869</v>
      </c>
      <c r="J13" s="11">
        <v>1892</v>
      </c>
      <c r="K13" s="11">
        <v>1900</v>
      </c>
      <c r="L13" s="11">
        <v>1927</v>
      </c>
      <c r="M13" s="11">
        <v>1932</v>
      </c>
      <c r="N13" s="11">
        <f t="shared" si="1"/>
        <v>1906.25</v>
      </c>
    </row>
    <row r="14" spans="1:14" x14ac:dyDescent="0.2">
      <c r="A14" s="10" t="s">
        <v>11</v>
      </c>
      <c r="B14" s="11">
        <v>1430</v>
      </c>
      <c r="C14" s="11">
        <v>1421</v>
      </c>
      <c r="D14" s="11">
        <v>1404</v>
      </c>
      <c r="E14" s="11">
        <v>1374</v>
      </c>
      <c r="F14" s="11">
        <v>1389</v>
      </c>
      <c r="G14" s="11">
        <v>1401</v>
      </c>
      <c r="H14" s="11">
        <v>1405</v>
      </c>
      <c r="I14" s="11">
        <v>1437</v>
      </c>
      <c r="J14" s="11">
        <v>1461</v>
      </c>
      <c r="K14" s="11">
        <v>1477</v>
      </c>
      <c r="L14" s="11">
        <v>1459</v>
      </c>
      <c r="M14" s="11">
        <v>1450</v>
      </c>
      <c r="N14" s="11">
        <f t="shared" si="1"/>
        <v>1425.6666666666667</v>
      </c>
    </row>
    <row r="15" spans="1:14" x14ac:dyDescent="0.2">
      <c r="A15" s="10" t="s">
        <v>12</v>
      </c>
      <c r="B15" s="11">
        <v>19318</v>
      </c>
      <c r="C15" s="11">
        <v>19220</v>
      </c>
      <c r="D15" s="11">
        <v>19248</v>
      </c>
      <c r="E15" s="11">
        <v>19010</v>
      </c>
      <c r="F15" s="11">
        <v>18000</v>
      </c>
      <c r="G15" s="11">
        <v>17693</v>
      </c>
      <c r="H15" s="11">
        <v>17381</v>
      </c>
      <c r="I15" s="11">
        <v>17374</v>
      </c>
      <c r="J15" s="11">
        <v>17026</v>
      </c>
      <c r="K15" s="11">
        <v>16599</v>
      </c>
      <c r="L15" s="11">
        <v>16339</v>
      </c>
      <c r="M15" s="11">
        <v>16351</v>
      </c>
      <c r="N15" s="11">
        <f t="shared" si="1"/>
        <v>17796.583333333332</v>
      </c>
    </row>
    <row r="16" spans="1:14" x14ac:dyDescent="0.2">
      <c r="A16" s="10" t="s">
        <v>13</v>
      </c>
      <c r="B16" s="11">
        <v>4302</v>
      </c>
      <c r="C16" s="11">
        <v>4230</v>
      </c>
      <c r="D16" s="11">
        <v>4163</v>
      </c>
      <c r="E16" s="11">
        <v>4101</v>
      </c>
      <c r="F16" s="11">
        <v>4034</v>
      </c>
      <c r="G16" s="11">
        <v>3948</v>
      </c>
      <c r="H16" s="11">
        <v>3888</v>
      </c>
      <c r="I16" s="11">
        <v>3895</v>
      </c>
      <c r="J16" s="11">
        <v>3878</v>
      </c>
      <c r="K16" s="11">
        <v>3875</v>
      </c>
      <c r="L16" s="11">
        <v>3875</v>
      </c>
      <c r="M16" s="11">
        <v>3839</v>
      </c>
      <c r="N16" s="11">
        <f t="shared" si="1"/>
        <v>4002.3333333333335</v>
      </c>
    </row>
    <row r="17" spans="1:14" x14ac:dyDescent="0.2">
      <c r="A17" s="10" t="s">
        <v>14</v>
      </c>
      <c r="B17" s="11">
        <v>101</v>
      </c>
      <c r="C17" s="11">
        <v>99</v>
      </c>
      <c r="D17" s="11">
        <v>108</v>
      </c>
      <c r="E17" s="11">
        <v>106</v>
      </c>
      <c r="F17" s="11">
        <v>114</v>
      </c>
      <c r="G17" s="11">
        <v>121</v>
      </c>
      <c r="H17" s="11">
        <v>134</v>
      </c>
      <c r="I17" s="11">
        <v>136</v>
      </c>
      <c r="J17" s="11">
        <v>141</v>
      </c>
      <c r="K17" s="11">
        <v>138</v>
      </c>
      <c r="L17" s="11">
        <v>135</v>
      </c>
      <c r="M17" s="11">
        <v>136</v>
      </c>
      <c r="N17" s="11">
        <f t="shared" si="1"/>
        <v>122.41666666666667</v>
      </c>
    </row>
    <row r="18" spans="1:14" x14ac:dyDescent="0.2">
      <c r="A18" s="10" t="s">
        <v>15</v>
      </c>
      <c r="B18" s="11">
        <v>687</v>
      </c>
      <c r="C18" s="11">
        <v>695</v>
      </c>
      <c r="D18" s="11">
        <v>681</v>
      </c>
      <c r="E18" s="11">
        <v>649</v>
      </c>
      <c r="F18" s="11">
        <v>641</v>
      </c>
      <c r="G18" s="11">
        <v>623</v>
      </c>
      <c r="H18" s="11">
        <v>614</v>
      </c>
      <c r="I18" s="11">
        <v>610</v>
      </c>
      <c r="J18" s="11">
        <v>598</v>
      </c>
      <c r="K18" s="11">
        <v>582</v>
      </c>
      <c r="L18" s="11">
        <v>575</v>
      </c>
      <c r="M18" s="11">
        <v>578</v>
      </c>
      <c r="N18" s="11">
        <f t="shared" si="1"/>
        <v>627.75</v>
      </c>
    </row>
    <row r="19" spans="1:14" x14ac:dyDescent="0.2">
      <c r="A19" s="10" t="s">
        <v>16</v>
      </c>
      <c r="B19" s="11">
        <v>1465</v>
      </c>
      <c r="C19" s="11">
        <v>1464</v>
      </c>
      <c r="D19" s="11">
        <v>1458</v>
      </c>
      <c r="E19" s="11">
        <v>1481</v>
      </c>
      <c r="F19" s="11">
        <v>1475</v>
      </c>
      <c r="G19" s="11">
        <v>1459</v>
      </c>
      <c r="H19" s="11">
        <v>1466</v>
      </c>
      <c r="I19" s="11">
        <v>1456</v>
      </c>
      <c r="J19" s="11">
        <v>1451</v>
      </c>
      <c r="K19" s="11">
        <v>1449</v>
      </c>
      <c r="L19" s="11">
        <v>1436</v>
      </c>
      <c r="M19" s="11">
        <v>1443</v>
      </c>
      <c r="N19" s="11">
        <f t="shared" si="1"/>
        <v>1458.5833333333333</v>
      </c>
    </row>
    <row r="20" spans="1:14" x14ac:dyDescent="0.2">
      <c r="A20" s="10" t="s">
        <v>17</v>
      </c>
      <c r="B20" s="11">
        <v>7446</v>
      </c>
      <c r="C20" s="11">
        <v>7455</v>
      </c>
      <c r="D20" s="11">
        <v>7530</v>
      </c>
      <c r="E20" s="11">
        <v>7588</v>
      </c>
      <c r="F20" s="11">
        <v>7642</v>
      </c>
      <c r="G20" s="11">
        <v>7662</v>
      </c>
      <c r="H20" s="11">
        <v>7618</v>
      </c>
      <c r="I20" s="11">
        <v>7609</v>
      </c>
      <c r="J20" s="11">
        <v>7635</v>
      </c>
      <c r="K20" s="11">
        <v>7684</v>
      </c>
      <c r="L20" s="11">
        <v>7674</v>
      </c>
      <c r="M20" s="11">
        <v>7582</v>
      </c>
      <c r="N20" s="11">
        <f t="shared" si="1"/>
        <v>7593.75</v>
      </c>
    </row>
    <row r="21" spans="1:14" x14ac:dyDescent="0.2">
      <c r="A21" s="10" t="s">
        <v>18</v>
      </c>
      <c r="B21" s="11">
        <v>2549</v>
      </c>
      <c r="C21" s="11">
        <v>2372</v>
      </c>
      <c r="D21" s="11">
        <v>2269</v>
      </c>
      <c r="E21" s="11">
        <v>2563</v>
      </c>
      <c r="F21" s="11">
        <v>2573</v>
      </c>
      <c r="G21" s="11">
        <v>2547</v>
      </c>
      <c r="H21" s="11">
        <v>2516</v>
      </c>
      <c r="I21" s="11">
        <v>2473</v>
      </c>
      <c r="J21" s="11">
        <v>2465</v>
      </c>
      <c r="K21" s="11">
        <v>2454</v>
      </c>
      <c r="L21" s="11">
        <v>2467</v>
      </c>
      <c r="M21" s="11">
        <v>2464</v>
      </c>
      <c r="N21" s="11">
        <f t="shared" si="1"/>
        <v>2476</v>
      </c>
    </row>
    <row r="22" spans="1:14" x14ac:dyDescent="0.2">
      <c r="A22" s="10" t="s">
        <v>19</v>
      </c>
      <c r="B22" s="11">
        <v>2088</v>
      </c>
      <c r="C22" s="11">
        <v>2053</v>
      </c>
      <c r="D22" s="11">
        <v>1997</v>
      </c>
      <c r="E22" s="11">
        <v>1946</v>
      </c>
      <c r="F22" s="11">
        <v>1934</v>
      </c>
      <c r="G22" s="11">
        <v>1925</v>
      </c>
      <c r="H22" s="11">
        <v>1904</v>
      </c>
      <c r="I22" s="11">
        <v>1891</v>
      </c>
      <c r="J22" s="11">
        <v>1858</v>
      </c>
      <c r="K22" s="11">
        <v>1840</v>
      </c>
      <c r="L22" s="11">
        <v>1845</v>
      </c>
      <c r="M22" s="11">
        <v>1828</v>
      </c>
      <c r="N22" s="11">
        <f t="shared" si="1"/>
        <v>1925.75</v>
      </c>
    </row>
    <row r="23" spans="1:14" x14ac:dyDescent="0.2">
      <c r="A23" s="10" t="s">
        <v>20</v>
      </c>
      <c r="B23" s="11">
        <v>1302</v>
      </c>
      <c r="C23" s="11">
        <v>1320</v>
      </c>
      <c r="D23" s="11">
        <v>1298</v>
      </c>
      <c r="E23" s="11">
        <v>1292</v>
      </c>
      <c r="F23" s="11">
        <v>1274</v>
      </c>
      <c r="G23" s="11">
        <v>1270</v>
      </c>
      <c r="H23" s="11">
        <v>1272</v>
      </c>
      <c r="I23" s="11">
        <v>1275</v>
      </c>
      <c r="J23" s="11">
        <v>1255</v>
      </c>
      <c r="K23" s="11">
        <v>1233</v>
      </c>
      <c r="L23" s="11">
        <v>1225</v>
      </c>
      <c r="M23" s="11">
        <v>1233</v>
      </c>
      <c r="N23" s="11">
        <f t="shared" si="1"/>
        <v>1270.75</v>
      </c>
    </row>
    <row r="24" spans="1:14" x14ac:dyDescent="0.2">
      <c r="A24" s="10" t="s">
        <v>21</v>
      </c>
      <c r="B24" s="11">
        <v>8211</v>
      </c>
      <c r="C24" s="11">
        <v>8275</v>
      </c>
      <c r="D24" s="11">
        <v>8222</v>
      </c>
      <c r="E24" s="11">
        <v>8219</v>
      </c>
      <c r="F24" s="11">
        <v>8284</v>
      </c>
      <c r="G24" s="11">
        <v>8276</v>
      </c>
      <c r="H24" s="11">
        <v>8305</v>
      </c>
      <c r="I24" s="11">
        <v>8354</v>
      </c>
      <c r="J24" s="11">
        <v>8219</v>
      </c>
      <c r="K24" s="11">
        <v>8252</v>
      </c>
      <c r="L24" s="11">
        <v>8304</v>
      </c>
      <c r="M24" s="11">
        <v>8288</v>
      </c>
      <c r="N24" s="11">
        <f t="shared" si="1"/>
        <v>8267.4166666666661</v>
      </c>
    </row>
    <row r="25" spans="1:14" x14ac:dyDescent="0.2">
      <c r="A25" s="10" t="s">
        <v>22</v>
      </c>
      <c r="B25" s="11">
        <v>2071</v>
      </c>
      <c r="C25" s="11">
        <v>2067</v>
      </c>
      <c r="D25" s="11">
        <v>2052</v>
      </c>
      <c r="E25" s="11">
        <v>2065</v>
      </c>
      <c r="F25" s="11">
        <v>2089</v>
      </c>
      <c r="G25" s="11">
        <v>2052</v>
      </c>
      <c r="H25" s="11">
        <v>2066</v>
      </c>
      <c r="I25" s="11">
        <v>2086</v>
      </c>
      <c r="J25" s="11">
        <v>2099</v>
      </c>
      <c r="K25" s="11">
        <v>2113</v>
      </c>
      <c r="L25" s="11">
        <v>2095</v>
      </c>
      <c r="M25" s="11">
        <v>2042</v>
      </c>
      <c r="N25" s="11">
        <f t="shared" si="1"/>
        <v>2074.75</v>
      </c>
    </row>
    <row r="26" spans="1:14" x14ac:dyDescent="0.2">
      <c r="A26" s="10" t="s">
        <v>23</v>
      </c>
      <c r="B26" s="11">
        <v>1103</v>
      </c>
      <c r="C26" s="11">
        <v>1039</v>
      </c>
      <c r="D26" s="11">
        <v>1043</v>
      </c>
      <c r="E26" s="11">
        <v>1056</v>
      </c>
      <c r="F26" s="11">
        <v>1011</v>
      </c>
      <c r="G26" s="11">
        <v>1010</v>
      </c>
      <c r="H26" s="11">
        <v>994</v>
      </c>
      <c r="I26" s="11">
        <v>1002</v>
      </c>
      <c r="J26" s="11">
        <v>1001</v>
      </c>
      <c r="K26" s="11">
        <v>1041</v>
      </c>
      <c r="L26" s="11">
        <v>1000</v>
      </c>
      <c r="M26" s="11">
        <v>1017</v>
      </c>
      <c r="N26" s="11">
        <f t="shared" si="1"/>
        <v>1026.4166666666667</v>
      </c>
    </row>
    <row r="27" spans="1:14" x14ac:dyDescent="0.2">
      <c r="A27" s="10" t="s">
        <v>24</v>
      </c>
      <c r="B27" s="11">
        <v>3390</v>
      </c>
      <c r="C27" s="11">
        <v>3084</v>
      </c>
      <c r="D27" s="11">
        <v>3152</v>
      </c>
      <c r="E27" s="11">
        <v>3542</v>
      </c>
      <c r="F27" s="11">
        <v>3700</v>
      </c>
      <c r="G27" s="11">
        <v>3745</v>
      </c>
      <c r="H27" s="11">
        <v>3856</v>
      </c>
      <c r="I27" s="11">
        <v>4028</v>
      </c>
      <c r="J27" s="11">
        <v>4032</v>
      </c>
      <c r="K27" s="11">
        <v>4110</v>
      </c>
      <c r="L27" s="11">
        <v>4111</v>
      </c>
      <c r="M27" s="11">
        <v>4110</v>
      </c>
      <c r="N27" s="11">
        <f t="shared" si="1"/>
        <v>3738.3333333333335</v>
      </c>
    </row>
    <row r="28" spans="1:14" x14ac:dyDescent="0.2">
      <c r="A28" s="10" t="s">
        <v>25</v>
      </c>
      <c r="B28" s="11">
        <v>11414</v>
      </c>
      <c r="C28" s="11">
        <v>12138</v>
      </c>
      <c r="D28" s="11">
        <v>11566</v>
      </c>
      <c r="E28" s="11">
        <v>12006</v>
      </c>
      <c r="F28" s="11">
        <v>11946</v>
      </c>
      <c r="G28" s="11">
        <v>11871</v>
      </c>
      <c r="H28" s="11">
        <v>11929</v>
      </c>
      <c r="I28" s="11">
        <v>12025</v>
      </c>
      <c r="J28" s="11">
        <v>11876</v>
      </c>
      <c r="K28" s="11">
        <v>11777</v>
      </c>
      <c r="L28" s="11">
        <v>11726</v>
      </c>
      <c r="M28" s="11">
        <v>11909</v>
      </c>
      <c r="N28" s="11">
        <f t="shared" si="1"/>
        <v>11848.583333333334</v>
      </c>
    </row>
    <row r="29" spans="1:14" x14ac:dyDescent="0.2">
      <c r="A29" s="10" t="s">
        <v>26</v>
      </c>
      <c r="B29" s="11">
        <v>4205</v>
      </c>
      <c r="C29" s="11">
        <v>4178</v>
      </c>
      <c r="D29" s="11">
        <v>4168</v>
      </c>
      <c r="E29" s="11">
        <v>4134</v>
      </c>
      <c r="F29" s="11">
        <v>4098</v>
      </c>
      <c r="G29" s="11">
        <v>4079</v>
      </c>
      <c r="H29" s="11">
        <v>4036</v>
      </c>
      <c r="I29" s="11">
        <v>3991</v>
      </c>
      <c r="J29" s="11">
        <v>3981</v>
      </c>
      <c r="K29" s="11">
        <v>3987</v>
      </c>
      <c r="L29" s="11">
        <v>4035</v>
      </c>
      <c r="M29" s="11">
        <v>4091</v>
      </c>
      <c r="N29" s="11">
        <f t="shared" si="1"/>
        <v>4081.9166666666665</v>
      </c>
    </row>
    <row r="30" spans="1:14" x14ac:dyDescent="0.2">
      <c r="A30" s="10" t="s">
        <v>27</v>
      </c>
      <c r="B30" s="11">
        <v>5619</v>
      </c>
      <c r="C30" s="11">
        <v>5586</v>
      </c>
      <c r="D30" s="11">
        <v>5554</v>
      </c>
      <c r="E30" s="11">
        <v>5590</v>
      </c>
      <c r="F30" s="11">
        <v>5580</v>
      </c>
      <c r="G30" s="11">
        <v>5590</v>
      </c>
      <c r="H30" s="11">
        <v>5612</v>
      </c>
      <c r="I30" s="11">
        <v>5592</v>
      </c>
      <c r="J30" s="11">
        <v>5536</v>
      </c>
      <c r="K30" s="11">
        <v>5390</v>
      </c>
      <c r="L30" s="11">
        <v>5366</v>
      </c>
      <c r="M30" s="11">
        <v>5398</v>
      </c>
      <c r="N30" s="11">
        <f t="shared" si="1"/>
        <v>5534.416666666667</v>
      </c>
    </row>
    <row r="31" spans="1:14" x14ac:dyDescent="0.2">
      <c r="A31" s="10" t="s">
        <v>28</v>
      </c>
      <c r="B31" s="11">
        <v>1232</v>
      </c>
      <c r="C31" s="11">
        <v>1213</v>
      </c>
      <c r="D31" s="11">
        <v>1196</v>
      </c>
      <c r="E31" s="11">
        <v>1173</v>
      </c>
      <c r="F31" s="11">
        <v>1153</v>
      </c>
      <c r="G31" s="11">
        <v>1121</v>
      </c>
      <c r="H31" s="11">
        <v>1115</v>
      </c>
      <c r="I31" s="11">
        <v>1111</v>
      </c>
      <c r="J31" s="11">
        <v>1101</v>
      </c>
      <c r="K31" s="11">
        <v>1096</v>
      </c>
      <c r="L31" s="11">
        <v>1113</v>
      </c>
      <c r="M31" s="11">
        <v>1095</v>
      </c>
      <c r="N31" s="11">
        <f t="shared" si="1"/>
        <v>1143.25</v>
      </c>
    </row>
    <row r="32" spans="1:14" x14ac:dyDescent="0.2">
      <c r="A32" s="10" t="s">
        <v>29</v>
      </c>
      <c r="B32" s="11">
        <v>2234</v>
      </c>
      <c r="C32" s="11">
        <v>2211</v>
      </c>
      <c r="D32" s="11">
        <v>2191</v>
      </c>
      <c r="E32" s="11">
        <v>2147</v>
      </c>
      <c r="F32" s="11">
        <v>2123</v>
      </c>
      <c r="G32" s="11">
        <v>2108</v>
      </c>
      <c r="H32" s="11">
        <v>2089</v>
      </c>
      <c r="I32" s="11">
        <v>2072</v>
      </c>
      <c r="J32" s="11">
        <v>2067</v>
      </c>
      <c r="K32" s="11">
        <v>2069</v>
      </c>
      <c r="L32" s="11">
        <v>2071</v>
      </c>
      <c r="M32" s="11">
        <v>2063</v>
      </c>
      <c r="N32" s="11">
        <f t="shared" si="1"/>
        <v>2120.4166666666665</v>
      </c>
    </row>
    <row r="33" spans="1:14" x14ac:dyDescent="0.2">
      <c r="A33" s="10" t="s">
        <v>30</v>
      </c>
      <c r="B33" s="11">
        <v>934</v>
      </c>
      <c r="C33" s="11">
        <v>912</v>
      </c>
      <c r="D33" s="11">
        <v>899</v>
      </c>
      <c r="E33" s="11">
        <v>887</v>
      </c>
      <c r="F33" s="11">
        <v>897</v>
      </c>
      <c r="G33" s="11">
        <v>890</v>
      </c>
      <c r="H33" s="11">
        <v>881</v>
      </c>
      <c r="I33" s="11">
        <v>886</v>
      </c>
      <c r="J33" s="11">
        <v>881</v>
      </c>
      <c r="K33" s="11">
        <v>870</v>
      </c>
      <c r="L33" s="11">
        <v>869</v>
      </c>
      <c r="M33" s="11">
        <v>848</v>
      </c>
      <c r="N33" s="11">
        <f t="shared" si="1"/>
        <v>887.83333333333337</v>
      </c>
    </row>
    <row r="34" spans="1:14" x14ac:dyDescent="0.2">
      <c r="A34" s="10" t="s">
        <v>31</v>
      </c>
      <c r="B34" s="11">
        <v>1874</v>
      </c>
      <c r="C34" s="11">
        <v>1858</v>
      </c>
      <c r="D34" s="11">
        <v>1871</v>
      </c>
      <c r="E34" s="11">
        <v>1881</v>
      </c>
      <c r="F34" s="11">
        <v>1891</v>
      </c>
      <c r="G34" s="11">
        <v>1854</v>
      </c>
      <c r="H34" s="11">
        <v>1880</v>
      </c>
      <c r="I34" s="11">
        <v>1882</v>
      </c>
      <c r="J34" s="11">
        <v>1847</v>
      </c>
      <c r="K34" s="11">
        <v>1775</v>
      </c>
      <c r="L34" s="11">
        <v>1773</v>
      </c>
      <c r="M34" s="11">
        <v>1738</v>
      </c>
      <c r="N34" s="11">
        <f t="shared" si="1"/>
        <v>1843.6666666666667</v>
      </c>
    </row>
    <row r="35" spans="1:14" x14ac:dyDescent="0.2">
      <c r="A35" s="10" t="s">
        <v>32</v>
      </c>
      <c r="B35" s="11">
        <v>2762</v>
      </c>
      <c r="C35" s="11">
        <v>2737</v>
      </c>
      <c r="D35" s="11">
        <v>2686</v>
      </c>
      <c r="E35" s="11">
        <v>2694</v>
      </c>
      <c r="F35" s="11">
        <v>2675</v>
      </c>
      <c r="G35" s="11">
        <v>2641</v>
      </c>
      <c r="H35" s="11">
        <v>2632</v>
      </c>
      <c r="I35" s="11">
        <v>2638</v>
      </c>
      <c r="J35" s="11">
        <v>2587</v>
      </c>
      <c r="K35" s="11">
        <v>2572</v>
      </c>
      <c r="L35" s="11">
        <v>2527</v>
      </c>
      <c r="M35" s="11">
        <v>2489</v>
      </c>
      <c r="N35" s="11">
        <f t="shared" si="1"/>
        <v>2636.6666666666665</v>
      </c>
    </row>
    <row r="36" spans="1:14" x14ac:dyDescent="0.2">
      <c r="A36" s="10" t="s">
        <v>33</v>
      </c>
      <c r="B36" s="11">
        <v>1530</v>
      </c>
      <c r="C36" s="11">
        <v>1531</v>
      </c>
      <c r="D36" s="11">
        <v>1511</v>
      </c>
      <c r="E36" s="11">
        <v>1499</v>
      </c>
      <c r="F36" s="11">
        <v>1490</v>
      </c>
      <c r="G36" s="11">
        <v>1487</v>
      </c>
      <c r="H36" s="11">
        <v>1487</v>
      </c>
      <c r="I36" s="11">
        <v>1482</v>
      </c>
      <c r="J36" s="11">
        <v>1474</v>
      </c>
      <c r="K36" s="11">
        <v>1472</v>
      </c>
      <c r="L36" s="11">
        <v>1464</v>
      </c>
      <c r="M36" s="11">
        <v>1457</v>
      </c>
      <c r="N36" s="11">
        <f t="shared" si="1"/>
        <v>1490.3333333333333</v>
      </c>
    </row>
    <row r="37" spans="1:14" x14ac:dyDescent="0.2">
      <c r="A37" s="10" t="s">
        <v>34</v>
      </c>
      <c r="B37" s="11">
        <v>2291</v>
      </c>
      <c r="C37" s="11">
        <v>2286</v>
      </c>
      <c r="D37" s="11">
        <v>2263</v>
      </c>
      <c r="E37" s="11">
        <v>2235</v>
      </c>
      <c r="F37" s="11">
        <v>2233</v>
      </c>
      <c r="G37" s="11">
        <v>2203</v>
      </c>
      <c r="H37" s="11">
        <v>2198</v>
      </c>
      <c r="I37" s="11">
        <v>2211</v>
      </c>
      <c r="J37" s="11">
        <v>2192</v>
      </c>
      <c r="K37" s="11">
        <v>2168</v>
      </c>
      <c r="L37" s="11">
        <v>2148</v>
      </c>
      <c r="M37" s="11">
        <v>2114</v>
      </c>
      <c r="N37" s="11">
        <f t="shared" ref="N37:N59" si="2">AVERAGE(B37:M37)</f>
        <v>2211.8333333333335</v>
      </c>
    </row>
    <row r="38" spans="1:14" x14ac:dyDescent="0.2">
      <c r="A38" s="10" t="s">
        <v>35</v>
      </c>
      <c r="B38" s="11">
        <v>3233</v>
      </c>
      <c r="C38" s="11">
        <v>3066</v>
      </c>
      <c r="D38" s="11">
        <v>3031</v>
      </c>
      <c r="E38" s="11">
        <v>3091</v>
      </c>
      <c r="F38" s="11">
        <v>3113</v>
      </c>
      <c r="G38" s="11">
        <v>3155</v>
      </c>
      <c r="H38" s="11">
        <v>3219</v>
      </c>
      <c r="I38" s="11">
        <v>3233</v>
      </c>
      <c r="J38" s="11">
        <v>3222</v>
      </c>
      <c r="K38" s="11">
        <v>3281</v>
      </c>
      <c r="L38" s="11">
        <v>3281</v>
      </c>
      <c r="M38" s="11">
        <v>3280</v>
      </c>
      <c r="N38" s="11">
        <f t="shared" si="2"/>
        <v>3183.75</v>
      </c>
    </row>
    <row r="39" spans="1:14" x14ac:dyDescent="0.2">
      <c r="A39" s="10" t="s">
        <v>36</v>
      </c>
      <c r="B39" s="11">
        <v>31624</v>
      </c>
      <c r="C39" s="11">
        <v>30762</v>
      </c>
      <c r="D39" s="11">
        <v>30979</v>
      </c>
      <c r="E39" s="11">
        <v>31423</v>
      </c>
      <c r="F39" s="11">
        <v>31372</v>
      </c>
      <c r="G39" s="11">
        <v>31390</v>
      </c>
      <c r="H39" s="11">
        <v>31572</v>
      </c>
      <c r="I39" s="11">
        <v>31862</v>
      </c>
      <c r="J39" s="11">
        <v>31935</v>
      </c>
      <c r="K39" s="11">
        <v>31952</v>
      </c>
      <c r="L39" s="11">
        <v>31913</v>
      </c>
      <c r="M39" s="11">
        <v>31931</v>
      </c>
      <c r="N39" s="11">
        <f t="shared" si="2"/>
        <v>31559.583333333332</v>
      </c>
    </row>
    <row r="40" spans="1:14" x14ac:dyDescent="0.2">
      <c r="A40" s="10" t="s">
        <v>37</v>
      </c>
      <c r="B40" s="11">
        <v>6583</v>
      </c>
      <c r="C40" s="11">
        <v>6478</v>
      </c>
      <c r="D40" s="11">
        <v>6428</v>
      </c>
      <c r="E40" s="11">
        <v>6147</v>
      </c>
      <c r="F40" s="11">
        <v>6033</v>
      </c>
      <c r="G40" s="11">
        <v>5974</v>
      </c>
      <c r="H40" s="11">
        <v>6032</v>
      </c>
      <c r="I40" s="11">
        <v>5967</v>
      </c>
      <c r="J40" s="11">
        <v>5884</v>
      </c>
      <c r="K40" s="11">
        <v>5797</v>
      </c>
      <c r="L40" s="11">
        <v>5761</v>
      </c>
      <c r="M40" s="11">
        <v>5673</v>
      </c>
      <c r="N40" s="11">
        <f t="shared" si="2"/>
        <v>6063.083333333333</v>
      </c>
    </row>
    <row r="41" spans="1:14" x14ac:dyDescent="0.2">
      <c r="A41" s="10" t="s">
        <v>38</v>
      </c>
      <c r="B41" s="11">
        <v>310</v>
      </c>
      <c r="C41" s="11">
        <v>306</v>
      </c>
      <c r="D41" s="11">
        <v>298</v>
      </c>
      <c r="E41" s="11">
        <v>298</v>
      </c>
      <c r="F41" s="11">
        <v>295</v>
      </c>
      <c r="G41" s="11">
        <v>299</v>
      </c>
      <c r="H41" s="11">
        <v>296</v>
      </c>
      <c r="I41" s="11">
        <v>301</v>
      </c>
      <c r="J41" s="11">
        <v>300</v>
      </c>
      <c r="K41" s="11">
        <v>290</v>
      </c>
      <c r="L41" s="11">
        <v>289</v>
      </c>
      <c r="M41" s="11">
        <v>289</v>
      </c>
      <c r="N41" s="11">
        <f t="shared" si="2"/>
        <v>297.58333333333331</v>
      </c>
    </row>
    <row r="42" spans="1:14" x14ac:dyDescent="0.2">
      <c r="A42" s="10" t="s">
        <v>39</v>
      </c>
      <c r="B42" s="11">
        <v>34401</v>
      </c>
      <c r="C42" s="11">
        <v>34237</v>
      </c>
      <c r="D42" s="11">
        <v>34111</v>
      </c>
      <c r="E42" s="11">
        <v>33667</v>
      </c>
      <c r="F42" s="11">
        <v>33616</v>
      </c>
      <c r="G42" s="11">
        <v>33511</v>
      </c>
      <c r="H42" s="11">
        <v>33507</v>
      </c>
      <c r="I42" s="11">
        <v>33474</v>
      </c>
      <c r="J42" s="11">
        <v>32986</v>
      </c>
      <c r="K42" s="11">
        <v>32923</v>
      </c>
      <c r="L42" s="11">
        <v>32881</v>
      </c>
      <c r="M42" s="11">
        <v>32771</v>
      </c>
      <c r="N42" s="11">
        <f t="shared" si="2"/>
        <v>33507.083333333336</v>
      </c>
    </row>
    <row r="43" spans="1:14" x14ac:dyDescent="0.2">
      <c r="A43" s="10" t="s">
        <v>40</v>
      </c>
      <c r="B43" s="11">
        <v>2798</v>
      </c>
      <c r="C43" s="11">
        <v>2806</v>
      </c>
      <c r="D43" s="11">
        <v>2772</v>
      </c>
      <c r="E43" s="11">
        <v>2754</v>
      </c>
      <c r="F43" s="11">
        <v>2765</v>
      </c>
      <c r="G43" s="11">
        <v>2767</v>
      </c>
      <c r="H43" s="11">
        <v>2625</v>
      </c>
      <c r="I43" s="11">
        <v>2501</v>
      </c>
      <c r="J43" s="11">
        <v>2389</v>
      </c>
      <c r="K43" s="11">
        <v>2409</v>
      </c>
      <c r="L43" s="11">
        <v>2398</v>
      </c>
      <c r="M43" s="11">
        <v>2145</v>
      </c>
      <c r="N43" s="11">
        <f t="shared" si="2"/>
        <v>2594.0833333333335</v>
      </c>
    </row>
    <row r="44" spans="1:14" x14ac:dyDescent="0.2">
      <c r="A44" s="10" t="s">
        <v>41</v>
      </c>
      <c r="B44" s="11">
        <v>6045</v>
      </c>
      <c r="C44" s="11">
        <v>5918</v>
      </c>
      <c r="D44" s="11">
        <v>5881</v>
      </c>
      <c r="E44" s="11">
        <v>5909</v>
      </c>
      <c r="F44" s="11">
        <v>6006</v>
      </c>
      <c r="G44" s="11">
        <v>6056</v>
      </c>
      <c r="H44" s="11">
        <v>6108</v>
      </c>
      <c r="I44" s="11">
        <v>6084</v>
      </c>
      <c r="J44" s="11">
        <v>6120</v>
      </c>
      <c r="K44" s="11">
        <v>6149</v>
      </c>
      <c r="L44" s="11">
        <v>6351</v>
      </c>
      <c r="M44" s="11">
        <v>6051</v>
      </c>
      <c r="N44" s="11">
        <f t="shared" si="2"/>
        <v>6056.5</v>
      </c>
    </row>
    <row r="45" spans="1:14" x14ac:dyDescent="0.2">
      <c r="A45" s="10" t="s">
        <v>42</v>
      </c>
      <c r="B45" s="11">
        <v>9080</v>
      </c>
      <c r="C45" s="11">
        <v>9000</v>
      </c>
      <c r="D45" s="11">
        <v>8949</v>
      </c>
      <c r="E45" s="11">
        <v>8901</v>
      </c>
      <c r="F45" s="11">
        <v>8815</v>
      </c>
      <c r="G45" s="11">
        <v>8715</v>
      </c>
      <c r="H45" s="11">
        <v>8628</v>
      </c>
      <c r="I45" s="11">
        <v>8530</v>
      </c>
      <c r="J45" s="11">
        <v>8345</v>
      </c>
      <c r="K45" s="11">
        <v>8216</v>
      </c>
      <c r="L45" s="11">
        <v>8202</v>
      </c>
      <c r="M45" s="11">
        <v>8070</v>
      </c>
      <c r="N45" s="11">
        <f t="shared" si="2"/>
        <v>8620.9166666666661</v>
      </c>
    </row>
    <row r="46" spans="1:14" x14ac:dyDescent="0.2">
      <c r="A46" s="10" t="s">
        <v>43</v>
      </c>
      <c r="B46" s="11">
        <v>152</v>
      </c>
      <c r="C46" s="11">
        <v>161</v>
      </c>
      <c r="D46" s="11">
        <v>163</v>
      </c>
      <c r="E46" s="11">
        <v>157</v>
      </c>
      <c r="F46" s="11">
        <v>155</v>
      </c>
      <c r="G46" s="11">
        <v>156</v>
      </c>
      <c r="H46" s="11">
        <v>153</v>
      </c>
      <c r="I46" s="11">
        <v>149</v>
      </c>
      <c r="J46" s="11">
        <v>156</v>
      </c>
      <c r="K46" s="11">
        <v>154</v>
      </c>
      <c r="L46" s="11">
        <v>151</v>
      </c>
      <c r="M46" s="11">
        <v>158</v>
      </c>
      <c r="N46" s="11">
        <f t="shared" si="2"/>
        <v>155.41666666666666</v>
      </c>
    </row>
    <row r="47" spans="1:14" x14ac:dyDescent="0.2">
      <c r="A47" s="10" t="s">
        <v>44</v>
      </c>
      <c r="B47" s="11">
        <v>608</v>
      </c>
      <c r="C47" s="11">
        <v>612</v>
      </c>
      <c r="D47" s="11">
        <v>606</v>
      </c>
      <c r="E47" s="11">
        <v>596</v>
      </c>
      <c r="F47" s="11">
        <v>589</v>
      </c>
      <c r="G47" s="11">
        <v>591</v>
      </c>
      <c r="H47" s="11">
        <v>594</v>
      </c>
      <c r="I47" s="11">
        <v>578</v>
      </c>
      <c r="J47" s="11">
        <v>570</v>
      </c>
      <c r="K47" s="11">
        <v>566</v>
      </c>
      <c r="L47" s="11">
        <v>567</v>
      </c>
      <c r="M47" s="11">
        <v>561</v>
      </c>
      <c r="N47" s="11">
        <f t="shared" si="2"/>
        <v>586.5</v>
      </c>
    </row>
    <row r="48" spans="1:14" x14ac:dyDescent="0.2">
      <c r="A48" s="10" t="s">
        <v>45</v>
      </c>
      <c r="B48" s="11">
        <v>3178</v>
      </c>
      <c r="C48" s="11">
        <v>3191</v>
      </c>
      <c r="D48" s="11">
        <v>3182</v>
      </c>
      <c r="E48" s="11">
        <v>3130</v>
      </c>
      <c r="F48" s="11">
        <v>3145</v>
      </c>
      <c r="G48" s="11">
        <v>3109</v>
      </c>
      <c r="H48" s="11">
        <v>3096</v>
      </c>
      <c r="I48" s="11">
        <v>3113</v>
      </c>
      <c r="J48" s="11">
        <v>3070</v>
      </c>
      <c r="K48" s="11">
        <v>3044</v>
      </c>
      <c r="L48" s="11">
        <v>3058</v>
      </c>
      <c r="M48" s="11">
        <v>3048</v>
      </c>
      <c r="N48" s="11">
        <f t="shared" si="2"/>
        <v>3113.6666666666665</v>
      </c>
    </row>
    <row r="49" spans="1:14" x14ac:dyDescent="0.2">
      <c r="A49" s="10" t="s">
        <v>46</v>
      </c>
      <c r="B49" s="11">
        <v>2120</v>
      </c>
      <c r="C49" s="11">
        <v>2096</v>
      </c>
      <c r="D49" s="11">
        <v>2094</v>
      </c>
      <c r="E49" s="11">
        <v>2088</v>
      </c>
      <c r="F49" s="11">
        <v>2080</v>
      </c>
      <c r="G49" s="11">
        <v>2081</v>
      </c>
      <c r="H49" s="11">
        <v>2080</v>
      </c>
      <c r="I49" s="11">
        <v>2082</v>
      </c>
      <c r="J49" s="11">
        <v>2062</v>
      </c>
      <c r="K49" s="11">
        <v>2076</v>
      </c>
      <c r="L49" s="11">
        <v>2099</v>
      </c>
      <c r="M49" s="11">
        <v>2066</v>
      </c>
      <c r="N49" s="11">
        <f t="shared" si="2"/>
        <v>2085.3333333333335</v>
      </c>
    </row>
    <row r="50" spans="1:14" x14ac:dyDescent="0.2">
      <c r="A50" s="10" t="s">
        <v>47</v>
      </c>
      <c r="B50" s="11">
        <v>8115</v>
      </c>
      <c r="C50" s="11">
        <v>8696</v>
      </c>
      <c r="D50" s="11">
        <v>8812</v>
      </c>
      <c r="E50" s="11">
        <v>7694</v>
      </c>
      <c r="F50" s="11">
        <v>7916</v>
      </c>
      <c r="G50" s="11">
        <v>7603</v>
      </c>
      <c r="H50" s="11">
        <v>7685</v>
      </c>
      <c r="I50" s="11">
        <v>7612</v>
      </c>
      <c r="J50" s="11">
        <v>7431</v>
      </c>
      <c r="K50" s="11">
        <v>7669</v>
      </c>
      <c r="L50" s="11">
        <v>7447</v>
      </c>
      <c r="M50" s="11">
        <v>7342</v>
      </c>
      <c r="N50" s="11">
        <f t="shared" si="2"/>
        <v>7835.166666666667</v>
      </c>
    </row>
    <row r="51" spans="1:14" x14ac:dyDescent="0.2">
      <c r="A51" s="10" t="s">
        <v>48</v>
      </c>
      <c r="B51" s="11">
        <v>7023</v>
      </c>
      <c r="C51" s="11">
        <v>7010</v>
      </c>
      <c r="D51" s="11">
        <v>6914</v>
      </c>
      <c r="E51" s="11">
        <v>6770</v>
      </c>
      <c r="F51" s="11">
        <v>6628</v>
      </c>
      <c r="G51" s="11">
        <v>6621</v>
      </c>
      <c r="H51" s="11">
        <v>6663</v>
      </c>
      <c r="I51" s="11">
        <v>6569</v>
      </c>
      <c r="J51" s="11">
        <v>6526</v>
      </c>
      <c r="K51" s="11">
        <v>6690</v>
      </c>
      <c r="L51" s="11">
        <v>6866</v>
      </c>
      <c r="M51" s="11">
        <v>6912</v>
      </c>
      <c r="N51" s="11">
        <f t="shared" si="2"/>
        <v>6766</v>
      </c>
    </row>
    <row r="52" spans="1:14" x14ac:dyDescent="0.2">
      <c r="A52" s="10" t="s">
        <v>49</v>
      </c>
      <c r="B52" s="11">
        <v>1109</v>
      </c>
      <c r="C52" s="11">
        <v>1096</v>
      </c>
      <c r="D52" s="11">
        <v>1095</v>
      </c>
      <c r="E52" s="11">
        <v>1086</v>
      </c>
      <c r="F52" s="11">
        <v>1077</v>
      </c>
      <c r="G52" s="11">
        <v>1074</v>
      </c>
      <c r="H52" s="11">
        <v>1074</v>
      </c>
      <c r="I52" s="11">
        <v>1064</v>
      </c>
      <c r="J52" s="11">
        <v>1038</v>
      </c>
      <c r="K52" s="11">
        <v>1050</v>
      </c>
      <c r="L52" s="11">
        <v>1050</v>
      </c>
      <c r="M52" s="11">
        <v>1052</v>
      </c>
      <c r="N52" s="11">
        <f t="shared" si="2"/>
        <v>1072.0833333333333</v>
      </c>
    </row>
    <row r="53" spans="1:14" x14ac:dyDescent="0.2">
      <c r="A53" s="10" t="s">
        <v>50</v>
      </c>
      <c r="B53" s="11">
        <v>979</v>
      </c>
      <c r="C53" s="11">
        <v>979</v>
      </c>
      <c r="D53" s="11">
        <v>960</v>
      </c>
      <c r="E53" s="11">
        <v>947</v>
      </c>
      <c r="F53" s="11">
        <v>949</v>
      </c>
      <c r="G53" s="11">
        <v>957</v>
      </c>
      <c r="H53" s="11">
        <v>936</v>
      </c>
      <c r="I53" s="11">
        <v>930</v>
      </c>
      <c r="J53" s="11">
        <v>932</v>
      </c>
      <c r="K53" s="11">
        <v>923</v>
      </c>
      <c r="L53" s="11">
        <v>931</v>
      </c>
      <c r="M53" s="11">
        <v>924</v>
      </c>
      <c r="N53" s="11">
        <f t="shared" si="2"/>
        <v>945.58333333333337</v>
      </c>
    </row>
    <row r="54" spans="1:14" x14ac:dyDescent="0.2">
      <c r="A54" s="10" t="s">
        <v>51</v>
      </c>
      <c r="B54" s="11">
        <v>11</v>
      </c>
      <c r="C54" s="11">
        <v>11</v>
      </c>
      <c r="D54" s="11">
        <v>11</v>
      </c>
      <c r="E54" s="11">
        <v>10</v>
      </c>
      <c r="F54" s="11">
        <v>10</v>
      </c>
      <c r="G54" s="11">
        <v>10</v>
      </c>
      <c r="H54" s="11">
        <v>10</v>
      </c>
      <c r="I54" s="11">
        <v>10</v>
      </c>
      <c r="J54" s="11">
        <v>11</v>
      </c>
      <c r="K54" s="11">
        <v>12</v>
      </c>
      <c r="L54" s="11">
        <v>10</v>
      </c>
      <c r="M54" s="11">
        <v>10</v>
      </c>
      <c r="N54" s="11">
        <f t="shared" si="2"/>
        <v>10.5</v>
      </c>
    </row>
    <row r="55" spans="1:14" x14ac:dyDescent="0.2">
      <c r="A55" s="10" t="s">
        <v>52</v>
      </c>
      <c r="B55" s="11">
        <v>6608</v>
      </c>
      <c r="C55" s="11">
        <v>6538</v>
      </c>
      <c r="D55" s="11">
        <v>6458</v>
      </c>
      <c r="E55" s="11">
        <v>6350</v>
      </c>
      <c r="F55" s="11">
        <v>6328</v>
      </c>
      <c r="G55" s="11">
        <v>6299</v>
      </c>
      <c r="H55" s="11">
        <v>6239</v>
      </c>
      <c r="I55" s="11">
        <v>6270</v>
      </c>
      <c r="J55" s="11">
        <v>6225</v>
      </c>
      <c r="K55" s="11">
        <v>6187</v>
      </c>
      <c r="L55" s="11">
        <v>6147</v>
      </c>
      <c r="M55" s="11">
        <v>6082</v>
      </c>
      <c r="N55" s="11">
        <f t="shared" si="2"/>
        <v>6310.916666666667</v>
      </c>
    </row>
    <row r="56" spans="1:14" x14ac:dyDescent="0.2">
      <c r="A56" s="10" t="s">
        <v>53</v>
      </c>
      <c r="B56" s="11">
        <v>10294</v>
      </c>
      <c r="C56" s="11">
        <v>10334</v>
      </c>
      <c r="D56" s="11">
        <v>10484</v>
      </c>
      <c r="E56" s="11">
        <v>10629</v>
      </c>
      <c r="F56" s="11">
        <v>10622</v>
      </c>
      <c r="G56" s="11">
        <v>10626</v>
      </c>
      <c r="H56" s="11">
        <v>10547</v>
      </c>
      <c r="I56" s="11">
        <v>10547</v>
      </c>
      <c r="J56" s="11">
        <v>10449</v>
      </c>
      <c r="K56" s="11">
        <v>10248</v>
      </c>
      <c r="L56" s="11">
        <v>10203</v>
      </c>
      <c r="M56" s="11">
        <v>10147</v>
      </c>
      <c r="N56" s="11">
        <f t="shared" si="2"/>
        <v>10427.5</v>
      </c>
    </row>
    <row r="57" spans="1:14" x14ac:dyDescent="0.2">
      <c r="A57" s="10" t="s">
        <v>54</v>
      </c>
      <c r="B57" s="11">
        <v>3755</v>
      </c>
      <c r="C57" s="11">
        <v>3742</v>
      </c>
      <c r="D57" s="11">
        <v>3714</v>
      </c>
      <c r="E57" s="11">
        <v>3673</v>
      </c>
      <c r="F57" s="11">
        <v>3657</v>
      </c>
      <c r="G57" s="11">
        <v>3600</v>
      </c>
      <c r="H57" s="11">
        <v>3540</v>
      </c>
      <c r="I57" s="11">
        <v>3526</v>
      </c>
      <c r="J57" s="11">
        <v>3454</v>
      </c>
      <c r="K57" s="11">
        <v>3429</v>
      </c>
      <c r="L57" s="11">
        <v>3451</v>
      </c>
      <c r="M57" s="11">
        <v>3406</v>
      </c>
      <c r="N57" s="11">
        <f t="shared" si="2"/>
        <v>3578.9166666666665</v>
      </c>
    </row>
    <row r="58" spans="1:14" x14ac:dyDescent="0.2">
      <c r="A58" s="10" t="s">
        <v>55</v>
      </c>
      <c r="B58" s="11">
        <v>8187</v>
      </c>
      <c r="C58" s="11">
        <v>8140</v>
      </c>
      <c r="D58" s="11">
        <v>8143</v>
      </c>
      <c r="E58" s="11">
        <v>8199</v>
      </c>
      <c r="F58" s="11">
        <v>8178</v>
      </c>
      <c r="G58" s="11">
        <v>8144</v>
      </c>
      <c r="H58" s="11">
        <v>8183</v>
      </c>
      <c r="I58" s="11">
        <v>8198</v>
      </c>
      <c r="J58" s="11">
        <v>8118</v>
      </c>
      <c r="K58" s="11">
        <v>8040</v>
      </c>
      <c r="L58" s="11">
        <v>8049</v>
      </c>
      <c r="M58" s="11">
        <v>8016</v>
      </c>
      <c r="N58" s="11">
        <f t="shared" si="2"/>
        <v>8132.916666666667</v>
      </c>
    </row>
    <row r="59" spans="1:14" x14ac:dyDescent="0.2">
      <c r="A59" s="19" t="s">
        <v>56</v>
      </c>
      <c r="B59" s="20">
        <v>218</v>
      </c>
      <c r="C59" s="20">
        <v>212</v>
      </c>
      <c r="D59" s="20">
        <v>213</v>
      </c>
      <c r="E59" s="20">
        <v>214</v>
      </c>
      <c r="F59" s="20">
        <v>210</v>
      </c>
      <c r="G59" s="20">
        <v>211</v>
      </c>
      <c r="H59" s="20">
        <v>214</v>
      </c>
      <c r="I59" s="20">
        <v>214</v>
      </c>
      <c r="J59" s="20">
        <v>216</v>
      </c>
      <c r="K59" s="20">
        <v>213</v>
      </c>
      <c r="L59" s="20">
        <v>210</v>
      </c>
      <c r="M59" s="20">
        <v>211</v>
      </c>
      <c r="N59" s="20">
        <f t="shared" si="2"/>
        <v>213</v>
      </c>
    </row>
    <row r="60" spans="1:14" s="6" customFormat="1" x14ac:dyDescent="0.2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</row>
    <row r="61" spans="1:14" x14ac:dyDescent="0.2">
      <c r="A61" s="63" t="s">
        <v>58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</row>
    <row r="62" spans="1:14" x14ac:dyDescent="0.2">
      <c r="A62" s="63" t="str">
        <f>TFam!A62</f>
        <v>Fiscal year average is based on data Oct. 2023 through Sep. 2024</v>
      </c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</row>
    <row r="63" spans="1:14" x14ac:dyDescent="0.2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</row>
  </sheetData>
  <pageMargins left="0.7" right="0.7" top="0.75" bottom="0.75" header="0.3" footer="0.3"/>
  <pageSetup scale="6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63"/>
  <sheetViews>
    <sheetView topLeftCell="A41" workbookViewId="0">
      <selection activeCell="A63" sqref="A63"/>
    </sheetView>
  </sheetViews>
  <sheetFormatPr defaultColWidth="9.21875" defaultRowHeight="10.199999999999999" x14ac:dyDescent="0.2"/>
  <cols>
    <col min="1" max="1" width="14.21875" style="22" bestFit="1" customWidth="1"/>
    <col min="2" max="14" width="10" style="13" customWidth="1"/>
    <col min="15" max="16384" width="9.21875" style="13"/>
  </cols>
  <sheetData>
    <row r="1" spans="1:14" s="1" customFormat="1" ht="15.6" x14ac:dyDescent="0.3">
      <c r="A1" s="68" t="s">
        <v>62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s="2" customFormat="1" ht="13.2" x14ac:dyDescent="0.25">
      <c r="A2" s="65" t="str">
        <f>TFam!$A$2</f>
        <v>Fiscal Year 2024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s="6" customFormat="1" ht="12" customHeight="1" x14ac:dyDescent="0.2">
      <c r="A3" s="69">
        <f>TFam!$A$3</f>
        <v>45687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1:14" s="6" customFormat="1" ht="20.399999999999999" x14ac:dyDescent="0.2">
      <c r="A4" s="60" t="s">
        <v>1</v>
      </c>
      <c r="B4" s="61">
        <f>TFam!B4</f>
        <v>45200</v>
      </c>
      <c r="C4" s="61">
        <f>TFam!C4</f>
        <v>45231</v>
      </c>
      <c r="D4" s="61">
        <f>TFam!D4</f>
        <v>45261</v>
      </c>
      <c r="E4" s="61">
        <f>TFam!E4</f>
        <v>45292</v>
      </c>
      <c r="F4" s="61">
        <f>TFam!F4</f>
        <v>45323</v>
      </c>
      <c r="G4" s="61">
        <f>TFam!G4</f>
        <v>45352</v>
      </c>
      <c r="H4" s="61">
        <f>TFam!H4</f>
        <v>45383</v>
      </c>
      <c r="I4" s="61">
        <f>TFam!I4</f>
        <v>45413</v>
      </c>
      <c r="J4" s="61">
        <f>TFam!J4</f>
        <v>45444</v>
      </c>
      <c r="K4" s="61">
        <f>TFam!K4</f>
        <v>45474</v>
      </c>
      <c r="L4" s="61">
        <f>TFam!L4</f>
        <v>45505</v>
      </c>
      <c r="M4" s="61">
        <f>TFam!M4</f>
        <v>45536</v>
      </c>
      <c r="N4" s="62" t="str">
        <f>TFam!N4</f>
        <v>Average
FY 2024</v>
      </c>
    </row>
    <row r="5" spans="1:14" s="9" customFormat="1" x14ac:dyDescent="0.2">
      <c r="A5" s="7" t="s">
        <v>2</v>
      </c>
      <c r="B5" s="8">
        <f>SUM(B6:B59)</f>
        <v>2100657</v>
      </c>
      <c r="C5" s="8">
        <f t="shared" ref="C5:M5" si="0">SUM(C6:C59)</f>
        <v>2048491</v>
      </c>
      <c r="D5" s="8">
        <f t="shared" si="0"/>
        <v>2022048</v>
      </c>
      <c r="E5" s="8">
        <f t="shared" si="0"/>
        <v>2023292</v>
      </c>
      <c r="F5" s="8">
        <f t="shared" si="0"/>
        <v>2028597</v>
      </c>
      <c r="G5" s="8">
        <f t="shared" si="0"/>
        <v>2028620</v>
      </c>
      <c r="H5" s="8">
        <f t="shared" si="0"/>
        <v>2027090</v>
      </c>
      <c r="I5" s="8">
        <f t="shared" si="0"/>
        <v>2050653</v>
      </c>
      <c r="J5" s="8">
        <f t="shared" si="0"/>
        <v>2017199</v>
      </c>
      <c r="K5" s="8">
        <f t="shared" si="0"/>
        <v>2125439</v>
      </c>
      <c r="L5" s="8">
        <f t="shared" si="0"/>
        <v>2140660</v>
      </c>
      <c r="M5" s="8">
        <f t="shared" si="0"/>
        <v>2118873</v>
      </c>
      <c r="N5" s="8">
        <f t="shared" ref="N5:N36" si="1">AVERAGE(B5:M5)</f>
        <v>2060968.25</v>
      </c>
    </row>
    <row r="6" spans="1:14" x14ac:dyDescent="0.2">
      <c r="A6" s="10" t="s">
        <v>3</v>
      </c>
      <c r="B6" s="11">
        <v>13223</v>
      </c>
      <c r="C6" s="11">
        <v>13649</v>
      </c>
      <c r="D6" s="11">
        <v>14095</v>
      </c>
      <c r="E6" s="11">
        <v>13832</v>
      </c>
      <c r="F6" s="11">
        <v>13751</v>
      </c>
      <c r="G6" s="11">
        <v>13502</v>
      </c>
      <c r="H6" s="11">
        <v>13314</v>
      </c>
      <c r="I6" s="11">
        <v>13315</v>
      </c>
      <c r="J6" s="11">
        <v>13348</v>
      </c>
      <c r="K6" s="11">
        <v>13804</v>
      </c>
      <c r="L6" s="11">
        <v>14254</v>
      </c>
      <c r="M6" s="11">
        <v>14539</v>
      </c>
      <c r="N6" s="11">
        <f t="shared" si="1"/>
        <v>13718.833333333334</v>
      </c>
    </row>
    <row r="7" spans="1:14" x14ac:dyDescent="0.2">
      <c r="A7" s="10" t="s">
        <v>4</v>
      </c>
      <c r="B7" s="11">
        <v>2930</v>
      </c>
      <c r="C7" s="11">
        <v>2940</v>
      </c>
      <c r="D7" s="11">
        <v>3122</v>
      </c>
      <c r="E7" s="11">
        <v>3719</v>
      </c>
      <c r="F7" s="11">
        <v>3662</v>
      </c>
      <c r="G7" s="11">
        <v>3440</v>
      </c>
      <c r="H7" s="11">
        <v>3719</v>
      </c>
      <c r="I7" s="11">
        <v>3662</v>
      </c>
      <c r="J7" s="11">
        <v>3440</v>
      </c>
      <c r="K7" s="11">
        <v>3340</v>
      </c>
      <c r="L7" s="11">
        <v>3338</v>
      </c>
      <c r="M7" s="11">
        <v>3204</v>
      </c>
      <c r="N7" s="11">
        <f t="shared" si="1"/>
        <v>3376.3333333333335</v>
      </c>
    </row>
    <row r="8" spans="1:14" x14ac:dyDescent="0.2">
      <c r="A8" s="10" t="s">
        <v>5</v>
      </c>
      <c r="B8" s="11">
        <v>10589</v>
      </c>
      <c r="C8" s="11">
        <v>10474</v>
      </c>
      <c r="D8" s="11">
        <v>10658</v>
      </c>
      <c r="E8" s="11">
        <v>10618</v>
      </c>
      <c r="F8" s="11">
        <v>10420</v>
      </c>
      <c r="G8" s="11">
        <v>10525</v>
      </c>
      <c r="H8" s="11">
        <v>10310</v>
      </c>
      <c r="I8" s="11">
        <v>10244</v>
      </c>
      <c r="J8" s="11">
        <v>10076</v>
      </c>
      <c r="K8" s="11">
        <v>9806</v>
      </c>
      <c r="L8" s="11">
        <v>9652</v>
      </c>
      <c r="M8" s="11">
        <v>9307</v>
      </c>
      <c r="N8" s="11">
        <f t="shared" si="1"/>
        <v>10223.25</v>
      </c>
    </row>
    <row r="9" spans="1:14" x14ac:dyDescent="0.2">
      <c r="A9" s="10" t="s">
        <v>6</v>
      </c>
      <c r="B9" s="11">
        <v>2466</v>
      </c>
      <c r="C9" s="11">
        <v>2403</v>
      </c>
      <c r="D9" s="11">
        <v>2481</v>
      </c>
      <c r="E9" s="11">
        <v>2246</v>
      </c>
      <c r="F9" s="11">
        <v>2513</v>
      </c>
      <c r="G9" s="11">
        <v>2366</v>
      </c>
      <c r="H9" s="11">
        <v>2265</v>
      </c>
      <c r="I9" s="11">
        <v>2182</v>
      </c>
      <c r="J9" s="11">
        <v>2046</v>
      </c>
      <c r="K9" s="11">
        <v>1902</v>
      </c>
      <c r="L9" s="11">
        <v>1759</v>
      </c>
      <c r="M9" s="11">
        <v>1748</v>
      </c>
      <c r="N9" s="11">
        <f t="shared" si="1"/>
        <v>2198.0833333333335</v>
      </c>
    </row>
    <row r="10" spans="1:14" x14ac:dyDescent="0.2">
      <c r="A10" s="10" t="s">
        <v>7</v>
      </c>
      <c r="B10" s="11">
        <v>812499</v>
      </c>
      <c r="C10" s="11">
        <v>770610</v>
      </c>
      <c r="D10" s="11">
        <v>744126</v>
      </c>
      <c r="E10" s="11">
        <v>748236</v>
      </c>
      <c r="F10" s="11">
        <v>752324</v>
      </c>
      <c r="G10" s="11">
        <v>751858</v>
      </c>
      <c r="H10" s="11">
        <v>749953</v>
      </c>
      <c r="I10" s="11">
        <v>754368</v>
      </c>
      <c r="J10" s="11">
        <v>725301</v>
      </c>
      <c r="K10" s="11">
        <v>815989</v>
      </c>
      <c r="L10" s="11">
        <v>819276</v>
      </c>
      <c r="M10" s="11">
        <v>790675</v>
      </c>
      <c r="N10" s="11">
        <f t="shared" si="1"/>
        <v>769601.25</v>
      </c>
    </row>
    <row r="11" spans="1:14" x14ac:dyDescent="0.2">
      <c r="A11" s="10" t="s">
        <v>8</v>
      </c>
      <c r="B11" s="11">
        <v>31358</v>
      </c>
      <c r="C11" s="11">
        <v>29839</v>
      </c>
      <c r="D11" s="11">
        <v>29775</v>
      </c>
      <c r="E11" s="11">
        <v>30006</v>
      </c>
      <c r="F11" s="11">
        <v>29815</v>
      </c>
      <c r="G11" s="11">
        <v>29949</v>
      </c>
      <c r="H11" s="11">
        <v>29950</v>
      </c>
      <c r="I11" s="11">
        <v>29996</v>
      </c>
      <c r="J11" s="11">
        <v>30000</v>
      </c>
      <c r="K11" s="11">
        <v>31070</v>
      </c>
      <c r="L11" s="11">
        <v>31795</v>
      </c>
      <c r="M11" s="11">
        <v>33199</v>
      </c>
      <c r="N11" s="11">
        <f t="shared" si="1"/>
        <v>30562.666666666668</v>
      </c>
    </row>
    <row r="12" spans="1:14" x14ac:dyDescent="0.2">
      <c r="A12" s="10" t="s">
        <v>9</v>
      </c>
      <c r="B12" s="11">
        <v>12101</v>
      </c>
      <c r="C12" s="11">
        <v>12283</v>
      </c>
      <c r="D12" s="11">
        <v>12167</v>
      </c>
      <c r="E12" s="11">
        <v>12028</v>
      </c>
      <c r="F12" s="11">
        <v>12149</v>
      </c>
      <c r="G12" s="11">
        <v>11981</v>
      </c>
      <c r="H12" s="11">
        <v>11956</v>
      </c>
      <c r="I12" s="11">
        <v>12196</v>
      </c>
      <c r="J12" s="11">
        <v>12660</v>
      </c>
      <c r="K12" s="11">
        <v>12881</v>
      </c>
      <c r="L12" s="11">
        <v>13048</v>
      </c>
      <c r="M12" s="11">
        <v>13303</v>
      </c>
      <c r="N12" s="11">
        <f t="shared" si="1"/>
        <v>12396.083333333334</v>
      </c>
    </row>
    <row r="13" spans="1:14" x14ac:dyDescent="0.2">
      <c r="A13" s="10" t="s">
        <v>10</v>
      </c>
      <c r="B13" s="11">
        <v>7760</v>
      </c>
      <c r="C13" s="11">
        <v>7576</v>
      </c>
      <c r="D13" s="11">
        <v>7506</v>
      </c>
      <c r="E13" s="11">
        <v>7391</v>
      </c>
      <c r="F13" s="11">
        <v>7233</v>
      </c>
      <c r="G13" s="11">
        <v>7021</v>
      </c>
      <c r="H13" s="11">
        <v>6894</v>
      </c>
      <c r="I13" s="11">
        <v>6865</v>
      </c>
      <c r="J13" s="11">
        <v>6932</v>
      </c>
      <c r="K13" s="11">
        <v>6914</v>
      </c>
      <c r="L13" s="11">
        <v>7103</v>
      </c>
      <c r="M13" s="11">
        <v>7099</v>
      </c>
      <c r="N13" s="11">
        <f t="shared" si="1"/>
        <v>7191.166666666667</v>
      </c>
    </row>
    <row r="14" spans="1:14" x14ac:dyDescent="0.2">
      <c r="A14" s="10" t="s">
        <v>11</v>
      </c>
      <c r="B14" s="11">
        <v>17256</v>
      </c>
      <c r="C14" s="11">
        <v>15693</v>
      </c>
      <c r="D14" s="11">
        <v>15788</v>
      </c>
      <c r="E14" s="11">
        <v>15229</v>
      </c>
      <c r="F14" s="11">
        <v>14581</v>
      </c>
      <c r="G14" s="11">
        <v>15299</v>
      </c>
      <c r="H14" s="11">
        <v>15101</v>
      </c>
      <c r="I14" s="11">
        <v>15525</v>
      </c>
      <c r="J14" s="11">
        <v>15727</v>
      </c>
      <c r="K14" s="11">
        <v>19321</v>
      </c>
      <c r="L14" s="11">
        <v>18316</v>
      </c>
      <c r="M14" s="11">
        <v>16701</v>
      </c>
      <c r="N14" s="11">
        <f t="shared" si="1"/>
        <v>16211.416666666666</v>
      </c>
    </row>
    <row r="15" spans="1:14" x14ac:dyDescent="0.2">
      <c r="A15" s="10" t="s">
        <v>12</v>
      </c>
      <c r="B15" s="11">
        <v>71445</v>
      </c>
      <c r="C15" s="11">
        <v>68989</v>
      </c>
      <c r="D15" s="11">
        <v>65973</v>
      </c>
      <c r="E15" s="11">
        <v>62355</v>
      </c>
      <c r="F15" s="11">
        <v>57790</v>
      </c>
      <c r="G15" s="11">
        <v>57674</v>
      </c>
      <c r="H15" s="11">
        <v>57180</v>
      </c>
      <c r="I15" s="11">
        <v>57058</v>
      </c>
      <c r="J15" s="11">
        <v>56752</v>
      </c>
      <c r="K15" s="11">
        <v>55415</v>
      </c>
      <c r="L15" s="11">
        <v>53306</v>
      </c>
      <c r="M15" s="11">
        <v>53736</v>
      </c>
      <c r="N15" s="11">
        <f t="shared" si="1"/>
        <v>59806.083333333336</v>
      </c>
    </row>
    <row r="16" spans="1:14" x14ac:dyDescent="0.2">
      <c r="A16" s="10" t="s">
        <v>13</v>
      </c>
      <c r="B16" s="11">
        <v>7914</v>
      </c>
      <c r="C16" s="11">
        <v>7777</v>
      </c>
      <c r="D16" s="11">
        <v>7601</v>
      </c>
      <c r="E16" s="11">
        <v>7453</v>
      </c>
      <c r="F16" s="11">
        <v>7277</v>
      </c>
      <c r="G16" s="11">
        <v>7128</v>
      </c>
      <c r="H16" s="11">
        <v>6952</v>
      </c>
      <c r="I16" s="11">
        <v>6972</v>
      </c>
      <c r="J16" s="11">
        <v>6894</v>
      </c>
      <c r="K16" s="11">
        <v>6861</v>
      </c>
      <c r="L16" s="11">
        <v>6891</v>
      </c>
      <c r="M16" s="11">
        <v>6830</v>
      </c>
      <c r="N16" s="11">
        <f t="shared" si="1"/>
        <v>7212.5</v>
      </c>
    </row>
    <row r="17" spans="1:14" x14ac:dyDescent="0.2">
      <c r="A17" s="10" t="s">
        <v>14</v>
      </c>
      <c r="B17" s="11">
        <v>362</v>
      </c>
      <c r="C17" s="11">
        <v>372</v>
      </c>
      <c r="D17" s="11">
        <v>402</v>
      </c>
      <c r="E17" s="11">
        <v>401</v>
      </c>
      <c r="F17" s="11">
        <v>421</v>
      </c>
      <c r="G17" s="11">
        <v>413</v>
      </c>
      <c r="H17" s="11">
        <v>452</v>
      </c>
      <c r="I17" s="11">
        <v>455</v>
      </c>
      <c r="J17" s="11">
        <v>474</v>
      </c>
      <c r="K17" s="11">
        <v>480</v>
      </c>
      <c r="L17" s="11">
        <v>453</v>
      </c>
      <c r="M17" s="11">
        <v>473</v>
      </c>
      <c r="N17" s="11">
        <f t="shared" si="1"/>
        <v>429.83333333333331</v>
      </c>
    </row>
    <row r="18" spans="1:14" x14ac:dyDescent="0.2">
      <c r="A18" s="10" t="s">
        <v>15</v>
      </c>
      <c r="B18" s="11">
        <v>9206</v>
      </c>
      <c r="C18" s="11">
        <v>9253</v>
      </c>
      <c r="D18" s="11">
        <v>8812</v>
      </c>
      <c r="E18" s="11">
        <v>8392</v>
      </c>
      <c r="F18" s="11">
        <v>8098</v>
      </c>
      <c r="G18" s="11">
        <v>7619</v>
      </c>
      <c r="H18" s="11">
        <v>7267</v>
      </c>
      <c r="I18" s="11">
        <v>7228</v>
      </c>
      <c r="J18" s="11">
        <v>7084</v>
      </c>
      <c r="K18" s="11">
        <v>7019</v>
      </c>
      <c r="L18" s="11">
        <v>6852</v>
      </c>
      <c r="M18" s="11">
        <v>6780</v>
      </c>
      <c r="N18" s="11">
        <f t="shared" si="1"/>
        <v>7800.833333333333</v>
      </c>
    </row>
    <row r="19" spans="1:14" x14ac:dyDescent="0.2">
      <c r="A19" s="10" t="s">
        <v>16</v>
      </c>
      <c r="B19" s="11">
        <v>2044</v>
      </c>
      <c r="C19" s="11">
        <v>2005</v>
      </c>
      <c r="D19" s="11">
        <v>2005</v>
      </c>
      <c r="E19" s="11">
        <v>2055</v>
      </c>
      <c r="F19" s="11">
        <v>2051</v>
      </c>
      <c r="G19" s="11">
        <v>2021</v>
      </c>
      <c r="H19" s="11">
        <v>2012</v>
      </c>
      <c r="I19" s="11">
        <v>2010</v>
      </c>
      <c r="J19" s="11">
        <v>1977</v>
      </c>
      <c r="K19" s="11">
        <v>2022</v>
      </c>
      <c r="L19" s="11">
        <v>2037</v>
      </c>
      <c r="M19" s="11">
        <v>2070</v>
      </c>
      <c r="N19" s="11">
        <f t="shared" si="1"/>
        <v>2025.75</v>
      </c>
    </row>
    <row r="20" spans="1:14" x14ac:dyDescent="0.2">
      <c r="A20" s="10" t="s">
        <v>17</v>
      </c>
      <c r="B20" s="11">
        <v>20001</v>
      </c>
      <c r="C20" s="11">
        <v>19766</v>
      </c>
      <c r="D20" s="11">
        <v>19954</v>
      </c>
      <c r="E20" s="11">
        <v>19991</v>
      </c>
      <c r="F20" s="11">
        <v>20036</v>
      </c>
      <c r="G20" s="11">
        <v>20424</v>
      </c>
      <c r="H20" s="11">
        <v>20051</v>
      </c>
      <c r="I20" s="11">
        <v>19887</v>
      </c>
      <c r="J20" s="11">
        <v>20045</v>
      </c>
      <c r="K20" s="11">
        <v>20012</v>
      </c>
      <c r="L20" s="11">
        <v>20334</v>
      </c>
      <c r="M20" s="11">
        <v>19760</v>
      </c>
      <c r="N20" s="11">
        <f t="shared" si="1"/>
        <v>20021.75</v>
      </c>
    </row>
    <row r="21" spans="1:14" x14ac:dyDescent="0.2">
      <c r="A21" s="10" t="s">
        <v>18</v>
      </c>
      <c r="B21" s="11">
        <v>12794</v>
      </c>
      <c r="C21" s="11">
        <v>13242</v>
      </c>
      <c r="D21" s="11">
        <v>13431</v>
      </c>
      <c r="E21" s="11">
        <v>13538</v>
      </c>
      <c r="F21" s="11">
        <v>13607</v>
      </c>
      <c r="G21" s="11">
        <v>13156</v>
      </c>
      <c r="H21" s="11">
        <v>12538</v>
      </c>
      <c r="I21" s="11">
        <v>12259</v>
      </c>
      <c r="J21" s="11">
        <v>12530</v>
      </c>
      <c r="K21" s="11">
        <v>12797</v>
      </c>
      <c r="L21" s="11">
        <v>13104</v>
      </c>
      <c r="M21" s="11">
        <v>13423</v>
      </c>
      <c r="N21" s="11">
        <f t="shared" si="1"/>
        <v>13034.916666666666</v>
      </c>
    </row>
    <row r="22" spans="1:14" x14ac:dyDescent="0.2">
      <c r="A22" s="10" t="s">
        <v>19</v>
      </c>
      <c r="B22" s="11">
        <v>10518</v>
      </c>
      <c r="C22" s="11">
        <v>10275</v>
      </c>
      <c r="D22" s="11">
        <v>10144</v>
      </c>
      <c r="E22" s="11">
        <v>10021</v>
      </c>
      <c r="F22" s="11">
        <v>9947</v>
      </c>
      <c r="G22" s="11">
        <v>9982</v>
      </c>
      <c r="H22" s="11">
        <v>9962</v>
      </c>
      <c r="I22" s="11">
        <v>10158</v>
      </c>
      <c r="J22" s="11">
        <v>10082</v>
      </c>
      <c r="K22" s="11">
        <v>10136</v>
      </c>
      <c r="L22" s="11">
        <v>10481</v>
      </c>
      <c r="M22" s="11">
        <v>10741</v>
      </c>
      <c r="N22" s="11">
        <f t="shared" si="1"/>
        <v>10203.916666666666</v>
      </c>
    </row>
    <row r="23" spans="1:14" x14ac:dyDescent="0.2">
      <c r="A23" s="10" t="s">
        <v>20</v>
      </c>
      <c r="B23" s="11">
        <v>3033</v>
      </c>
      <c r="C23" s="11">
        <v>3003</v>
      </c>
      <c r="D23" s="11">
        <v>2996</v>
      </c>
      <c r="E23" s="11">
        <v>2938</v>
      </c>
      <c r="F23" s="11">
        <v>2917</v>
      </c>
      <c r="G23" s="11">
        <v>2910</v>
      </c>
      <c r="H23" s="11">
        <v>2897</v>
      </c>
      <c r="I23" s="11">
        <v>2912</v>
      </c>
      <c r="J23" s="11">
        <v>2903</v>
      </c>
      <c r="K23" s="11">
        <v>2875</v>
      </c>
      <c r="L23" s="11">
        <v>2911</v>
      </c>
      <c r="M23" s="11">
        <v>2902</v>
      </c>
      <c r="N23" s="11">
        <f t="shared" si="1"/>
        <v>2933.0833333333335</v>
      </c>
    </row>
    <row r="24" spans="1:14" x14ac:dyDescent="0.2">
      <c r="A24" s="10" t="s">
        <v>21</v>
      </c>
      <c r="B24" s="11">
        <v>30265</v>
      </c>
      <c r="C24" s="11">
        <v>30573</v>
      </c>
      <c r="D24" s="11">
        <v>30704</v>
      </c>
      <c r="E24" s="11">
        <v>31216</v>
      </c>
      <c r="F24" s="11">
        <v>32209</v>
      </c>
      <c r="G24" s="11">
        <v>32582</v>
      </c>
      <c r="H24" s="11">
        <v>33263</v>
      </c>
      <c r="I24" s="11">
        <v>34339</v>
      </c>
      <c r="J24" s="11">
        <v>34685</v>
      </c>
      <c r="K24" s="11">
        <v>35793</v>
      </c>
      <c r="L24" s="11">
        <v>36938</v>
      </c>
      <c r="M24" s="11">
        <v>38717</v>
      </c>
      <c r="N24" s="11">
        <f t="shared" si="1"/>
        <v>33440.333333333336</v>
      </c>
    </row>
    <row r="25" spans="1:14" x14ac:dyDescent="0.2">
      <c r="A25" s="10" t="s">
        <v>22</v>
      </c>
      <c r="B25" s="11">
        <v>12672</v>
      </c>
      <c r="C25" s="11">
        <v>12822</v>
      </c>
      <c r="D25" s="11">
        <v>12784</v>
      </c>
      <c r="E25" s="11">
        <v>12683</v>
      </c>
      <c r="F25" s="11">
        <v>12563</v>
      </c>
      <c r="G25" s="11">
        <v>12267</v>
      </c>
      <c r="H25" s="11">
        <v>12147</v>
      </c>
      <c r="I25" s="11">
        <v>12241</v>
      </c>
      <c r="J25" s="11">
        <v>12410</v>
      </c>
      <c r="K25" s="11">
        <v>12730</v>
      </c>
      <c r="L25" s="11">
        <v>13046</v>
      </c>
      <c r="M25" s="11">
        <v>12753</v>
      </c>
      <c r="N25" s="11">
        <f t="shared" si="1"/>
        <v>12593.166666666666</v>
      </c>
    </row>
    <row r="26" spans="1:14" x14ac:dyDescent="0.2">
      <c r="A26" s="10" t="s">
        <v>23</v>
      </c>
      <c r="B26" s="11">
        <v>9086</v>
      </c>
      <c r="C26" s="11">
        <v>8852</v>
      </c>
      <c r="D26" s="11">
        <v>9186</v>
      </c>
      <c r="E26" s="11">
        <v>9385</v>
      </c>
      <c r="F26" s="11">
        <v>9320</v>
      </c>
      <c r="G26" s="11">
        <v>9527</v>
      </c>
      <c r="H26" s="11">
        <v>9487</v>
      </c>
      <c r="I26" s="11">
        <v>9564</v>
      </c>
      <c r="J26" s="11">
        <v>9730</v>
      </c>
      <c r="K26" s="11">
        <v>9857</v>
      </c>
      <c r="L26" s="11">
        <v>9798</v>
      </c>
      <c r="M26" s="11">
        <v>10063</v>
      </c>
      <c r="N26" s="11">
        <f t="shared" si="1"/>
        <v>9487.9166666666661</v>
      </c>
    </row>
    <row r="27" spans="1:14" x14ac:dyDescent="0.2">
      <c r="A27" s="10" t="s">
        <v>24</v>
      </c>
      <c r="B27" s="11">
        <v>27805</v>
      </c>
      <c r="C27" s="11">
        <v>29863</v>
      </c>
      <c r="D27" s="11">
        <v>31161</v>
      </c>
      <c r="E27" s="11">
        <v>30633</v>
      </c>
      <c r="F27" s="11">
        <v>32483</v>
      </c>
      <c r="G27" s="11">
        <v>33465</v>
      </c>
      <c r="H27" s="11">
        <v>35288</v>
      </c>
      <c r="I27" s="11">
        <v>47291</v>
      </c>
      <c r="J27" s="11">
        <v>40468</v>
      </c>
      <c r="K27" s="11">
        <v>41002</v>
      </c>
      <c r="L27" s="11">
        <v>41218</v>
      </c>
      <c r="M27" s="11">
        <v>41317</v>
      </c>
      <c r="N27" s="11">
        <f t="shared" si="1"/>
        <v>35999.5</v>
      </c>
    </row>
    <row r="28" spans="1:14" x14ac:dyDescent="0.2">
      <c r="A28" s="10" t="s">
        <v>25</v>
      </c>
      <c r="B28" s="11">
        <v>85570</v>
      </c>
      <c r="C28" s="11">
        <v>86431</v>
      </c>
      <c r="D28" s="11">
        <v>85632</v>
      </c>
      <c r="E28" s="11">
        <v>85352</v>
      </c>
      <c r="F28" s="11">
        <v>85002</v>
      </c>
      <c r="G28" s="11">
        <v>84844</v>
      </c>
      <c r="H28" s="11">
        <v>84658</v>
      </c>
      <c r="I28" s="11">
        <v>85347</v>
      </c>
      <c r="J28" s="11">
        <v>85650</v>
      </c>
      <c r="K28" s="11">
        <v>86876</v>
      </c>
      <c r="L28" s="11">
        <v>89112</v>
      </c>
      <c r="M28" s="11">
        <v>90718</v>
      </c>
      <c r="N28" s="11">
        <f t="shared" si="1"/>
        <v>86266</v>
      </c>
    </row>
    <row r="29" spans="1:14" x14ac:dyDescent="0.2">
      <c r="A29" s="10" t="s">
        <v>26</v>
      </c>
      <c r="B29" s="11">
        <v>22017</v>
      </c>
      <c r="C29" s="11">
        <v>21697</v>
      </c>
      <c r="D29" s="11">
        <v>21579</v>
      </c>
      <c r="E29" s="11">
        <v>21831</v>
      </c>
      <c r="F29" s="11">
        <v>21567</v>
      </c>
      <c r="G29" s="11">
        <v>20942</v>
      </c>
      <c r="H29" s="11">
        <v>19876</v>
      </c>
      <c r="I29" s="11">
        <v>19756</v>
      </c>
      <c r="J29" s="11">
        <v>20050</v>
      </c>
      <c r="K29" s="11">
        <v>20641</v>
      </c>
      <c r="L29" s="11">
        <v>21958</v>
      </c>
      <c r="M29" s="11">
        <v>22848</v>
      </c>
      <c r="N29" s="11">
        <f t="shared" si="1"/>
        <v>21230.166666666668</v>
      </c>
    </row>
    <row r="30" spans="1:14" x14ac:dyDescent="0.2">
      <c r="A30" s="10" t="s">
        <v>27</v>
      </c>
      <c r="B30" s="11">
        <v>31593</v>
      </c>
      <c r="C30" s="11">
        <v>31384</v>
      </c>
      <c r="D30" s="11">
        <v>31563</v>
      </c>
      <c r="E30" s="11">
        <v>31598</v>
      </c>
      <c r="F30" s="11">
        <v>31193</v>
      </c>
      <c r="G30" s="11">
        <v>30842</v>
      </c>
      <c r="H30" s="11">
        <v>30662</v>
      </c>
      <c r="I30" s="11">
        <v>30933</v>
      </c>
      <c r="J30" s="11">
        <v>31070</v>
      </c>
      <c r="K30" s="11">
        <v>30708</v>
      </c>
      <c r="L30" s="11">
        <v>30743</v>
      </c>
      <c r="M30" s="11">
        <v>30759</v>
      </c>
      <c r="N30" s="11">
        <f t="shared" si="1"/>
        <v>31087.333333333332</v>
      </c>
    </row>
    <row r="31" spans="1:14" x14ac:dyDescent="0.2">
      <c r="A31" s="10" t="s">
        <v>28</v>
      </c>
      <c r="B31" s="11">
        <v>2425</v>
      </c>
      <c r="C31" s="11">
        <v>2398</v>
      </c>
      <c r="D31" s="11">
        <v>2368</v>
      </c>
      <c r="E31" s="11">
        <v>2683</v>
      </c>
      <c r="F31" s="11">
        <v>2635</v>
      </c>
      <c r="G31" s="11">
        <v>2568</v>
      </c>
      <c r="H31" s="11">
        <v>2498</v>
      </c>
      <c r="I31" s="11">
        <v>2482</v>
      </c>
      <c r="J31" s="11">
        <v>2540</v>
      </c>
      <c r="K31" s="11">
        <v>2498</v>
      </c>
      <c r="L31" s="11">
        <v>2592</v>
      </c>
      <c r="M31" s="11">
        <v>2519</v>
      </c>
      <c r="N31" s="11">
        <f t="shared" si="1"/>
        <v>2517.1666666666665</v>
      </c>
    </row>
    <row r="32" spans="1:14" x14ac:dyDescent="0.2">
      <c r="A32" s="10" t="s">
        <v>29</v>
      </c>
      <c r="B32" s="11">
        <v>11188</v>
      </c>
      <c r="C32" s="11">
        <v>10833</v>
      </c>
      <c r="D32" s="11">
        <v>11348</v>
      </c>
      <c r="E32" s="11">
        <v>11249</v>
      </c>
      <c r="F32" s="11">
        <v>11162</v>
      </c>
      <c r="G32" s="11">
        <v>11044</v>
      </c>
      <c r="H32" s="11">
        <v>11006</v>
      </c>
      <c r="I32" s="11">
        <v>10947</v>
      </c>
      <c r="J32" s="11">
        <v>10789</v>
      </c>
      <c r="K32" s="11">
        <v>11192</v>
      </c>
      <c r="L32" s="11">
        <v>11477</v>
      </c>
      <c r="M32" s="11">
        <v>11879</v>
      </c>
      <c r="N32" s="11">
        <f t="shared" si="1"/>
        <v>11176.166666666666</v>
      </c>
    </row>
    <row r="33" spans="1:14" x14ac:dyDescent="0.2">
      <c r="A33" s="10" t="s">
        <v>30</v>
      </c>
      <c r="B33" s="11">
        <v>3868</v>
      </c>
      <c r="C33" s="11">
        <v>3733</v>
      </c>
      <c r="D33" s="11">
        <v>3628</v>
      </c>
      <c r="E33" s="11">
        <v>3610</v>
      </c>
      <c r="F33" s="11">
        <v>3631</v>
      </c>
      <c r="G33" s="11">
        <v>3527</v>
      </c>
      <c r="H33" s="11">
        <v>3480</v>
      </c>
      <c r="I33" s="11">
        <v>3543</v>
      </c>
      <c r="J33" s="11">
        <v>3509</v>
      </c>
      <c r="K33" s="11">
        <v>3538</v>
      </c>
      <c r="L33" s="11">
        <v>3534</v>
      </c>
      <c r="M33" s="11">
        <v>3456</v>
      </c>
      <c r="N33" s="11">
        <f t="shared" si="1"/>
        <v>3588.0833333333335</v>
      </c>
    </row>
    <row r="34" spans="1:14" x14ac:dyDescent="0.2">
      <c r="A34" s="10" t="s">
        <v>31</v>
      </c>
      <c r="B34" s="11">
        <v>5780</v>
      </c>
      <c r="C34" s="11">
        <v>5730</v>
      </c>
      <c r="D34" s="11">
        <v>5809</v>
      </c>
      <c r="E34" s="11">
        <v>5993</v>
      </c>
      <c r="F34" s="11">
        <v>6073</v>
      </c>
      <c r="G34" s="11">
        <v>5869</v>
      </c>
      <c r="H34" s="11">
        <v>5879</v>
      </c>
      <c r="I34" s="11">
        <v>5902</v>
      </c>
      <c r="J34" s="11">
        <v>5905</v>
      </c>
      <c r="K34" s="11">
        <v>5756</v>
      </c>
      <c r="L34" s="11">
        <v>5696</v>
      </c>
      <c r="M34" s="11">
        <v>5648</v>
      </c>
      <c r="N34" s="11">
        <f t="shared" si="1"/>
        <v>5836.666666666667</v>
      </c>
    </row>
    <row r="35" spans="1:14" x14ac:dyDescent="0.2">
      <c r="A35" s="10" t="s">
        <v>32</v>
      </c>
      <c r="B35" s="11">
        <v>14884</v>
      </c>
      <c r="C35" s="11">
        <v>14385</v>
      </c>
      <c r="D35" s="11">
        <v>13868</v>
      </c>
      <c r="E35" s="11">
        <v>13774</v>
      </c>
      <c r="F35" s="11">
        <v>13479</v>
      </c>
      <c r="G35" s="11">
        <v>13281</v>
      </c>
      <c r="H35" s="11">
        <v>13292</v>
      </c>
      <c r="I35" s="11">
        <v>13504</v>
      </c>
      <c r="J35" s="11">
        <v>13661</v>
      </c>
      <c r="K35" s="11">
        <v>13755</v>
      </c>
      <c r="L35" s="11">
        <v>13899</v>
      </c>
      <c r="M35" s="11">
        <v>14198</v>
      </c>
      <c r="N35" s="11">
        <f t="shared" si="1"/>
        <v>13831.666666666666</v>
      </c>
    </row>
    <row r="36" spans="1:14" x14ac:dyDescent="0.2">
      <c r="A36" s="10" t="s">
        <v>33</v>
      </c>
      <c r="B36" s="11">
        <v>5071</v>
      </c>
      <c r="C36" s="11">
        <v>5123</v>
      </c>
      <c r="D36" s="11">
        <v>5087</v>
      </c>
      <c r="E36" s="11">
        <v>5061</v>
      </c>
      <c r="F36" s="11">
        <v>5015</v>
      </c>
      <c r="G36" s="11">
        <v>4999</v>
      </c>
      <c r="H36" s="11">
        <v>5067</v>
      </c>
      <c r="I36" s="11">
        <v>5065</v>
      </c>
      <c r="J36" s="11">
        <v>5051</v>
      </c>
      <c r="K36" s="11">
        <v>5091</v>
      </c>
      <c r="L36" s="11">
        <v>5127</v>
      </c>
      <c r="M36" s="11">
        <v>5108</v>
      </c>
      <c r="N36" s="11">
        <f t="shared" si="1"/>
        <v>5072.083333333333</v>
      </c>
    </row>
    <row r="37" spans="1:14" x14ac:dyDescent="0.2">
      <c r="A37" s="10" t="s">
        <v>34</v>
      </c>
      <c r="B37" s="11">
        <v>22824</v>
      </c>
      <c r="C37" s="11">
        <v>23193</v>
      </c>
      <c r="D37" s="11">
        <v>23139</v>
      </c>
      <c r="E37" s="11">
        <v>23070</v>
      </c>
      <c r="F37" s="11">
        <v>23236</v>
      </c>
      <c r="G37" s="11">
        <v>23192</v>
      </c>
      <c r="H37" s="11">
        <v>22903</v>
      </c>
      <c r="I37" s="11">
        <v>22622</v>
      </c>
      <c r="J37" s="11">
        <v>22358</v>
      </c>
      <c r="K37" s="11">
        <v>22582</v>
      </c>
      <c r="L37" s="11">
        <v>22455</v>
      </c>
      <c r="M37" s="11">
        <v>22348</v>
      </c>
      <c r="N37" s="11">
        <f t="shared" ref="N37:N59" si="2">AVERAGE(B37:M37)</f>
        <v>22826.833333333332</v>
      </c>
    </row>
    <row r="38" spans="1:14" x14ac:dyDescent="0.2">
      <c r="A38" s="10" t="s">
        <v>35</v>
      </c>
      <c r="B38" s="11">
        <v>15860</v>
      </c>
      <c r="C38" s="11">
        <v>15210</v>
      </c>
      <c r="D38" s="11">
        <v>15202</v>
      </c>
      <c r="E38" s="11">
        <v>15900</v>
      </c>
      <c r="F38" s="11">
        <v>16600</v>
      </c>
      <c r="G38" s="11">
        <v>16888</v>
      </c>
      <c r="H38" s="11">
        <v>17192</v>
      </c>
      <c r="I38" s="11">
        <v>17440</v>
      </c>
      <c r="J38" s="11">
        <v>18212</v>
      </c>
      <c r="K38" s="11">
        <v>18836</v>
      </c>
      <c r="L38" s="11">
        <v>19368</v>
      </c>
      <c r="M38" s="11">
        <v>19064</v>
      </c>
      <c r="N38" s="11">
        <f t="shared" si="2"/>
        <v>17147.666666666668</v>
      </c>
    </row>
    <row r="39" spans="1:14" x14ac:dyDescent="0.2">
      <c r="A39" s="10" t="s">
        <v>36</v>
      </c>
      <c r="B39" s="11">
        <v>317696</v>
      </c>
      <c r="C39" s="11">
        <v>314313</v>
      </c>
      <c r="D39" s="11">
        <v>318761</v>
      </c>
      <c r="E39" s="11">
        <v>324636</v>
      </c>
      <c r="F39" s="11">
        <v>330085</v>
      </c>
      <c r="G39" s="11">
        <v>334759</v>
      </c>
      <c r="H39" s="11">
        <v>335648</v>
      </c>
      <c r="I39" s="11">
        <v>338695</v>
      </c>
      <c r="J39" s="11">
        <v>341200</v>
      </c>
      <c r="K39" s="11">
        <v>343753</v>
      </c>
      <c r="L39" s="11">
        <v>345561</v>
      </c>
      <c r="M39" s="11">
        <v>347033</v>
      </c>
      <c r="N39" s="11">
        <f t="shared" si="2"/>
        <v>332678.33333333331</v>
      </c>
    </row>
    <row r="40" spans="1:14" x14ac:dyDescent="0.2">
      <c r="A40" s="10" t="s">
        <v>37</v>
      </c>
      <c r="B40" s="11">
        <v>13815</v>
      </c>
      <c r="C40" s="11">
        <v>13459</v>
      </c>
      <c r="D40" s="11">
        <v>13050</v>
      </c>
      <c r="E40" s="11">
        <v>12532</v>
      </c>
      <c r="F40" s="11">
        <v>11918</v>
      </c>
      <c r="G40" s="11">
        <v>11836</v>
      </c>
      <c r="H40" s="11">
        <v>12122</v>
      </c>
      <c r="I40" s="11">
        <v>12059</v>
      </c>
      <c r="J40" s="11">
        <v>11578</v>
      </c>
      <c r="K40" s="11">
        <v>11815</v>
      </c>
      <c r="L40" s="11">
        <v>11826</v>
      </c>
      <c r="M40" s="11">
        <v>11304</v>
      </c>
      <c r="N40" s="11">
        <f t="shared" si="2"/>
        <v>12276.166666666666</v>
      </c>
    </row>
    <row r="41" spans="1:14" x14ac:dyDescent="0.2">
      <c r="A41" s="10" t="s">
        <v>38</v>
      </c>
      <c r="B41" s="11">
        <v>1476</v>
      </c>
      <c r="C41" s="11">
        <v>1500</v>
      </c>
      <c r="D41" s="11">
        <v>1460</v>
      </c>
      <c r="E41" s="11">
        <v>1529</v>
      </c>
      <c r="F41" s="11">
        <v>1490</v>
      </c>
      <c r="G41" s="11">
        <v>1522</v>
      </c>
      <c r="H41" s="11">
        <v>1558</v>
      </c>
      <c r="I41" s="11">
        <v>1544</v>
      </c>
      <c r="J41" s="11">
        <v>1646</v>
      </c>
      <c r="K41" s="11">
        <v>1700</v>
      </c>
      <c r="L41" s="11">
        <v>1775</v>
      </c>
      <c r="M41" s="11">
        <v>1746</v>
      </c>
      <c r="N41" s="11">
        <f t="shared" si="2"/>
        <v>1578.8333333333333</v>
      </c>
    </row>
    <row r="42" spans="1:14" x14ac:dyDescent="0.2">
      <c r="A42" s="10" t="s">
        <v>39</v>
      </c>
      <c r="B42" s="11">
        <v>72179</v>
      </c>
      <c r="C42" s="11">
        <v>71762</v>
      </c>
      <c r="D42" s="11">
        <v>71588</v>
      </c>
      <c r="E42" s="11">
        <v>70155</v>
      </c>
      <c r="F42" s="11">
        <v>70139</v>
      </c>
      <c r="G42" s="11">
        <v>69580</v>
      </c>
      <c r="H42" s="11">
        <v>69580</v>
      </c>
      <c r="I42" s="11">
        <v>69451</v>
      </c>
      <c r="J42" s="11">
        <v>68155</v>
      </c>
      <c r="K42" s="11">
        <v>69116</v>
      </c>
      <c r="L42" s="11">
        <v>69404</v>
      </c>
      <c r="M42" s="11">
        <v>69168</v>
      </c>
      <c r="N42" s="11">
        <f t="shared" si="2"/>
        <v>70023.083333333328</v>
      </c>
    </row>
    <row r="43" spans="1:14" x14ac:dyDescent="0.2">
      <c r="A43" s="10" t="s">
        <v>40</v>
      </c>
      <c r="B43" s="11">
        <v>7690</v>
      </c>
      <c r="C43" s="11">
        <v>7765</v>
      </c>
      <c r="D43" s="11">
        <v>7619</v>
      </c>
      <c r="E43" s="11">
        <v>7472</v>
      </c>
      <c r="F43" s="11">
        <v>7472</v>
      </c>
      <c r="G43" s="11">
        <v>7433</v>
      </c>
      <c r="H43" s="11">
        <v>7098</v>
      </c>
      <c r="I43" s="11">
        <v>6985</v>
      </c>
      <c r="J43" s="11">
        <v>6767</v>
      </c>
      <c r="K43" s="11">
        <v>6890</v>
      </c>
      <c r="L43" s="11">
        <v>6984</v>
      </c>
      <c r="M43" s="11">
        <v>6606</v>
      </c>
      <c r="N43" s="11">
        <f t="shared" si="2"/>
        <v>7231.75</v>
      </c>
    </row>
    <row r="44" spans="1:14" x14ac:dyDescent="0.2">
      <c r="A44" s="10" t="s">
        <v>41</v>
      </c>
      <c r="B44" s="11">
        <v>40975</v>
      </c>
      <c r="C44" s="11">
        <v>41209</v>
      </c>
      <c r="D44" s="11">
        <v>41220</v>
      </c>
      <c r="E44" s="11">
        <v>41666</v>
      </c>
      <c r="F44" s="11">
        <v>41936</v>
      </c>
      <c r="G44" s="11">
        <v>41764</v>
      </c>
      <c r="H44" s="11">
        <v>41865</v>
      </c>
      <c r="I44" s="11">
        <v>41804</v>
      </c>
      <c r="J44" s="11">
        <v>41542</v>
      </c>
      <c r="K44" s="11">
        <v>41939</v>
      </c>
      <c r="L44" s="11">
        <v>42662</v>
      </c>
      <c r="M44" s="11">
        <v>42363</v>
      </c>
      <c r="N44" s="11">
        <f t="shared" si="2"/>
        <v>41745.416666666664</v>
      </c>
    </row>
    <row r="45" spans="1:14" x14ac:dyDescent="0.2">
      <c r="A45" s="10" t="s">
        <v>42</v>
      </c>
      <c r="B45" s="11">
        <v>64891</v>
      </c>
      <c r="C45" s="11">
        <v>63864</v>
      </c>
      <c r="D45" s="11">
        <v>62832</v>
      </c>
      <c r="E45" s="11">
        <v>62735</v>
      </c>
      <c r="F45" s="11">
        <v>60848</v>
      </c>
      <c r="G45" s="11">
        <v>59350</v>
      </c>
      <c r="H45" s="11">
        <v>58927</v>
      </c>
      <c r="I45" s="11">
        <v>58714</v>
      </c>
      <c r="J45" s="11">
        <v>57879</v>
      </c>
      <c r="K45" s="11">
        <v>57894</v>
      </c>
      <c r="L45" s="11">
        <v>56949</v>
      </c>
      <c r="M45" s="11">
        <v>55883</v>
      </c>
      <c r="N45" s="11">
        <f t="shared" si="2"/>
        <v>60063.833333333336</v>
      </c>
    </row>
    <row r="46" spans="1:14" x14ac:dyDescent="0.2">
      <c r="A46" s="10" t="s">
        <v>43</v>
      </c>
      <c r="B46" s="11">
        <v>6932</v>
      </c>
      <c r="C46" s="11">
        <v>7171</v>
      </c>
      <c r="D46" s="11">
        <v>7057</v>
      </c>
      <c r="E46" s="11">
        <v>6856</v>
      </c>
      <c r="F46" s="11">
        <v>6661</v>
      </c>
      <c r="G46" s="11">
        <v>6470</v>
      </c>
      <c r="H46" s="11">
        <v>6068</v>
      </c>
      <c r="I46" s="11">
        <v>5997</v>
      </c>
      <c r="J46" s="11">
        <v>6155</v>
      </c>
      <c r="K46" s="11">
        <v>6348</v>
      </c>
      <c r="L46" s="11">
        <v>6863</v>
      </c>
      <c r="M46" s="11">
        <v>7108</v>
      </c>
      <c r="N46" s="11">
        <f t="shared" si="2"/>
        <v>6640.5</v>
      </c>
    </row>
    <row r="47" spans="1:14" x14ac:dyDescent="0.2">
      <c r="A47" s="10" t="s">
        <v>44</v>
      </c>
      <c r="B47" s="11">
        <v>8787</v>
      </c>
      <c r="C47" s="11">
        <v>8836</v>
      </c>
      <c r="D47" s="11">
        <v>8634</v>
      </c>
      <c r="E47" s="11">
        <v>8529</v>
      </c>
      <c r="F47" s="11">
        <v>8451</v>
      </c>
      <c r="G47" s="11">
        <v>8548</v>
      </c>
      <c r="H47" s="11">
        <v>8534</v>
      </c>
      <c r="I47" s="11">
        <v>8674</v>
      </c>
      <c r="J47" s="11">
        <v>8726</v>
      </c>
      <c r="K47" s="11">
        <v>8939</v>
      </c>
      <c r="L47" s="11">
        <v>9357</v>
      </c>
      <c r="M47" s="11">
        <v>9510</v>
      </c>
      <c r="N47" s="11">
        <f t="shared" si="2"/>
        <v>8793.75</v>
      </c>
    </row>
    <row r="48" spans="1:14" x14ac:dyDescent="0.2">
      <c r="A48" s="10" t="s">
        <v>45</v>
      </c>
      <c r="B48" s="11">
        <v>12728</v>
      </c>
      <c r="C48" s="11">
        <v>13098</v>
      </c>
      <c r="D48" s="11">
        <v>13087</v>
      </c>
      <c r="E48" s="11">
        <v>12850</v>
      </c>
      <c r="F48" s="11">
        <v>13073</v>
      </c>
      <c r="G48" s="11">
        <v>12763</v>
      </c>
      <c r="H48" s="11">
        <v>12505</v>
      </c>
      <c r="I48" s="11">
        <v>12853</v>
      </c>
      <c r="J48" s="11">
        <v>13124</v>
      </c>
      <c r="K48" s="11">
        <v>12988</v>
      </c>
      <c r="L48" s="11">
        <v>13252</v>
      </c>
      <c r="M48" s="11">
        <v>13342</v>
      </c>
      <c r="N48" s="11">
        <f t="shared" si="2"/>
        <v>12971.916666666666</v>
      </c>
    </row>
    <row r="49" spans="1:14" x14ac:dyDescent="0.2">
      <c r="A49" s="10" t="s">
        <v>46</v>
      </c>
      <c r="B49" s="11">
        <v>4950</v>
      </c>
      <c r="C49" s="11">
        <v>4960</v>
      </c>
      <c r="D49" s="11">
        <v>4913</v>
      </c>
      <c r="E49" s="11">
        <v>4822</v>
      </c>
      <c r="F49" s="11">
        <v>4884</v>
      </c>
      <c r="G49" s="11">
        <v>4968</v>
      </c>
      <c r="H49" s="11">
        <v>4969</v>
      </c>
      <c r="I49" s="11">
        <v>5061</v>
      </c>
      <c r="J49" s="11">
        <v>5053</v>
      </c>
      <c r="K49" s="11">
        <v>5113</v>
      </c>
      <c r="L49" s="11">
        <v>5185</v>
      </c>
      <c r="M49" s="11">
        <v>5088</v>
      </c>
      <c r="N49" s="11">
        <f t="shared" si="2"/>
        <v>4997.166666666667</v>
      </c>
    </row>
    <row r="50" spans="1:14" x14ac:dyDescent="0.2">
      <c r="A50" s="10" t="s">
        <v>47</v>
      </c>
      <c r="B50" s="11">
        <v>28104</v>
      </c>
      <c r="C50" s="11">
        <v>26932</v>
      </c>
      <c r="D50" s="11">
        <v>25822</v>
      </c>
      <c r="E50" s="11">
        <v>22415</v>
      </c>
      <c r="F50" s="11">
        <v>24489</v>
      </c>
      <c r="G50" s="11">
        <v>24595</v>
      </c>
      <c r="H50" s="11">
        <v>26629</v>
      </c>
      <c r="I50" s="11">
        <v>27292</v>
      </c>
      <c r="J50" s="11">
        <v>27211</v>
      </c>
      <c r="K50" s="11">
        <v>30082</v>
      </c>
      <c r="L50" s="11">
        <v>29584</v>
      </c>
      <c r="M50" s="11">
        <v>30023</v>
      </c>
      <c r="N50" s="11">
        <f t="shared" si="2"/>
        <v>26931.5</v>
      </c>
    </row>
    <row r="51" spans="1:14" x14ac:dyDescent="0.2">
      <c r="A51" s="10" t="s">
        <v>48</v>
      </c>
      <c r="B51" s="11">
        <v>19079</v>
      </c>
      <c r="C51" s="11">
        <v>18961</v>
      </c>
      <c r="D51" s="11">
        <v>18801</v>
      </c>
      <c r="E51" s="11">
        <v>18482</v>
      </c>
      <c r="F51" s="11">
        <v>17593</v>
      </c>
      <c r="G51" s="11">
        <v>17551</v>
      </c>
      <c r="H51" s="11">
        <v>17631</v>
      </c>
      <c r="I51" s="11">
        <v>17790</v>
      </c>
      <c r="J51" s="11">
        <v>18672</v>
      </c>
      <c r="K51" s="11">
        <v>19722</v>
      </c>
      <c r="L51" s="11">
        <v>21136</v>
      </c>
      <c r="M51" s="11">
        <v>22241</v>
      </c>
      <c r="N51" s="11">
        <f t="shared" si="2"/>
        <v>18971.583333333332</v>
      </c>
    </row>
    <row r="52" spans="1:14" x14ac:dyDescent="0.2">
      <c r="A52" s="10" t="s">
        <v>49</v>
      </c>
      <c r="B52" s="11">
        <v>4419</v>
      </c>
      <c r="C52" s="11">
        <v>4354</v>
      </c>
      <c r="D52" s="11">
        <v>4297</v>
      </c>
      <c r="E52" s="11">
        <v>4295</v>
      </c>
      <c r="F52" s="11">
        <v>4265</v>
      </c>
      <c r="G52" s="11">
        <v>4341</v>
      </c>
      <c r="H52" s="11">
        <v>4329</v>
      </c>
      <c r="I52" s="11">
        <v>4405</v>
      </c>
      <c r="J52" s="11">
        <v>4388</v>
      </c>
      <c r="K52" s="11">
        <v>4415</v>
      </c>
      <c r="L52" s="11">
        <v>4445</v>
      </c>
      <c r="M52" s="11">
        <v>4494</v>
      </c>
      <c r="N52" s="11">
        <f t="shared" si="2"/>
        <v>4370.583333333333</v>
      </c>
    </row>
    <row r="53" spans="1:14" x14ac:dyDescent="0.2">
      <c r="A53" s="10" t="s">
        <v>50</v>
      </c>
      <c r="B53" s="11">
        <v>3522</v>
      </c>
      <c r="C53" s="11">
        <v>3544</v>
      </c>
      <c r="D53" s="11">
        <v>3352</v>
      </c>
      <c r="E53" s="11">
        <v>3447</v>
      </c>
      <c r="F53" s="11">
        <v>3616</v>
      </c>
      <c r="G53" s="11">
        <v>3433</v>
      </c>
      <c r="H53" s="11">
        <v>3422</v>
      </c>
      <c r="I53" s="11">
        <v>3574</v>
      </c>
      <c r="J53" s="11">
        <v>3429</v>
      </c>
      <c r="K53" s="11">
        <v>3445</v>
      </c>
      <c r="L53" s="11">
        <v>3429</v>
      </c>
      <c r="M53" s="11">
        <v>3469</v>
      </c>
      <c r="N53" s="11">
        <f t="shared" si="2"/>
        <v>3473.5</v>
      </c>
    </row>
    <row r="54" spans="1:14" x14ac:dyDescent="0.2">
      <c r="A54" s="10" t="s">
        <v>51</v>
      </c>
      <c r="B54" s="11">
        <v>203</v>
      </c>
      <c r="C54" s="11">
        <v>208</v>
      </c>
      <c r="D54" s="11">
        <v>198</v>
      </c>
      <c r="E54" s="11">
        <v>196</v>
      </c>
      <c r="F54" s="11">
        <v>198</v>
      </c>
      <c r="G54" s="11">
        <v>192</v>
      </c>
      <c r="H54" s="11">
        <v>174</v>
      </c>
      <c r="I54" s="11">
        <v>170</v>
      </c>
      <c r="J54" s="11">
        <v>165</v>
      </c>
      <c r="K54" s="11">
        <v>161</v>
      </c>
      <c r="L54" s="11">
        <v>156</v>
      </c>
      <c r="M54" s="11">
        <v>153</v>
      </c>
      <c r="N54" s="11">
        <f t="shared" si="2"/>
        <v>181.16666666666666</v>
      </c>
    </row>
    <row r="55" spans="1:14" x14ac:dyDescent="0.2">
      <c r="A55" s="10" t="s">
        <v>52</v>
      </c>
      <c r="B55" s="11">
        <v>31488</v>
      </c>
      <c r="C55" s="11">
        <v>31149</v>
      </c>
      <c r="D55" s="11">
        <v>30587</v>
      </c>
      <c r="E55" s="11">
        <v>29837</v>
      </c>
      <c r="F55" s="11">
        <v>29977</v>
      </c>
      <c r="G55" s="11">
        <v>29390</v>
      </c>
      <c r="H55" s="11">
        <v>28819</v>
      </c>
      <c r="I55" s="11">
        <v>29175</v>
      </c>
      <c r="J55" s="11">
        <v>29096</v>
      </c>
      <c r="K55" s="11">
        <v>29204</v>
      </c>
      <c r="L55" s="11">
        <v>29356</v>
      </c>
      <c r="M55" s="11">
        <v>29068</v>
      </c>
      <c r="N55" s="11">
        <f t="shared" si="2"/>
        <v>29762.166666666668</v>
      </c>
    </row>
    <row r="56" spans="1:14" x14ac:dyDescent="0.2">
      <c r="A56" s="10" t="s">
        <v>53</v>
      </c>
      <c r="B56" s="11">
        <v>78690</v>
      </c>
      <c r="C56" s="11">
        <v>78908</v>
      </c>
      <c r="D56" s="11">
        <v>80112</v>
      </c>
      <c r="E56" s="11">
        <v>82043</v>
      </c>
      <c r="F56" s="11">
        <v>82620</v>
      </c>
      <c r="G56" s="11">
        <v>83216</v>
      </c>
      <c r="H56" s="11">
        <v>84055</v>
      </c>
      <c r="I56" s="11">
        <v>84610</v>
      </c>
      <c r="J56" s="11">
        <v>84604</v>
      </c>
      <c r="K56" s="11">
        <v>85175</v>
      </c>
      <c r="L56" s="11">
        <v>87578</v>
      </c>
      <c r="M56" s="11">
        <v>88580</v>
      </c>
      <c r="N56" s="11">
        <f t="shared" si="2"/>
        <v>83349.25</v>
      </c>
    </row>
    <row r="57" spans="1:14" x14ac:dyDescent="0.2">
      <c r="A57" s="10" t="s">
        <v>54</v>
      </c>
      <c r="B57" s="11">
        <v>9778</v>
      </c>
      <c r="C57" s="11">
        <v>9704</v>
      </c>
      <c r="D57" s="11">
        <v>9619</v>
      </c>
      <c r="E57" s="11">
        <v>9466</v>
      </c>
      <c r="F57" s="11">
        <v>9342</v>
      </c>
      <c r="G57" s="11">
        <v>9166</v>
      </c>
      <c r="H57" s="11">
        <v>8988</v>
      </c>
      <c r="I57" s="11">
        <v>8830</v>
      </c>
      <c r="J57" s="11">
        <v>8732</v>
      </c>
      <c r="K57" s="11">
        <v>8625</v>
      </c>
      <c r="L57" s="11">
        <v>8808</v>
      </c>
      <c r="M57" s="11">
        <v>9005</v>
      </c>
      <c r="N57" s="11">
        <f t="shared" si="2"/>
        <v>9171.9166666666661</v>
      </c>
    </row>
    <row r="58" spans="1:14" x14ac:dyDescent="0.2">
      <c r="A58" s="10" t="s">
        <v>55</v>
      </c>
      <c r="B58" s="11">
        <v>23731</v>
      </c>
      <c r="C58" s="11">
        <v>23262</v>
      </c>
      <c r="D58" s="11">
        <v>23744</v>
      </c>
      <c r="E58" s="11">
        <v>23651</v>
      </c>
      <c r="F58" s="11">
        <v>23596</v>
      </c>
      <c r="G58" s="11">
        <v>23485</v>
      </c>
      <c r="H58" s="11">
        <v>23499</v>
      </c>
      <c r="I58" s="11">
        <v>23507</v>
      </c>
      <c r="J58" s="11">
        <v>23508</v>
      </c>
      <c r="K58" s="11">
        <v>23419</v>
      </c>
      <c r="L58" s="11">
        <v>23263</v>
      </c>
      <c r="M58" s="11">
        <v>23630</v>
      </c>
      <c r="N58" s="11">
        <f t="shared" si="2"/>
        <v>23524.583333333332</v>
      </c>
    </row>
    <row r="59" spans="1:14" x14ac:dyDescent="0.2">
      <c r="A59" s="19" t="s">
        <v>56</v>
      </c>
      <c r="B59" s="20">
        <v>1117</v>
      </c>
      <c r="C59" s="20">
        <v>1156</v>
      </c>
      <c r="D59" s="20">
        <v>1201</v>
      </c>
      <c r="E59" s="20">
        <v>1191</v>
      </c>
      <c r="F59" s="20">
        <v>1184</v>
      </c>
      <c r="G59" s="20">
        <v>1153</v>
      </c>
      <c r="H59" s="20">
        <v>1199</v>
      </c>
      <c r="I59" s="20">
        <v>1195</v>
      </c>
      <c r="J59" s="20">
        <v>1210</v>
      </c>
      <c r="K59" s="20">
        <v>1197</v>
      </c>
      <c r="L59" s="20">
        <v>1216</v>
      </c>
      <c r="M59" s="20">
        <v>1174</v>
      </c>
      <c r="N59" s="20">
        <f t="shared" si="2"/>
        <v>1182.75</v>
      </c>
    </row>
    <row r="60" spans="1:14" s="6" customFormat="1" x14ac:dyDescent="0.2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</row>
    <row r="61" spans="1:14" x14ac:dyDescent="0.2">
      <c r="A61" s="63" t="s">
        <v>58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</row>
    <row r="62" spans="1:14" x14ac:dyDescent="0.2">
      <c r="A62" s="63" t="str">
        <f>TFam!A62</f>
        <v>Fiscal year average is based on data Oct. 2023 through Sep. 2024</v>
      </c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</row>
    <row r="63" spans="1:14" x14ac:dyDescent="0.2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</row>
  </sheetData>
  <pageMargins left="0.7" right="0.7" top="0.75" bottom="0.75" header="0.3" footer="0.3"/>
  <pageSetup scale="6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63"/>
  <sheetViews>
    <sheetView topLeftCell="A40" workbookViewId="0">
      <selection activeCell="A63" sqref="A63"/>
    </sheetView>
  </sheetViews>
  <sheetFormatPr defaultColWidth="9.21875" defaultRowHeight="10.199999999999999" x14ac:dyDescent="0.2"/>
  <cols>
    <col min="1" max="1" width="14.21875" style="22" bestFit="1" customWidth="1"/>
    <col min="2" max="14" width="10" style="13" customWidth="1"/>
    <col min="15" max="16384" width="9.21875" style="13"/>
  </cols>
  <sheetData>
    <row r="1" spans="1:14" s="1" customFormat="1" ht="15.6" x14ac:dyDescent="0.3">
      <c r="A1" s="68" t="s">
        <v>63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s="2" customFormat="1" ht="13.2" x14ac:dyDescent="0.25">
      <c r="A2" s="65" t="str">
        <f>TFam!$A$2</f>
        <v>Fiscal Year 2024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s="6" customFormat="1" ht="13.5" customHeight="1" x14ac:dyDescent="0.2">
      <c r="A3" s="69">
        <f>TFam!$A$3</f>
        <v>45687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1:14" s="6" customFormat="1" ht="20.399999999999999" x14ac:dyDescent="0.2">
      <c r="A4" s="60" t="s">
        <v>1</v>
      </c>
      <c r="B4" s="61">
        <f>TFam!B4</f>
        <v>45200</v>
      </c>
      <c r="C4" s="61">
        <f>TFam!C4</f>
        <v>45231</v>
      </c>
      <c r="D4" s="61">
        <f>TFam!D4</f>
        <v>45261</v>
      </c>
      <c r="E4" s="61">
        <f>TFam!E4</f>
        <v>45292</v>
      </c>
      <c r="F4" s="61">
        <f>TFam!F4</f>
        <v>45323</v>
      </c>
      <c r="G4" s="61">
        <f>TFam!G4</f>
        <v>45352</v>
      </c>
      <c r="H4" s="61">
        <f>TFam!H4</f>
        <v>45383</v>
      </c>
      <c r="I4" s="61">
        <f>TFam!I4</f>
        <v>45413</v>
      </c>
      <c r="J4" s="61">
        <f>TFam!J4</f>
        <v>45444</v>
      </c>
      <c r="K4" s="61">
        <f>TFam!K4</f>
        <v>45474</v>
      </c>
      <c r="L4" s="61">
        <f>TFam!L4</f>
        <v>45505</v>
      </c>
      <c r="M4" s="61">
        <f>TFam!M4</f>
        <v>45536</v>
      </c>
      <c r="N4" s="62" t="str">
        <f>TFam!N4</f>
        <v>Average
FY 2024</v>
      </c>
    </row>
    <row r="5" spans="1:14" s="9" customFormat="1" x14ac:dyDescent="0.2">
      <c r="A5" s="7" t="s">
        <v>2</v>
      </c>
      <c r="B5" s="8">
        <f>SUM(B6:B59)</f>
        <v>566121</v>
      </c>
      <c r="C5" s="8">
        <f t="shared" ref="C5:M5" si="0">SUM(C6:C59)</f>
        <v>549891</v>
      </c>
      <c r="D5" s="8">
        <f t="shared" si="0"/>
        <v>544359</v>
      </c>
      <c r="E5" s="8">
        <f t="shared" si="0"/>
        <v>545359</v>
      </c>
      <c r="F5" s="8">
        <f t="shared" si="0"/>
        <v>547656</v>
      </c>
      <c r="G5" s="8">
        <f t="shared" si="0"/>
        <v>549318</v>
      </c>
      <c r="H5" s="8">
        <f t="shared" si="0"/>
        <v>550073</v>
      </c>
      <c r="I5" s="8">
        <f t="shared" si="0"/>
        <v>559353</v>
      </c>
      <c r="J5" s="8">
        <f t="shared" si="0"/>
        <v>551890</v>
      </c>
      <c r="K5" s="8">
        <f t="shared" si="0"/>
        <v>583299</v>
      </c>
      <c r="L5" s="8">
        <f t="shared" si="0"/>
        <v>588968</v>
      </c>
      <c r="M5" s="8">
        <f t="shared" si="0"/>
        <v>585207</v>
      </c>
      <c r="N5" s="8">
        <f t="shared" ref="N5:N36" si="1">AVERAGE(B5:M5)</f>
        <v>560124.5</v>
      </c>
    </row>
    <row r="6" spans="1:14" x14ac:dyDescent="0.2">
      <c r="A6" s="10" t="s">
        <v>3</v>
      </c>
      <c r="B6" s="11">
        <v>2360</v>
      </c>
      <c r="C6" s="11">
        <v>2483</v>
      </c>
      <c r="D6" s="11">
        <v>2644</v>
      </c>
      <c r="E6" s="11">
        <v>2592</v>
      </c>
      <c r="F6" s="11">
        <v>2582</v>
      </c>
      <c r="G6" s="11">
        <v>2505</v>
      </c>
      <c r="H6" s="11">
        <v>2464</v>
      </c>
      <c r="I6" s="11">
        <v>2474</v>
      </c>
      <c r="J6" s="11">
        <v>2507</v>
      </c>
      <c r="K6" s="11">
        <v>2639</v>
      </c>
      <c r="L6" s="11">
        <v>2767</v>
      </c>
      <c r="M6" s="11">
        <v>2870</v>
      </c>
      <c r="N6" s="11">
        <f t="shared" si="1"/>
        <v>2573.9166666666665</v>
      </c>
    </row>
    <row r="7" spans="1:14" x14ac:dyDescent="0.2">
      <c r="A7" s="10" t="s">
        <v>4</v>
      </c>
      <c r="B7" s="11">
        <v>872</v>
      </c>
      <c r="C7" s="11">
        <v>862</v>
      </c>
      <c r="D7" s="11">
        <v>937</v>
      </c>
      <c r="E7" s="11">
        <v>1190</v>
      </c>
      <c r="F7" s="11">
        <v>1157</v>
      </c>
      <c r="G7" s="11">
        <v>1074</v>
      </c>
      <c r="H7" s="11">
        <v>1190</v>
      </c>
      <c r="I7" s="11">
        <v>1157</v>
      </c>
      <c r="J7" s="11">
        <v>1074</v>
      </c>
      <c r="K7" s="11">
        <v>1036</v>
      </c>
      <c r="L7" s="11">
        <v>1042</v>
      </c>
      <c r="M7" s="11">
        <v>996</v>
      </c>
      <c r="N7" s="11">
        <f t="shared" si="1"/>
        <v>1048.9166666666667</v>
      </c>
    </row>
    <row r="8" spans="1:14" x14ac:dyDescent="0.2">
      <c r="A8" s="10" t="s">
        <v>5</v>
      </c>
      <c r="B8" s="11">
        <v>1870</v>
      </c>
      <c r="C8" s="11">
        <v>1867</v>
      </c>
      <c r="D8" s="11">
        <v>1942</v>
      </c>
      <c r="E8" s="11">
        <v>1937</v>
      </c>
      <c r="F8" s="11">
        <v>1951</v>
      </c>
      <c r="G8" s="11">
        <v>2022</v>
      </c>
      <c r="H8" s="11">
        <v>2000</v>
      </c>
      <c r="I8" s="11">
        <v>2023</v>
      </c>
      <c r="J8" s="11">
        <v>1996</v>
      </c>
      <c r="K8" s="11">
        <v>1928</v>
      </c>
      <c r="L8" s="11">
        <v>1853</v>
      </c>
      <c r="M8" s="11">
        <v>1785</v>
      </c>
      <c r="N8" s="11">
        <f t="shared" si="1"/>
        <v>1931.1666666666667</v>
      </c>
    </row>
    <row r="9" spans="1:14" x14ac:dyDescent="0.2">
      <c r="A9" s="10" t="s">
        <v>6</v>
      </c>
      <c r="B9" s="11">
        <v>629</v>
      </c>
      <c r="C9" s="11">
        <v>608</v>
      </c>
      <c r="D9" s="11">
        <v>647</v>
      </c>
      <c r="E9" s="11">
        <v>579</v>
      </c>
      <c r="F9" s="11">
        <v>660</v>
      </c>
      <c r="G9" s="11">
        <v>628</v>
      </c>
      <c r="H9" s="11">
        <v>585</v>
      </c>
      <c r="I9" s="11">
        <v>570</v>
      </c>
      <c r="J9" s="11">
        <v>534</v>
      </c>
      <c r="K9" s="11">
        <v>488</v>
      </c>
      <c r="L9" s="11">
        <v>438</v>
      </c>
      <c r="M9" s="11">
        <v>445</v>
      </c>
      <c r="N9" s="11">
        <f t="shared" si="1"/>
        <v>567.58333333333337</v>
      </c>
    </row>
    <row r="10" spans="1:14" x14ac:dyDescent="0.2">
      <c r="A10" s="10" t="s">
        <v>7</v>
      </c>
      <c r="B10" s="11">
        <v>219933</v>
      </c>
      <c r="C10" s="11">
        <v>206846</v>
      </c>
      <c r="D10" s="11">
        <v>200984</v>
      </c>
      <c r="E10" s="11">
        <v>201974</v>
      </c>
      <c r="F10" s="11">
        <v>203136</v>
      </c>
      <c r="G10" s="11">
        <v>203156</v>
      </c>
      <c r="H10" s="11">
        <v>202846</v>
      </c>
      <c r="I10" s="11">
        <v>204462</v>
      </c>
      <c r="J10" s="11">
        <v>197720</v>
      </c>
      <c r="K10" s="11">
        <v>222030</v>
      </c>
      <c r="L10" s="11">
        <v>223759</v>
      </c>
      <c r="M10" s="11">
        <v>217063</v>
      </c>
      <c r="N10" s="11">
        <f t="shared" si="1"/>
        <v>208659.08333333334</v>
      </c>
    </row>
    <row r="11" spans="1:14" x14ac:dyDescent="0.2">
      <c r="A11" s="10" t="s">
        <v>8</v>
      </c>
      <c r="B11" s="11">
        <v>8584</v>
      </c>
      <c r="C11" s="11">
        <v>8158</v>
      </c>
      <c r="D11" s="11">
        <v>8138</v>
      </c>
      <c r="E11" s="11">
        <v>8206</v>
      </c>
      <c r="F11" s="11">
        <v>8170</v>
      </c>
      <c r="G11" s="11">
        <v>8281</v>
      </c>
      <c r="H11" s="11">
        <v>8308</v>
      </c>
      <c r="I11" s="11">
        <v>8365</v>
      </c>
      <c r="J11" s="11">
        <v>8441</v>
      </c>
      <c r="K11" s="11">
        <v>8781</v>
      </c>
      <c r="L11" s="11">
        <v>8999</v>
      </c>
      <c r="M11" s="11">
        <v>9406</v>
      </c>
      <c r="N11" s="11">
        <f t="shared" si="1"/>
        <v>8486.4166666666661</v>
      </c>
    </row>
    <row r="12" spans="1:14" x14ac:dyDescent="0.2">
      <c r="A12" s="10" t="s">
        <v>9</v>
      </c>
      <c r="B12" s="11">
        <v>3411</v>
      </c>
      <c r="C12" s="11">
        <v>3484</v>
      </c>
      <c r="D12" s="11">
        <v>3444</v>
      </c>
      <c r="E12" s="11">
        <v>3418</v>
      </c>
      <c r="F12" s="11">
        <v>3486</v>
      </c>
      <c r="G12" s="11">
        <v>3439</v>
      </c>
      <c r="H12" s="11">
        <v>3435</v>
      </c>
      <c r="I12" s="11">
        <v>3532</v>
      </c>
      <c r="J12" s="11">
        <v>3706</v>
      </c>
      <c r="K12" s="11">
        <v>3803</v>
      </c>
      <c r="L12" s="11">
        <v>3876</v>
      </c>
      <c r="M12" s="11">
        <v>4001</v>
      </c>
      <c r="N12" s="11">
        <f t="shared" si="1"/>
        <v>3586.25</v>
      </c>
    </row>
    <row r="13" spans="1:14" x14ac:dyDescent="0.2">
      <c r="A13" s="10" t="s">
        <v>10</v>
      </c>
      <c r="B13" s="11">
        <v>3119</v>
      </c>
      <c r="C13" s="11">
        <v>3055</v>
      </c>
      <c r="D13" s="11">
        <v>3023</v>
      </c>
      <c r="E13" s="11">
        <v>2970</v>
      </c>
      <c r="F13" s="11">
        <v>2913</v>
      </c>
      <c r="G13" s="11">
        <v>2843</v>
      </c>
      <c r="H13" s="11">
        <v>2808</v>
      </c>
      <c r="I13" s="11">
        <v>2804</v>
      </c>
      <c r="J13" s="11">
        <v>2830</v>
      </c>
      <c r="K13" s="11">
        <v>2837</v>
      </c>
      <c r="L13" s="11">
        <v>2902</v>
      </c>
      <c r="M13" s="11">
        <v>2906</v>
      </c>
      <c r="N13" s="11">
        <f t="shared" si="1"/>
        <v>2917.5</v>
      </c>
    </row>
    <row r="14" spans="1:14" x14ac:dyDescent="0.2">
      <c r="A14" s="10" t="s">
        <v>11</v>
      </c>
      <c r="B14" s="11">
        <v>3944</v>
      </c>
      <c r="C14" s="11">
        <v>3464</v>
      </c>
      <c r="D14" s="11">
        <v>3504</v>
      </c>
      <c r="E14" s="11">
        <v>3363</v>
      </c>
      <c r="F14" s="11">
        <v>3187</v>
      </c>
      <c r="G14" s="11">
        <v>3365</v>
      </c>
      <c r="H14" s="11">
        <v>3289</v>
      </c>
      <c r="I14" s="11">
        <v>3398</v>
      </c>
      <c r="J14" s="11">
        <v>3423</v>
      </c>
      <c r="K14" s="11">
        <v>4527</v>
      </c>
      <c r="L14" s="11">
        <v>4279</v>
      </c>
      <c r="M14" s="11">
        <v>3824</v>
      </c>
      <c r="N14" s="11">
        <f t="shared" si="1"/>
        <v>3630.5833333333335</v>
      </c>
    </row>
    <row r="15" spans="1:14" x14ac:dyDescent="0.2">
      <c r="A15" s="10" t="s">
        <v>12</v>
      </c>
      <c r="B15" s="11">
        <v>26025</v>
      </c>
      <c r="C15" s="11">
        <v>24677</v>
      </c>
      <c r="D15" s="11">
        <v>22754</v>
      </c>
      <c r="E15" s="11">
        <v>21014</v>
      </c>
      <c r="F15" s="11">
        <v>19185</v>
      </c>
      <c r="G15" s="11">
        <v>19166</v>
      </c>
      <c r="H15" s="11">
        <v>19060</v>
      </c>
      <c r="I15" s="11">
        <v>18977</v>
      </c>
      <c r="J15" s="11">
        <v>18893</v>
      </c>
      <c r="K15" s="11">
        <v>18447</v>
      </c>
      <c r="L15" s="11">
        <v>17457</v>
      </c>
      <c r="M15" s="11">
        <v>17442</v>
      </c>
      <c r="N15" s="11">
        <f t="shared" si="1"/>
        <v>20258.083333333332</v>
      </c>
    </row>
    <row r="16" spans="1:14" x14ac:dyDescent="0.2">
      <c r="A16" s="10" t="s">
        <v>13</v>
      </c>
      <c r="B16" s="11">
        <v>217</v>
      </c>
      <c r="C16" s="11">
        <v>197</v>
      </c>
      <c r="D16" s="11">
        <v>192</v>
      </c>
      <c r="E16" s="11">
        <v>181</v>
      </c>
      <c r="F16" s="11">
        <v>159</v>
      </c>
      <c r="G16" s="11">
        <v>148</v>
      </c>
      <c r="H16" s="11">
        <v>133</v>
      </c>
      <c r="I16" s="11">
        <v>140</v>
      </c>
      <c r="J16" s="11">
        <v>126</v>
      </c>
      <c r="K16" s="11">
        <v>149</v>
      </c>
      <c r="L16" s="11">
        <v>155</v>
      </c>
      <c r="M16" s="11">
        <v>159</v>
      </c>
      <c r="N16" s="11">
        <f t="shared" si="1"/>
        <v>163</v>
      </c>
    </row>
    <row r="17" spans="1:14" x14ac:dyDescent="0.2">
      <c r="A17" s="10" t="s">
        <v>14</v>
      </c>
      <c r="B17" s="11">
        <v>54</v>
      </c>
      <c r="C17" s="11">
        <v>55</v>
      </c>
      <c r="D17" s="11">
        <v>58</v>
      </c>
      <c r="E17" s="11">
        <v>60</v>
      </c>
      <c r="F17" s="11">
        <v>67</v>
      </c>
      <c r="G17" s="11">
        <v>63</v>
      </c>
      <c r="H17" s="11">
        <v>69</v>
      </c>
      <c r="I17" s="11">
        <v>72</v>
      </c>
      <c r="J17" s="11">
        <v>76</v>
      </c>
      <c r="K17" s="11">
        <v>82</v>
      </c>
      <c r="L17" s="11">
        <v>76</v>
      </c>
      <c r="M17" s="11">
        <v>83</v>
      </c>
      <c r="N17" s="11">
        <f t="shared" si="1"/>
        <v>67.916666666666671</v>
      </c>
    </row>
    <row r="18" spans="1:14" x14ac:dyDescent="0.2">
      <c r="A18" s="10" t="s">
        <v>15</v>
      </c>
      <c r="B18" s="11">
        <v>2854</v>
      </c>
      <c r="C18" s="11">
        <v>2874</v>
      </c>
      <c r="D18" s="11">
        <v>2698</v>
      </c>
      <c r="E18" s="11">
        <v>2565</v>
      </c>
      <c r="F18" s="11">
        <v>2453</v>
      </c>
      <c r="G18" s="11">
        <v>2286</v>
      </c>
      <c r="H18" s="11">
        <v>2146</v>
      </c>
      <c r="I18" s="11">
        <v>2124</v>
      </c>
      <c r="J18" s="11">
        <v>2072</v>
      </c>
      <c r="K18" s="11">
        <v>2054</v>
      </c>
      <c r="L18" s="11">
        <v>1999</v>
      </c>
      <c r="M18" s="11">
        <v>1986</v>
      </c>
      <c r="N18" s="11">
        <f t="shared" si="1"/>
        <v>2342.5833333333335</v>
      </c>
    </row>
    <row r="19" spans="1:14" x14ac:dyDescent="0.2">
      <c r="A19" s="10" t="s">
        <v>16</v>
      </c>
      <c r="B19" s="11">
        <v>21</v>
      </c>
      <c r="C19" s="11">
        <v>14</v>
      </c>
      <c r="D19" s="11">
        <v>18</v>
      </c>
      <c r="E19" s="11">
        <v>21</v>
      </c>
      <c r="F19" s="11">
        <v>24</v>
      </c>
      <c r="G19" s="11">
        <v>21</v>
      </c>
      <c r="H19" s="11">
        <v>21</v>
      </c>
      <c r="I19" s="11">
        <v>20</v>
      </c>
      <c r="J19" s="11">
        <v>15</v>
      </c>
      <c r="K19" s="11">
        <v>28</v>
      </c>
      <c r="L19" s="11">
        <v>35</v>
      </c>
      <c r="M19" s="11">
        <v>39</v>
      </c>
      <c r="N19" s="11">
        <f t="shared" si="1"/>
        <v>23.083333333333332</v>
      </c>
    </row>
    <row r="20" spans="1:14" x14ac:dyDescent="0.2">
      <c r="A20" s="10" t="s">
        <v>17</v>
      </c>
      <c r="B20" s="11">
        <v>2483</v>
      </c>
      <c r="C20" s="11">
        <v>2415</v>
      </c>
      <c r="D20" s="11">
        <v>2430</v>
      </c>
      <c r="E20" s="11">
        <v>2429</v>
      </c>
      <c r="F20" s="11">
        <v>2443</v>
      </c>
      <c r="G20" s="11">
        <v>2573</v>
      </c>
      <c r="H20" s="11">
        <v>2520</v>
      </c>
      <c r="I20" s="11">
        <v>2486</v>
      </c>
      <c r="J20" s="11">
        <v>2530</v>
      </c>
      <c r="K20" s="11">
        <v>2526</v>
      </c>
      <c r="L20" s="11">
        <v>2675</v>
      </c>
      <c r="M20" s="11">
        <v>2575</v>
      </c>
      <c r="N20" s="11">
        <f t="shared" si="1"/>
        <v>2507.0833333333335</v>
      </c>
    </row>
    <row r="21" spans="1:14" x14ac:dyDescent="0.2">
      <c r="A21" s="10" t="s">
        <v>18</v>
      </c>
      <c r="B21" s="11">
        <v>3354</v>
      </c>
      <c r="C21" s="11">
        <v>3520</v>
      </c>
      <c r="D21" s="11">
        <v>3549</v>
      </c>
      <c r="E21" s="11">
        <v>3542</v>
      </c>
      <c r="F21" s="11">
        <v>3498</v>
      </c>
      <c r="G21" s="11">
        <v>3365</v>
      </c>
      <c r="H21" s="11">
        <v>3168</v>
      </c>
      <c r="I21" s="11">
        <v>3111</v>
      </c>
      <c r="J21" s="11">
        <v>3217</v>
      </c>
      <c r="K21" s="11">
        <v>3268</v>
      </c>
      <c r="L21" s="11">
        <v>3317</v>
      </c>
      <c r="M21" s="11">
        <v>3345</v>
      </c>
      <c r="N21" s="11">
        <f t="shared" si="1"/>
        <v>3354.5</v>
      </c>
    </row>
    <row r="22" spans="1:14" x14ac:dyDescent="0.2">
      <c r="A22" s="10" t="s">
        <v>19</v>
      </c>
      <c r="B22" s="11">
        <v>2432</v>
      </c>
      <c r="C22" s="11">
        <v>2342</v>
      </c>
      <c r="D22" s="11">
        <v>2317</v>
      </c>
      <c r="E22" s="11">
        <v>2303</v>
      </c>
      <c r="F22" s="11">
        <v>2303</v>
      </c>
      <c r="G22" s="11">
        <v>2334</v>
      </c>
      <c r="H22" s="11">
        <v>2349</v>
      </c>
      <c r="I22" s="11">
        <v>2411</v>
      </c>
      <c r="J22" s="11">
        <v>2414</v>
      </c>
      <c r="K22" s="11">
        <v>2442</v>
      </c>
      <c r="L22" s="11">
        <v>2571</v>
      </c>
      <c r="M22" s="11">
        <v>2688</v>
      </c>
      <c r="N22" s="11">
        <f t="shared" si="1"/>
        <v>2408.8333333333335</v>
      </c>
    </row>
    <row r="23" spans="1:14" x14ac:dyDescent="0.2">
      <c r="A23" s="10" t="s">
        <v>20</v>
      </c>
      <c r="B23" s="11">
        <v>1551</v>
      </c>
      <c r="C23" s="11">
        <v>1524</v>
      </c>
      <c r="D23" s="11">
        <v>1524</v>
      </c>
      <c r="E23" s="11">
        <v>1466</v>
      </c>
      <c r="F23" s="11">
        <v>1467</v>
      </c>
      <c r="G23" s="11">
        <v>1461</v>
      </c>
      <c r="H23" s="11">
        <v>1448</v>
      </c>
      <c r="I23" s="11">
        <v>1459</v>
      </c>
      <c r="J23" s="11">
        <v>1486</v>
      </c>
      <c r="K23" s="11">
        <v>1492</v>
      </c>
      <c r="L23" s="11">
        <v>1528</v>
      </c>
      <c r="M23" s="11">
        <v>1517</v>
      </c>
      <c r="N23" s="11">
        <f t="shared" si="1"/>
        <v>1493.5833333333333</v>
      </c>
    </row>
    <row r="24" spans="1:14" x14ac:dyDescent="0.2">
      <c r="A24" s="10" t="s">
        <v>21</v>
      </c>
      <c r="B24" s="11">
        <v>6234</v>
      </c>
      <c r="C24" s="11">
        <v>6286</v>
      </c>
      <c r="D24" s="11">
        <v>6384</v>
      </c>
      <c r="E24" s="11">
        <v>6615</v>
      </c>
      <c r="F24" s="11">
        <v>6989</v>
      </c>
      <c r="G24" s="11">
        <v>7175</v>
      </c>
      <c r="H24" s="11">
        <v>7473</v>
      </c>
      <c r="I24" s="11">
        <v>7822</v>
      </c>
      <c r="J24" s="11">
        <v>8010</v>
      </c>
      <c r="K24" s="11">
        <v>8412</v>
      </c>
      <c r="L24" s="11">
        <v>8782</v>
      </c>
      <c r="M24" s="11">
        <v>8993</v>
      </c>
      <c r="N24" s="11">
        <f t="shared" si="1"/>
        <v>7431.25</v>
      </c>
    </row>
    <row r="25" spans="1:14" x14ac:dyDescent="0.2">
      <c r="A25" s="10" t="s">
        <v>22</v>
      </c>
      <c r="B25" s="11">
        <v>2442</v>
      </c>
      <c r="C25" s="11">
        <v>2464</v>
      </c>
      <c r="D25" s="11">
        <v>2453</v>
      </c>
      <c r="E25" s="11">
        <v>2445</v>
      </c>
      <c r="F25" s="11">
        <v>2404</v>
      </c>
      <c r="G25" s="11">
        <v>2337</v>
      </c>
      <c r="H25" s="11">
        <v>2294</v>
      </c>
      <c r="I25" s="11">
        <v>2309</v>
      </c>
      <c r="J25" s="11">
        <v>2358</v>
      </c>
      <c r="K25" s="11">
        <v>2455</v>
      </c>
      <c r="L25" s="11">
        <v>2563</v>
      </c>
      <c r="M25" s="11">
        <v>2498</v>
      </c>
      <c r="N25" s="11">
        <f t="shared" si="1"/>
        <v>2418.5</v>
      </c>
    </row>
    <row r="26" spans="1:14" x14ac:dyDescent="0.2">
      <c r="A26" s="10" t="s">
        <v>23</v>
      </c>
      <c r="B26" s="11">
        <v>2821</v>
      </c>
      <c r="C26" s="11">
        <v>2758</v>
      </c>
      <c r="D26" s="11">
        <v>2890</v>
      </c>
      <c r="E26" s="11">
        <v>2973</v>
      </c>
      <c r="F26" s="11">
        <v>2990</v>
      </c>
      <c r="G26" s="11">
        <v>3066</v>
      </c>
      <c r="H26" s="11">
        <v>3076</v>
      </c>
      <c r="I26" s="11">
        <v>3092</v>
      </c>
      <c r="J26" s="11">
        <v>3161</v>
      </c>
      <c r="K26" s="11">
        <v>3202</v>
      </c>
      <c r="L26" s="11">
        <v>3184</v>
      </c>
      <c r="M26" s="11">
        <v>3254</v>
      </c>
      <c r="N26" s="11">
        <f t="shared" si="1"/>
        <v>3038.9166666666665</v>
      </c>
    </row>
    <row r="27" spans="1:14" x14ac:dyDescent="0.2">
      <c r="A27" s="10" t="s">
        <v>24</v>
      </c>
      <c r="B27" s="11">
        <v>7321</v>
      </c>
      <c r="C27" s="11">
        <v>8310</v>
      </c>
      <c r="D27" s="11">
        <v>8738</v>
      </c>
      <c r="E27" s="11">
        <v>8298</v>
      </c>
      <c r="F27" s="11">
        <v>8869</v>
      </c>
      <c r="G27" s="11">
        <v>9208</v>
      </c>
      <c r="H27" s="11">
        <v>9795</v>
      </c>
      <c r="I27" s="11">
        <v>14569</v>
      </c>
      <c r="J27" s="11">
        <v>11541</v>
      </c>
      <c r="K27" s="11">
        <v>11701</v>
      </c>
      <c r="L27" s="11">
        <v>11767</v>
      </c>
      <c r="M27" s="11">
        <v>11819</v>
      </c>
      <c r="N27" s="11">
        <f t="shared" si="1"/>
        <v>10161.333333333334</v>
      </c>
    </row>
    <row r="28" spans="1:14" x14ac:dyDescent="0.2">
      <c r="A28" s="10" t="s">
        <v>25</v>
      </c>
      <c r="B28" s="11">
        <v>25848</v>
      </c>
      <c r="C28" s="11">
        <v>26081</v>
      </c>
      <c r="D28" s="11">
        <v>25771</v>
      </c>
      <c r="E28" s="11">
        <v>25570</v>
      </c>
      <c r="F28" s="11">
        <v>25443</v>
      </c>
      <c r="G28" s="11">
        <v>25428</v>
      </c>
      <c r="H28" s="11">
        <v>25357</v>
      </c>
      <c r="I28" s="11">
        <v>25642</v>
      </c>
      <c r="J28" s="11">
        <v>25807</v>
      </c>
      <c r="K28" s="11">
        <v>26384</v>
      </c>
      <c r="L28" s="11">
        <v>27291</v>
      </c>
      <c r="M28" s="11">
        <v>27784</v>
      </c>
      <c r="N28" s="11">
        <f t="shared" si="1"/>
        <v>26033.833333333332</v>
      </c>
    </row>
    <row r="29" spans="1:14" x14ac:dyDescent="0.2">
      <c r="A29" s="10" t="s">
        <v>26</v>
      </c>
      <c r="B29" s="11">
        <v>4687</v>
      </c>
      <c r="C29" s="11">
        <v>4629</v>
      </c>
      <c r="D29" s="11">
        <v>4647</v>
      </c>
      <c r="E29" s="11">
        <v>4742</v>
      </c>
      <c r="F29" s="11">
        <v>4717</v>
      </c>
      <c r="G29" s="11">
        <v>4585</v>
      </c>
      <c r="H29" s="11">
        <v>4258</v>
      </c>
      <c r="I29" s="11">
        <v>4223</v>
      </c>
      <c r="J29" s="11">
        <v>4316</v>
      </c>
      <c r="K29" s="11">
        <v>4452</v>
      </c>
      <c r="L29" s="11">
        <v>4763</v>
      </c>
      <c r="M29" s="11">
        <v>5036</v>
      </c>
      <c r="N29" s="11">
        <f t="shared" si="1"/>
        <v>4587.916666666667</v>
      </c>
    </row>
    <row r="30" spans="1:14" x14ac:dyDescent="0.2">
      <c r="A30" s="10" t="s">
        <v>27</v>
      </c>
      <c r="B30" s="11">
        <v>7895</v>
      </c>
      <c r="C30" s="11">
        <v>7833</v>
      </c>
      <c r="D30" s="11">
        <v>7895</v>
      </c>
      <c r="E30" s="11">
        <v>7897</v>
      </c>
      <c r="F30" s="11">
        <v>7758</v>
      </c>
      <c r="G30" s="11">
        <v>7641</v>
      </c>
      <c r="H30" s="11">
        <v>7578</v>
      </c>
      <c r="I30" s="11">
        <v>7643</v>
      </c>
      <c r="J30" s="11">
        <v>7754</v>
      </c>
      <c r="K30" s="11">
        <v>7754</v>
      </c>
      <c r="L30" s="11">
        <v>7775</v>
      </c>
      <c r="M30" s="11">
        <v>7791</v>
      </c>
      <c r="N30" s="11">
        <f t="shared" si="1"/>
        <v>7767.833333333333</v>
      </c>
    </row>
    <row r="31" spans="1:14" x14ac:dyDescent="0.2">
      <c r="A31" s="10" t="s">
        <v>28</v>
      </c>
      <c r="B31" s="11">
        <v>276</v>
      </c>
      <c r="C31" s="11">
        <v>265</v>
      </c>
      <c r="D31" s="11">
        <v>266</v>
      </c>
      <c r="E31" s="11">
        <v>324</v>
      </c>
      <c r="F31" s="11">
        <v>322</v>
      </c>
      <c r="G31" s="11">
        <v>303</v>
      </c>
      <c r="H31" s="11">
        <v>284</v>
      </c>
      <c r="I31" s="11">
        <v>292</v>
      </c>
      <c r="J31" s="11">
        <v>317</v>
      </c>
      <c r="K31" s="11">
        <v>298</v>
      </c>
      <c r="L31" s="11">
        <v>327</v>
      </c>
      <c r="M31" s="11">
        <v>310</v>
      </c>
      <c r="N31" s="11">
        <f t="shared" si="1"/>
        <v>298.66666666666669</v>
      </c>
    </row>
    <row r="32" spans="1:14" x14ac:dyDescent="0.2">
      <c r="A32" s="10" t="s">
        <v>29</v>
      </c>
      <c r="B32" s="11">
        <v>2295</v>
      </c>
      <c r="C32" s="11">
        <v>2195</v>
      </c>
      <c r="D32" s="11">
        <v>2372</v>
      </c>
      <c r="E32" s="11">
        <v>2380</v>
      </c>
      <c r="F32" s="11">
        <v>2391</v>
      </c>
      <c r="G32" s="11">
        <v>2357</v>
      </c>
      <c r="H32" s="11">
        <v>2342</v>
      </c>
      <c r="I32" s="11">
        <v>2332</v>
      </c>
      <c r="J32" s="11">
        <v>2300</v>
      </c>
      <c r="K32" s="11">
        <v>2432</v>
      </c>
      <c r="L32" s="11">
        <v>2506</v>
      </c>
      <c r="M32" s="11">
        <v>2658</v>
      </c>
      <c r="N32" s="11">
        <f t="shared" si="1"/>
        <v>2380</v>
      </c>
    </row>
    <row r="33" spans="1:14" x14ac:dyDescent="0.2">
      <c r="A33" s="10" t="s">
        <v>30</v>
      </c>
      <c r="B33" s="11">
        <v>687</v>
      </c>
      <c r="C33" s="11">
        <v>661</v>
      </c>
      <c r="D33" s="11">
        <v>633</v>
      </c>
      <c r="E33" s="11">
        <v>645</v>
      </c>
      <c r="F33" s="11">
        <v>664</v>
      </c>
      <c r="G33" s="11">
        <v>632</v>
      </c>
      <c r="H33" s="11">
        <v>620</v>
      </c>
      <c r="I33" s="11">
        <v>647</v>
      </c>
      <c r="J33" s="11">
        <v>646</v>
      </c>
      <c r="K33" s="11">
        <v>666</v>
      </c>
      <c r="L33" s="11">
        <v>659</v>
      </c>
      <c r="M33" s="11">
        <v>630</v>
      </c>
      <c r="N33" s="11">
        <f t="shared" si="1"/>
        <v>649.16666666666663</v>
      </c>
    </row>
    <row r="34" spans="1:14" x14ac:dyDescent="0.2">
      <c r="A34" s="10" t="s">
        <v>31</v>
      </c>
      <c r="B34" s="11">
        <v>675</v>
      </c>
      <c r="C34" s="11">
        <v>653</v>
      </c>
      <c r="D34" s="11">
        <v>675</v>
      </c>
      <c r="E34" s="11">
        <v>714</v>
      </c>
      <c r="F34" s="11">
        <v>754</v>
      </c>
      <c r="G34" s="11">
        <v>722</v>
      </c>
      <c r="H34" s="11">
        <v>704</v>
      </c>
      <c r="I34" s="11">
        <v>698</v>
      </c>
      <c r="J34" s="11">
        <v>716</v>
      </c>
      <c r="K34" s="11">
        <v>710</v>
      </c>
      <c r="L34" s="11">
        <v>701</v>
      </c>
      <c r="M34" s="11">
        <v>752</v>
      </c>
      <c r="N34" s="11">
        <f t="shared" si="1"/>
        <v>706.16666666666663</v>
      </c>
    </row>
    <row r="35" spans="1:14" x14ac:dyDescent="0.2">
      <c r="A35" s="10" t="s">
        <v>32</v>
      </c>
      <c r="B35" s="11">
        <v>3763</v>
      </c>
      <c r="C35" s="11">
        <v>3625</v>
      </c>
      <c r="D35" s="11">
        <v>3491</v>
      </c>
      <c r="E35" s="11">
        <v>3457</v>
      </c>
      <c r="F35" s="11">
        <v>3382</v>
      </c>
      <c r="G35" s="11">
        <v>3358</v>
      </c>
      <c r="H35" s="11">
        <v>3385</v>
      </c>
      <c r="I35" s="11">
        <v>3460</v>
      </c>
      <c r="J35" s="11">
        <v>3579</v>
      </c>
      <c r="K35" s="11">
        <v>3652</v>
      </c>
      <c r="L35" s="11">
        <v>3671</v>
      </c>
      <c r="M35" s="11">
        <v>3769</v>
      </c>
      <c r="N35" s="11">
        <f t="shared" si="1"/>
        <v>3549.3333333333335</v>
      </c>
    </row>
    <row r="36" spans="1:14" x14ac:dyDescent="0.2">
      <c r="A36" s="10" t="s">
        <v>33</v>
      </c>
      <c r="B36" s="11">
        <v>1025</v>
      </c>
      <c r="C36" s="11">
        <v>1044</v>
      </c>
      <c r="D36" s="11">
        <v>1037</v>
      </c>
      <c r="E36" s="11">
        <v>1022</v>
      </c>
      <c r="F36" s="11">
        <v>1022</v>
      </c>
      <c r="G36" s="11">
        <v>1022</v>
      </c>
      <c r="H36" s="11">
        <v>1062</v>
      </c>
      <c r="I36" s="11">
        <v>1067</v>
      </c>
      <c r="J36" s="11">
        <v>1071</v>
      </c>
      <c r="K36" s="11">
        <v>1092</v>
      </c>
      <c r="L36" s="11">
        <v>1102</v>
      </c>
      <c r="M36" s="11">
        <v>1099</v>
      </c>
      <c r="N36" s="11">
        <f t="shared" si="1"/>
        <v>1055.4166666666667</v>
      </c>
    </row>
    <row r="37" spans="1:14" x14ac:dyDescent="0.2">
      <c r="A37" s="10" t="s">
        <v>34</v>
      </c>
      <c r="B37" s="11">
        <v>6694</v>
      </c>
      <c r="C37" s="11">
        <v>6823</v>
      </c>
      <c r="D37" s="11">
        <v>6840</v>
      </c>
      <c r="E37" s="11">
        <v>6815</v>
      </c>
      <c r="F37" s="11">
        <v>6872</v>
      </c>
      <c r="G37" s="11">
        <v>6899</v>
      </c>
      <c r="H37" s="11">
        <v>6802</v>
      </c>
      <c r="I37" s="11">
        <v>6561</v>
      </c>
      <c r="J37" s="11">
        <v>6329</v>
      </c>
      <c r="K37" s="11">
        <v>6389</v>
      </c>
      <c r="L37" s="11">
        <v>6269</v>
      </c>
      <c r="M37" s="11">
        <v>6255</v>
      </c>
      <c r="N37" s="11">
        <f t="shared" ref="N37:N59" si="2">AVERAGE(B37:M37)</f>
        <v>6629</v>
      </c>
    </row>
    <row r="38" spans="1:14" x14ac:dyDescent="0.2">
      <c r="A38" s="10" t="s">
        <v>35</v>
      </c>
      <c r="B38" s="11">
        <v>3742</v>
      </c>
      <c r="C38" s="11">
        <v>3566</v>
      </c>
      <c r="D38" s="11">
        <v>3569</v>
      </c>
      <c r="E38" s="11">
        <v>3781</v>
      </c>
      <c r="F38" s="11">
        <v>4058</v>
      </c>
      <c r="G38" s="11">
        <v>4204</v>
      </c>
      <c r="H38" s="11">
        <v>4296</v>
      </c>
      <c r="I38" s="11">
        <v>4389</v>
      </c>
      <c r="J38" s="11">
        <v>4667</v>
      </c>
      <c r="K38" s="11">
        <v>4868</v>
      </c>
      <c r="L38" s="11">
        <v>5054</v>
      </c>
      <c r="M38" s="11">
        <v>4912</v>
      </c>
      <c r="N38" s="11">
        <f t="shared" si="2"/>
        <v>4258.833333333333</v>
      </c>
    </row>
    <row r="39" spans="1:14" x14ac:dyDescent="0.2">
      <c r="A39" s="10" t="s">
        <v>36</v>
      </c>
      <c r="B39" s="11">
        <v>112003</v>
      </c>
      <c r="C39" s="11">
        <v>110706</v>
      </c>
      <c r="D39" s="11">
        <v>112839</v>
      </c>
      <c r="E39" s="11">
        <v>115124</v>
      </c>
      <c r="F39" s="11">
        <v>117284</v>
      </c>
      <c r="G39" s="11">
        <v>119269</v>
      </c>
      <c r="H39" s="11">
        <v>119785</v>
      </c>
      <c r="I39" s="11">
        <v>121107</v>
      </c>
      <c r="J39" s="11">
        <v>122320</v>
      </c>
      <c r="K39" s="11">
        <v>123690</v>
      </c>
      <c r="L39" s="11">
        <v>124648</v>
      </c>
      <c r="M39" s="11">
        <v>125434</v>
      </c>
      <c r="N39" s="11">
        <f t="shared" si="2"/>
        <v>118684.08333333333</v>
      </c>
    </row>
    <row r="40" spans="1:14" x14ac:dyDescent="0.2">
      <c r="A40" s="10" t="s">
        <v>37</v>
      </c>
      <c r="B40" s="11">
        <v>1484</v>
      </c>
      <c r="C40" s="11">
        <v>1415</v>
      </c>
      <c r="D40" s="11">
        <v>1310</v>
      </c>
      <c r="E40" s="11">
        <v>1234</v>
      </c>
      <c r="F40" s="11">
        <v>1058</v>
      </c>
      <c r="G40" s="11">
        <v>1060</v>
      </c>
      <c r="H40" s="11">
        <v>1225</v>
      </c>
      <c r="I40" s="11">
        <v>1210</v>
      </c>
      <c r="J40" s="11">
        <v>1069</v>
      </c>
      <c r="K40" s="11">
        <v>1196</v>
      </c>
      <c r="L40" s="11">
        <v>1242</v>
      </c>
      <c r="M40" s="11">
        <v>1101</v>
      </c>
      <c r="N40" s="11">
        <f t="shared" si="2"/>
        <v>1217</v>
      </c>
    </row>
    <row r="41" spans="1:14" x14ac:dyDescent="0.2">
      <c r="A41" s="10" t="s">
        <v>38</v>
      </c>
      <c r="B41" s="11">
        <v>231</v>
      </c>
      <c r="C41" s="11">
        <v>242</v>
      </c>
      <c r="D41" s="11">
        <v>238</v>
      </c>
      <c r="E41" s="11">
        <v>255</v>
      </c>
      <c r="F41" s="11">
        <v>251</v>
      </c>
      <c r="G41" s="11">
        <v>261</v>
      </c>
      <c r="H41" s="11">
        <v>277</v>
      </c>
      <c r="I41" s="11">
        <v>270</v>
      </c>
      <c r="J41" s="11">
        <v>292</v>
      </c>
      <c r="K41" s="11">
        <v>316</v>
      </c>
      <c r="L41" s="11">
        <v>335</v>
      </c>
      <c r="M41" s="11">
        <v>336</v>
      </c>
      <c r="N41" s="11">
        <f t="shared" si="2"/>
        <v>275.33333333333331</v>
      </c>
    </row>
    <row r="42" spans="1:14" x14ac:dyDescent="0.2">
      <c r="A42" s="10" t="s">
        <v>39</v>
      </c>
      <c r="B42" s="11">
        <v>7267</v>
      </c>
      <c r="C42" s="11">
        <v>7251</v>
      </c>
      <c r="D42" s="11">
        <v>7244</v>
      </c>
      <c r="E42" s="11">
        <v>7012</v>
      </c>
      <c r="F42" s="11">
        <v>7067</v>
      </c>
      <c r="G42" s="11">
        <v>6919</v>
      </c>
      <c r="H42" s="11">
        <v>6891</v>
      </c>
      <c r="I42" s="11">
        <v>6870</v>
      </c>
      <c r="J42" s="11">
        <v>6604</v>
      </c>
      <c r="K42" s="11">
        <v>6962</v>
      </c>
      <c r="L42" s="11">
        <v>7005</v>
      </c>
      <c r="M42" s="11">
        <v>6985</v>
      </c>
      <c r="N42" s="11">
        <f t="shared" si="2"/>
        <v>7006.416666666667</v>
      </c>
    </row>
    <row r="43" spans="1:14" x14ac:dyDescent="0.2">
      <c r="A43" s="10" t="s">
        <v>40</v>
      </c>
      <c r="B43" s="11">
        <v>807</v>
      </c>
      <c r="C43" s="11">
        <v>838</v>
      </c>
      <c r="D43" s="11">
        <v>813</v>
      </c>
      <c r="E43" s="11">
        <v>785</v>
      </c>
      <c r="F43" s="11">
        <v>793</v>
      </c>
      <c r="G43" s="11">
        <v>770</v>
      </c>
      <c r="H43" s="11">
        <v>753</v>
      </c>
      <c r="I43" s="11">
        <v>782</v>
      </c>
      <c r="J43" s="11">
        <v>768</v>
      </c>
      <c r="K43" s="11">
        <v>786</v>
      </c>
      <c r="L43" s="11">
        <v>828</v>
      </c>
      <c r="M43" s="11">
        <v>837</v>
      </c>
      <c r="N43" s="11">
        <f t="shared" si="2"/>
        <v>796.66666666666663</v>
      </c>
    </row>
    <row r="44" spans="1:14" x14ac:dyDescent="0.2">
      <c r="A44" s="10" t="s">
        <v>41</v>
      </c>
      <c r="B44" s="11">
        <v>11976</v>
      </c>
      <c r="C44" s="11">
        <v>12137</v>
      </c>
      <c r="D44" s="11">
        <v>12167</v>
      </c>
      <c r="E44" s="11">
        <v>12287</v>
      </c>
      <c r="F44" s="11">
        <v>12347</v>
      </c>
      <c r="G44" s="11">
        <v>12298</v>
      </c>
      <c r="H44" s="11">
        <v>12330</v>
      </c>
      <c r="I44" s="11">
        <v>12343</v>
      </c>
      <c r="J44" s="11">
        <v>12223</v>
      </c>
      <c r="K44" s="11">
        <v>12362</v>
      </c>
      <c r="L44" s="11">
        <v>12563</v>
      </c>
      <c r="M44" s="11">
        <v>12567</v>
      </c>
      <c r="N44" s="11">
        <f t="shared" si="2"/>
        <v>12300</v>
      </c>
    </row>
    <row r="45" spans="1:14" x14ac:dyDescent="0.2">
      <c r="A45" s="10" t="s">
        <v>42</v>
      </c>
      <c r="B45" s="11">
        <v>15809</v>
      </c>
      <c r="C45" s="11">
        <v>15585</v>
      </c>
      <c r="D45" s="11">
        <v>15270</v>
      </c>
      <c r="E45" s="11">
        <v>15335</v>
      </c>
      <c r="F45" s="11">
        <v>14767</v>
      </c>
      <c r="G45" s="11">
        <v>14315</v>
      </c>
      <c r="H45" s="11">
        <v>14298</v>
      </c>
      <c r="I45" s="11">
        <v>14278</v>
      </c>
      <c r="J45" s="11">
        <v>14262</v>
      </c>
      <c r="K45" s="11">
        <v>14413</v>
      </c>
      <c r="L45" s="11">
        <v>13972</v>
      </c>
      <c r="M45" s="11">
        <v>13650</v>
      </c>
      <c r="N45" s="11">
        <f t="shared" si="2"/>
        <v>14662.833333333334</v>
      </c>
    </row>
    <row r="46" spans="1:14" x14ac:dyDescent="0.2">
      <c r="A46" s="10" t="s">
        <v>43</v>
      </c>
      <c r="B46" s="11">
        <v>2568</v>
      </c>
      <c r="C46" s="11">
        <v>2662</v>
      </c>
      <c r="D46" s="11">
        <v>2644</v>
      </c>
      <c r="E46" s="11">
        <v>2573</v>
      </c>
      <c r="F46" s="11">
        <v>2484</v>
      </c>
      <c r="G46" s="11">
        <v>2422</v>
      </c>
      <c r="H46" s="11">
        <v>2268</v>
      </c>
      <c r="I46" s="11">
        <v>2233</v>
      </c>
      <c r="J46" s="11">
        <v>2286</v>
      </c>
      <c r="K46" s="11">
        <v>2352</v>
      </c>
      <c r="L46" s="11">
        <v>2539</v>
      </c>
      <c r="M46" s="11">
        <v>2636</v>
      </c>
      <c r="N46" s="11">
        <f t="shared" si="2"/>
        <v>2472.25</v>
      </c>
    </row>
    <row r="47" spans="1:14" x14ac:dyDescent="0.2">
      <c r="A47" s="10" t="s">
        <v>44</v>
      </c>
      <c r="B47" s="11">
        <v>2633</v>
      </c>
      <c r="C47" s="11">
        <v>2656</v>
      </c>
      <c r="D47" s="11">
        <v>2581</v>
      </c>
      <c r="E47" s="11">
        <v>2545</v>
      </c>
      <c r="F47" s="11">
        <v>2545</v>
      </c>
      <c r="G47" s="11">
        <v>2587</v>
      </c>
      <c r="H47" s="11">
        <v>2608</v>
      </c>
      <c r="I47" s="11">
        <v>2637</v>
      </c>
      <c r="J47" s="11">
        <v>2650</v>
      </c>
      <c r="K47" s="11">
        <v>2760</v>
      </c>
      <c r="L47" s="11">
        <v>2906</v>
      </c>
      <c r="M47" s="11">
        <v>2982</v>
      </c>
      <c r="N47" s="11">
        <f t="shared" si="2"/>
        <v>2674.1666666666665</v>
      </c>
    </row>
    <row r="48" spans="1:14" x14ac:dyDescent="0.2">
      <c r="A48" s="10" t="s">
        <v>45</v>
      </c>
      <c r="B48" s="11">
        <v>2386</v>
      </c>
      <c r="C48" s="11">
        <v>2484</v>
      </c>
      <c r="D48" s="11">
        <v>2506</v>
      </c>
      <c r="E48" s="11">
        <v>2461</v>
      </c>
      <c r="F48" s="11">
        <v>2517</v>
      </c>
      <c r="G48" s="11">
        <v>2444</v>
      </c>
      <c r="H48" s="11">
        <v>2364</v>
      </c>
      <c r="I48" s="11">
        <v>2454</v>
      </c>
      <c r="J48" s="11">
        <v>2535</v>
      </c>
      <c r="K48" s="11">
        <v>2509</v>
      </c>
      <c r="L48" s="11">
        <v>2602</v>
      </c>
      <c r="M48" s="11">
        <v>2636</v>
      </c>
      <c r="N48" s="11">
        <f t="shared" si="2"/>
        <v>2491.5</v>
      </c>
    </row>
    <row r="49" spans="1:14" x14ac:dyDescent="0.2">
      <c r="A49" s="10" t="s">
        <v>46</v>
      </c>
      <c r="B49" s="11">
        <v>359</v>
      </c>
      <c r="C49" s="11">
        <v>366</v>
      </c>
      <c r="D49" s="11">
        <v>363</v>
      </c>
      <c r="E49" s="11">
        <v>346</v>
      </c>
      <c r="F49" s="11">
        <v>369</v>
      </c>
      <c r="G49" s="11">
        <v>397</v>
      </c>
      <c r="H49" s="11">
        <v>397</v>
      </c>
      <c r="I49" s="11">
        <v>423</v>
      </c>
      <c r="J49" s="11">
        <v>433</v>
      </c>
      <c r="K49" s="11">
        <v>443</v>
      </c>
      <c r="L49" s="11">
        <v>462</v>
      </c>
      <c r="M49" s="11">
        <v>452</v>
      </c>
      <c r="N49" s="11">
        <f t="shared" si="2"/>
        <v>400.83333333333331</v>
      </c>
    </row>
    <row r="50" spans="1:14" x14ac:dyDescent="0.2">
      <c r="A50" s="10" t="s">
        <v>47</v>
      </c>
      <c r="B50" s="11">
        <v>5704</v>
      </c>
      <c r="C50" s="11">
        <v>5347</v>
      </c>
      <c r="D50" s="11">
        <v>5094</v>
      </c>
      <c r="E50" s="11">
        <v>4668</v>
      </c>
      <c r="F50" s="11">
        <v>5142</v>
      </c>
      <c r="G50" s="11">
        <v>5222</v>
      </c>
      <c r="H50" s="11">
        <v>5749</v>
      </c>
      <c r="I50" s="11">
        <v>5987</v>
      </c>
      <c r="J50" s="11">
        <v>6045</v>
      </c>
      <c r="K50" s="11">
        <v>7011</v>
      </c>
      <c r="L50" s="11">
        <v>6846</v>
      </c>
      <c r="M50" s="11">
        <v>7011</v>
      </c>
      <c r="N50" s="11">
        <f t="shared" si="2"/>
        <v>5818.833333333333</v>
      </c>
    </row>
    <row r="51" spans="1:14" x14ac:dyDescent="0.2">
      <c r="A51" s="10" t="s">
        <v>48</v>
      </c>
      <c r="B51" s="11">
        <v>2537</v>
      </c>
      <c r="C51" s="11">
        <v>2507</v>
      </c>
      <c r="D51" s="11">
        <v>2507</v>
      </c>
      <c r="E51" s="11">
        <v>2471</v>
      </c>
      <c r="F51" s="11">
        <v>2337</v>
      </c>
      <c r="G51" s="11">
        <v>2361</v>
      </c>
      <c r="H51" s="11">
        <v>2415</v>
      </c>
      <c r="I51" s="11">
        <v>2478</v>
      </c>
      <c r="J51" s="11">
        <v>2741</v>
      </c>
      <c r="K51" s="11">
        <v>2997</v>
      </c>
      <c r="L51" s="11">
        <v>3334</v>
      </c>
      <c r="M51" s="11">
        <v>3675</v>
      </c>
      <c r="N51" s="11">
        <f t="shared" si="2"/>
        <v>2696.6666666666665</v>
      </c>
    </row>
    <row r="52" spans="1:14" x14ac:dyDescent="0.2">
      <c r="A52" s="10" t="s">
        <v>49</v>
      </c>
      <c r="B52" s="11">
        <v>1151</v>
      </c>
      <c r="C52" s="11">
        <v>1133</v>
      </c>
      <c r="D52" s="11">
        <v>1112</v>
      </c>
      <c r="E52" s="11">
        <v>1113</v>
      </c>
      <c r="F52" s="11">
        <v>1098</v>
      </c>
      <c r="G52" s="11">
        <v>1124</v>
      </c>
      <c r="H52" s="11">
        <v>1129</v>
      </c>
      <c r="I52" s="11">
        <v>1153</v>
      </c>
      <c r="J52" s="11">
        <v>1163</v>
      </c>
      <c r="K52" s="11">
        <v>1181</v>
      </c>
      <c r="L52" s="11">
        <v>1189</v>
      </c>
      <c r="M52" s="11">
        <v>1193</v>
      </c>
      <c r="N52" s="11">
        <f t="shared" si="2"/>
        <v>1144.9166666666667</v>
      </c>
    </row>
    <row r="53" spans="1:14" x14ac:dyDescent="0.2">
      <c r="A53" s="10" t="s">
        <v>50</v>
      </c>
      <c r="B53" s="11">
        <v>825</v>
      </c>
      <c r="C53" s="11">
        <v>839</v>
      </c>
      <c r="D53" s="11">
        <v>785</v>
      </c>
      <c r="E53" s="11">
        <v>812</v>
      </c>
      <c r="F53" s="11">
        <v>879</v>
      </c>
      <c r="G53" s="11">
        <v>811</v>
      </c>
      <c r="H53" s="11">
        <v>810</v>
      </c>
      <c r="I53" s="11">
        <v>884</v>
      </c>
      <c r="J53" s="11">
        <v>806</v>
      </c>
      <c r="K53" s="11">
        <v>812</v>
      </c>
      <c r="L53" s="11">
        <v>806</v>
      </c>
      <c r="M53" s="11">
        <v>846</v>
      </c>
      <c r="N53" s="11">
        <f t="shared" si="2"/>
        <v>826.25</v>
      </c>
    </row>
    <row r="54" spans="1:14" x14ac:dyDescent="0.2">
      <c r="A54" s="10" t="s">
        <v>51</v>
      </c>
      <c r="B54" s="11">
        <v>59</v>
      </c>
      <c r="C54" s="11">
        <v>61</v>
      </c>
      <c r="D54" s="11">
        <v>57</v>
      </c>
      <c r="E54" s="11">
        <v>56</v>
      </c>
      <c r="F54" s="11">
        <v>57</v>
      </c>
      <c r="G54" s="11">
        <v>55</v>
      </c>
      <c r="H54" s="11">
        <v>53</v>
      </c>
      <c r="I54" s="11">
        <v>51</v>
      </c>
      <c r="J54" s="11">
        <v>50</v>
      </c>
      <c r="K54" s="11">
        <v>51</v>
      </c>
      <c r="L54" s="11">
        <v>49</v>
      </c>
      <c r="M54" s="11">
        <v>49</v>
      </c>
      <c r="N54" s="11">
        <f t="shared" si="2"/>
        <v>54</v>
      </c>
    </row>
    <row r="55" spans="1:14" x14ac:dyDescent="0.2">
      <c r="A55" s="10" t="s">
        <v>52</v>
      </c>
      <c r="B55" s="11">
        <v>7260</v>
      </c>
      <c r="C55" s="11">
        <v>7157</v>
      </c>
      <c r="D55" s="11">
        <v>6997</v>
      </c>
      <c r="E55" s="11">
        <v>6798</v>
      </c>
      <c r="F55" s="11">
        <v>6859</v>
      </c>
      <c r="G55" s="11">
        <v>6670</v>
      </c>
      <c r="H55" s="11">
        <v>6514</v>
      </c>
      <c r="I55" s="11">
        <v>6607</v>
      </c>
      <c r="J55" s="11">
        <v>6623</v>
      </c>
      <c r="K55" s="11">
        <v>6682</v>
      </c>
      <c r="L55" s="11">
        <v>6735</v>
      </c>
      <c r="M55" s="11">
        <v>6668</v>
      </c>
      <c r="N55" s="11">
        <f t="shared" si="2"/>
        <v>6797.5</v>
      </c>
    </row>
    <row r="56" spans="1:14" x14ac:dyDescent="0.2">
      <c r="A56" s="10" t="s">
        <v>53</v>
      </c>
      <c r="B56" s="11">
        <v>25606</v>
      </c>
      <c r="C56" s="11">
        <v>25653</v>
      </c>
      <c r="D56" s="11">
        <v>26058</v>
      </c>
      <c r="E56" s="11">
        <v>26738</v>
      </c>
      <c r="F56" s="11">
        <v>27090</v>
      </c>
      <c r="G56" s="11">
        <v>27429</v>
      </c>
      <c r="H56" s="11">
        <v>27816</v>
      </c>
      <c r="I56" s="11">
        <v>28151</v>
      </c>
      <c r="J56" s="11">
        <v>28209</v>
      </c>
      <c r="K56" s="11">
        <v>28568</v>
      </c>
      <c r="L56" s="11">
        <v>29543</v>
      </c>
      <c r="M56" s="11">
        <v>29968</v>
      </c>
      <c r="N56" s="11">
        <f t="shared" si="2"/>
        <v>27569.083333333332</v>
      </c>
    </row>
    <row r="57" spans="1:14" x14ac:dyDescent="0.2">
      <c r="A57" s="10" t="s">
        <v>54</v>
      </c>
      <c r="B57" s="11">
        <v>1625</v>
      </c>
      <c r="C57" s="11">
        <v>1615</v>
      </c>
      <c r="D57" s="11">
        <v>1562</v>
      </c>
      <c r="E57" s="11">
        <v>1547</v>
      </c>
      <c r="F57" s="11">
        <v>1532</v>
      </c>
      <c r="G57" s="11">
        <v>1534</v>
      </c>
      <c r="H57" s="11">
        <v>1528</v>
      </c>
      <c r="I57" s="11">
        <v>1427</v>
      </c>
      <c r="J57" s="11">
        <v>1436</v>
      </c>
      <c r="K57" s="11">
        <v>1413</v>
      </c>
      <c r="L57" s="11">
        <v>1522</v>
      </c>
      <c r="M57" s="11">
        <v>1654</v>
      </c>
      <c r="N57" s="11">
        <f t="shared" si="2"/>
        <v>1532.9166666666667</v>
      </c>
    </row>
    <row r="58" spans="1:14" x14ac:dyDescent="0.2">
      <c r="A58" s="10" t="s">
        <v>55</v>
      </c>
      <c r="B58" s="11">
        <v>3462</v>
      </c>
      <c r="C58" s="11">
        <v>3333</v>
      </c>
      <c r="D58" s="11">
        <v>3465</v>
      </c>
      <c r="E58" s="11">
        <v>3429</v>
      </c>
      <c r="F58" s="11">
        <v>3422</v>
      </c>
      <c r="G58" s="11">
        <v>3431</v>
      </c>
      <c r="H58" s="11">
        <v>3406</v>
      </c>
      <c r="I58" s="11">
        <v>3386</v>
      </c>
      <c r="J58" s="11">
        <v>3445</v>
      </c>
      <c r="K58" s="11">
        <v>3474</v>
      </c>
      <c r="L58" s="11">
        <v>3395</v>
      </c>
      <c r="M58" s="11">
        <v>3550</v>
      </c>
      <c r="N58" s="11">
        <f t="shared" si="2"/>
        <v>3433.1666666666665</v>
      </c>
    </row>
    <row r="59" spans="1:14" x14ac:dyDescent="0.2">
      <c r="A59" s="19" t="s">
        <v>56</v>
      </c>
      <c r="B59" s="20">
        <v>251</v>
      </c>
      <c r="C59" s="20">
        <v>266</v>
      </c>
      <c r="D59" s="20">
        <v>283</v>
      </c>
      <c r="E59" s="20">
        <v>282</v>
      </c>
      <c r="F59" s="20">
        <v>282</v>
      </c>
      <c r="G59" s="20">
        <v>272</v>
      </c>
      <c r="H59" s="20">
        <v>292</v>
      </c>
      <c r="I59" s="20">
        <v>291</v>
      </c>
      <c r="J59" s="20">
        <v>298</v>
      </c>
      <c r="K59" s="20">
        <v>297</v>
      </c>
      <c r="L59" s="20">
        <v>305</v>
      </c>
      <c r="M59" s="20">
        <v>287</v>
      </c>
      <c r="N59" s="20">
        <f t="shared" si="2"/>
        <v>283.83333333333331</v>
      </c>
    </row>
    <row r="60" spans="1:14" s="6" customFormat="1" x14ac:dyDescent="0.2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</row>
    <row r="61" spans="1:14" x14ac:dyDescent="0.2">
      <c r="A61" s="63" t="s">
        <v>58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</row>
    <row r="62" spans="1:14" x14ac:dyDescent="0.2">
      <c r="A62" s="63" t="str">
        <f>TFam!A62</f>
        <v>Fiscal year average is based on data Oct. 2023 through Sep. 2024</v>
      </c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</row>
    <row r="63" spans="1:14" x14ac:dyDescent="0.2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</row>
  </sheetData>
  <pageMargins left="0.7" right="0.7" top="0.75" bottom="0.75" header="0.3" footer="0.3"/>
  <pageSetup scale="6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63"/>
  <sheetViews>
    <sheetView topLeftCell="A41" workbookViewId="0">
      <selection activeCell="A63" sqref="A63"/>
    </sheetView>
  </sheetViews>
  <sheetFormatPr defaultColWidth="9.21875" defaultRowHeight="10.199999999999999" x14ac:dyDescent="0.2"/>
  <cols>
    <col min="1" max="1" width="14.21875" style="22" bestFit="1" customWidth="1"/>
    <col min="2" max="14" width="10" style="13" customWidth="1"/>
    <col min="15" max="16384" width="9.21875" style="13"/>
  </cols>
  <sheetData>
    <row r="1" spans="1:14" s="1" customFormat="1" ht="15.6" x14ac:dyDescent="0.3">
      <c r="A1" s="68" t="s">
        <v>64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s="2" customFormat="1" ht="13.2" x14ac:dyDescent="0.25">
      <c r="A2" s="65" t="str">
        <f>TFam!$A$2</f>
        <v>Fiscal Year 2024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s="6" customFormat="1" x14ac:dyDescent="0.2">
      <c r="A3" s="69">
        <f>TFam!$A$3</f>
        <v>45687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1:14" s="6" customFormat="1" ht="20.399999999999999" x14ac:dyDescent="0.2">
      <c r="A4" s="60" t="s">
        <v>1</v>
      </c>
      <c r="B4" s="61">
        <f>TFam!B4</f>
        <v>45200</v>
      </c>
      <c r="C4" s="61">
        <f>TFam!C4</f>
        <v>45231</v>
      </c>
      <c r="D4" s="61">
        <f>TFam!D4</f>
        <v>45261</v>
      </c>
      <c r="E4" s="61">
        <f>TFam!E4</f>
        <v>45292</v>
      </c>
      <c r="F4" s="61">
        <f>TFam!F4</f>
        <v>45323</v>
      </c>
      <c r="G4" s="61">
        <f>TFam!G4</f>
        <v>45352</v>
      </c>
      <c r="H4" s="61">
        <f>TFam!H4</f>
        <v>45383</v>
      </c>
      <c r="I4" s="61">
        <f>TFam!I4</f>
        <v>45413</v>
      </c>
      <c r="J4" s="61">
        <f>TFam!J4</f>
        <v>45444</v>
      </c>
      <c r="K4" s="61">
        <f>TFam!K4</f>
        <v>45474</v>
      </c>
      <c r="L4" s="61">
        <f>TFam!L4</f>
        <v>45505</v>
      </c>
      <c r="M4" s="61">
        <f>TFam!M4</f>
        <v>45536</v>
      </c>
      <c r="N4" s="62" t="str">
        <f>TFam!N4</f>
        <v>Average
FY 2024</v>
      </c>
    </row>
    <row r="5" spans="1:14" s="9" customFormat="1" x14ac:dyDescent="0.2">
      <c r="A5" s="7" t="s">
        <v>2</v>
      </c>
      <c r="B5" s="8">
        <f>SUM(B6:B59)</f>
        <v>1534536</v>
      </c>
      <c r="C5" s="8">
        <f t="shared" ref="C5:M5" si="0">SUM(C6:C59)</f>
        <v>1498600</v>
      </c>
      <c r="D5" s="8">
        <f t="shared" si="0"/>
        <v>1477689</v>
      </c>
      <c r="E5" s="8">
        <f t="shared" si="0"/>
        <v>1477933</v>
      </c>
      <c r="F5" s="8">
        <f t="shared" si="0"/>
        <v>1480941</v>
      </c>
      <c r="G5" s="8">
        <f t="shared" si="0"/>
        <v>1479302</v>
      </c>
      <c r="H5" s="8">
        <f t="shared" si="0"/>
        <v>1477017</v>
      </c>
      <c r="I5" s="8">
        <f t="shared" si="0"/>
        <v>1491300</v>
      </c>
      <c r="J5" s="8">
        <f t="shared" si="0"/>
        <v>1465309</v>
      </c>
      <c r="K5" s="8">
        <f t="shared" si="0"/>
        <v>1542140</v>
      </c>
      <c r="L5" s="8">
        <f t="shared" si="0"/>
        <v>1551692</v>
      </c>
      <c r="M5" s="8">
        <f t="shared" si="0"/>
        <v>1533666</v>
      </c>
      <c r="N5" s="8">
        <f t="shared" ref="N5:N36" si="1">AVERAGE(B5:M5)</f>
        <v>1500843.75</v>
      </c>
    </row>
    <row r="6" spans="1:14" x14ac:dyDescent="0.2">
      <c r="A6" s="10" t="s">
        <v>3</v>
      </c>
      <c r="B6" s="11">
        <v>10863</v>
      </c>
      <c r="C6" s="11">
        <v>11166</v>
      </c>
      <c r="D6" s="11">
        <v>11451</v>
      </c>
      <c r="E6" s="11">
        <v>11240</v>
      </c>
      <c r="F6" s="11">
        <v>11169</v>
      </c>
      <c r="G6" s="11">
        <v>10997</v>
      </c>
      <c r="H6" s="11">
        <v>10850</v>
      </c>
      <c r="I6" s="11">
        <v>10841</v>
      </c>
      <c r="J6" s="11">
        <v>10841</v>
      </c>
      <c r="K6" s="11">
        <v>11165</v>
      </c>
      <c r="L6" s="11">
        <v>11487</v>
      </c>
      <c r="M6" s="11">
        <v>11669</v>
      </c>
      <c r="N6" s="11">
        <f t="shared" si="1"/>
        <v>11144.916666666666</v>
      </c>
    </row>
    <row r="7" spans="1:14" x14ac:dyDescent="0.2">
      <c r="A7" s="10" t="s">
        <v>4</v>
      </c>
      <c r="B7" s="11">
        <v>2058</v>
      </c>
      <c r="C7" s="11">
        <v>2078</v>
      </c>
      <c r="D7" s="11">
        <v>2185</v>
      </c>
      <c r="E7" s="11">
        <v>2529</v>
      </c>
      <c r="F7" s="11">
        <v>2505</v>
      </c>
      <c r="G7" s="11">
        <v>2366</v>
      </c>
      <c r="H7" s="11">
        <v>2529</v>
      </c>
      <c r="I7" s="11">
        <v>2505</v>
      </c>
      <c r="J7" s="11">
        <v>2366</v>
      </c>
      <c r="K7" s="11">
        <v>2304</v>
      </c>
      <c r="L7" s="11">
        <v>2296</v>
      </c>
      <c r="M7" s="11">
        <v>2208</v>
      </c>
      <c r="N7" s="11">
        <f t="shared" si="1"/>
        <v>2327.4166666666665</v>
      </c>
    </row>
    <row r="8" spans="1:14" x14ac:dyDescent="0.2">
      <c r="A8" s="10" t="s">
        <v>5</v>
      </c>
      <c r="B8" s="11">
        <v>8719</v>
      </c>
      <c r="C8" s="11">
        <v>8607</v>
      </c>
      <c r="D8" s="11">
        <v>8716</v>
      </c>
      <c r="E8" s="11">
        <v>8681</v>
      </c>
      <c r="F8" s="11">
        <v>8469</v>
      </c>
      <c r="G8" s="11">
        <v>8503</v>
      </c>
      <c r="H8" s="11">
        <v>8310</v>
      </c>
      <c r="I8" s="11">
        <v>8221</v>
      </c>
      <c r="J8" s="11">
        <v>8080</v>
      </c>
      <c r="K8" s="11">
        <v>7878</v>
      </c>
      <c r="L8" s="11">
        <v>7799</v>
      </c>
      <c r="M8" s="11">
        <v>7522</v>
      </c>
      <c r="N8" s="11">
        <f t="shared" si="1"/>
        <v>8292.0833333333339</v>
      </c>
    </row>
    <row r="9" spans="1:14" x14ac:dyDescent="0.2">
      <c r="A9" s="10" t="s">
        <v>6</v>
      </c>
      <c r="B9" s="11">
        <v>1837</v>
      </c>
      <c r="C9" s="11">
        <v>1795</v>
      </c>
      <c r="D9" s="11">
        <v>1834</v>
      </c>
      <c r="E9" s="11">
        <v>1667</v>
      </c>
      <c r="F9" s="11">
        <v>1853</v>
      </c>
      <c r="G9" s="11">
        <v>1738</v>
      </c>
      <c r="H9" s="11">
        <v>1680</v>
      </c>
      <c r="I9" s="11">
        <v>1612</v>
      </c>
      <c r="J9" s="11">
        <v>1512</v>
      </c>
      <c r="K9" s="11">
        <v>1414</v>
      </c>
      <c r="L9" s="11">
        <v>1321</v>
      </c>
      <c r="M9" s="11">
        <v>1303</v>
      </c>
      <c r="N9" s="11">
        <f t="shared" si="1"/>
        <v>1630.5</v>
      </c>
    </row>
    <row r="10" spans="1:14" x14ac:dyDescent="0.2">
      <c r="A10" s="10" t="s">
        <v>7</v>
      </c>
      <c r="B10" s="11">
        <v>592566</v>
      </c>
      <c r="C10" s="11">
        <v>563764</v>
      </c>
      <c r="D10" s="11">
        <v>543142</v>
      </c>
      <c r="E10" s="11">
        <v>546262</v>
      </c>
      <c r="F10" s="11">
        <v>549188</v>
      </c>
      <c r="G10" s="11">
        <v>548702</v>
      </c>
      <c r="H10" s="11">
        <v>547107</v>
      </c>
      <c r="I10" s="11">
        <v>549906</v>
      </c>
      <c r="J10" s="11">
        <v>527581</v>
      </c>
      <c r="K10" s="11">
        <v>593959</v>
      </c>
      <c r="L10" s="11">
        <v>595517</v>
      </c>
      <c r="M10" s="11">
        <v>573612</v>
      </c>
      <c r="N10" s="11">
        <f t="shared" si="1"/>
        <v>560942.16666666663</v>
      </c>
    </row>
    <row r="11" spans="1:14" x14ac:dyDescent="0.2">
      <c r="A11" s="10" t="s">
        <v>8</v>
      </c>
      <c r="B11" s="11">
        <v>22774</v>
      </c>
      <c r="C11" s="11">
        <v>21681</v>
      </c>
      <c r="D11" s="11">
        <v>21637</v>
      </c>
      <c r="E11" s="11">
        <v>21800</v>
      </c>
      <c r="F11" s="11">
        <v>21645</v>
      </c>
      <c r="G11" s="11">
        <v>21668</v>
      </c>
      <c r="H11" s="11">
        <v>21642</v>
      </c>
      <c r="I11" s="11">
        <v>21631</v>
      </c>
      <c r="J11" s="11">
        <v>21559</v>
      </c>
      <c r="K11" s="11">
        <v>22289</v>
      </c>
      <c r="L11" s="11">
        <v>22796</v>
      </c>
      <c r="M11" s="11">
        <v>23793</v>
      </c>
      <c r="N11" s="11">
        <f t="shared" si="1"/>
        <v>22076.25</v>
      </c>
    </row>
    <row r="12" spans="1:14" x14ac:dyDescent="0.2">
      <c r="A12" s="10" t="s">
        <v>9</v>
      </c>
      <c r="B12" s="11">
        <v>8690</v>
      </c>
      <c r="C12" s="11">
        <v>8799</v>
      </c>
      <c r="D12" s="11">
        <v>8723</v>
      </c>
      <c r="E12" s="11">
        <v>8610</v>
      </c>
      <c r="F12" s="11">
        <v>8663</v>
      </c>
      <c r="G12" s="11">
        <v>8542</v>
      </c>
      <c r="H12" s="11">
        <v>8521</v>
      </c>
      <c r="I12" s="11">
        <v>8664</v>
      </c>
      <c r="J12" s="11">
        <v>8954</v>
      </c>
      <c r="K12" s="11">
        <v>9078</v>
      </c>
      <c r="L12" s="11">
        <v>9172</v>
      </c>
      <c r="M12" s="11">
        <v>9302</v>
      </c>
      <c r="N12" s="11">
        <f t="shared" si="1"/>
        <v>8809.8333333333339</v>
      </c>
    </row>
    <row r="13" spans="1:14" x14ac:dyDescent="0.2">
      <c r="A13" s="10" t="s">
        <v>10</v>
      </c>
      <c r="B13" s="11">
        <v>4641</v>
      </c>
      <c r="C13" s="11">
        <v>4521</v>
      </c>
      <c r="D13" s="11">
        <v>4483</v>
      </c>
      <c r="E13" s="11">
        <v>4421</v>
      </c>
      <c r="F13" s="11">
        <v>4320</v>
      </c>
      <c r="G13" s="11">
        <v>4178</v>
      </c>
      <c r="H13" s="11">
        <v>4086</v>
      </c>
      <c r="I13" s="11">
        <v>4061</v>
      </c>
      <c r="J13" s="11">
        <v>4102</v>
      </c>
      <c r="K13" s="11">
        <v>4077</v>
      </c>
      <c r="L13" s="11">
        <v>4201</v>
      </c>
      <c r="M13" s="11">
        <v>4193</v>
      </c>
      <c r="N13" s="11">
        <f t="shared" si="1"/>
        <v>4273.666666666667</v>
      </c>
    </row>
    <row r="14" spans="1:14" x14ac:dyDescent="0.2">
      <c r="A14" s="10" t="s">
        <v>11</v>
      </c>
      <c r="B14" s="11">
        <v>13312</v>
      </c>
      <c r="C14" s="11">
        <v>12229</v>
      </c>
      <c r="D14" s="11">
        <v>12284</v>
      </c>
      <c r="E14" s="11">
        <v>11866</v>
      </c>
      <c r="F14" s="11">
        <v>11394</v>
      </c>
      <c r="G14" s="11">
        <v>11934</v>
      </c>
      <c r="H14" s="11">
        <v>11812</v>
      </c>
      <c r="I14" s="11">
        <v>12127</v>
      </c>
      <c r="J14" s="11">
        <v>12304</v>
      </c>
      <c r="K14" s="11">
        <v>14794</v>
      </c>
      <c r="L14" s="11">
        <v>14037</v>
      </c>
      <c r="M14" s="11">
        <v>12877</v>
      </c>
      <c r="N14" s="11">
        <f t="shared" si="1"/>
        <v>12580.833333333334</v>
      </c>
    </row>
    <row r="15" spans="1:14" x14ac:dyDescent="0.2">
      <c r="A15" s="10" t="s">
        <v>12</v>
      </c>
      <c r="B15" s="11">
        <v>45420</v>
      </c>
      <c r="C15" s="11">
        <v>44312</v>
      </c>
      <c r="D15" s="11">
        <v>43219</v>
      </c>
      <c r="E15" s="11">
        <v>41341</v>
      </c>
      <c r="F15" s="11">
        <v>38605</v>
      </c>
      <c r="G15" s="11">
        <v>38508</v>
      </c>
      <c r="H15" s="11">
        <v>38120</v>
      </c>
      <c r="I15" s="11">
        <v>38081</v>
      </c>
      <c r="J15" s="11">
        <v>37859</v>
      </c>
      <c r="K15" s="11">
        <v>36968</v>
      </c>
      <c r="L15" s="11">
        <v>35849</v>
      </c>
      <c r="M15" s="11">
        <v>36294</v>
      </c>
      <c r="N15" s="11">
        <f t="shared" si="1"/>
        <v>39548</v>
      </c>
    </row>
    <row r="16" spans="1:14" x14ac:dyDescent="0.2">
      <c r="A16" s="10" t="s">
        <v>13</v>
      </c>
      <c r="B16" s="11">
        <v>7697</v>
      </c>
      <c r="C16" s="11">
        <v>7580</v>
      </c>
      <c r="D16" s="11">
        <v>7409</v>
      </c>
      <c r="E16" s="11">
        <v>7272</v>
      </c>
      <c r="F16" s="11">
        <v>7118</v>
      </c>
      <c r="G16" s="11">
        <v>6980</v>
      </c>
      <c r="H16" s="11">
        <v>6819</v>
      </c>
      <c r="I16" s="11">
        <v>6832</v>
      </c>
      <c r="J16" s="11">
        <v>6768</v>
      </c>
      <c r="K16" s="11">
        <v>6712</v>
      </c>
      <c r="L16" s="11">
        <v>6736</v>
      </c>
      <c r="M16" s="11">
        <v>6671</v>
      </c>
      <c r="N16" s="11">
        <f t="shared" si="1"/>
        <v>7049.5</v>
      </c>
    </row>
    <row r="17" spans="1:14" x14ac:dyDescent="0.2">
      <c r="A17" s="10" t="s">
        <v>14</v>
      </c>
      <c r="B17" s="11">
        <v>308</v>
      </c>
      <c r="C17" s="11">
        <v>317</v>
      </c>
      <c r="D17" s="11">
        <v>344</v>
      </c>
      <c r="E17" s="11">
        <v>341</v>
      </c>
      <c r="F17" s="11">
        <v>354</v>
      </c>
      <c r="G17" s="11">
        <v>350</v>
      </c>
      <c r="H17" s="11">
        <v>383</v>
      </c>
      <c r="I17" s="11">
        <v>383</v>
      </c>
      <c r="J17" s="11">
        <v>398</v>
      </c>
      <c r="K17" s="11">
        <v>398</v>
      </c>
      <c r="L17" s="11">
        <v>377</v>
      </c>
      <c r="M17" s="11">
        <v>390</v>
      </c>
      <c r="N17" s="11">
        <f t="shared" si="1"/>
        <v>361.91666666666669</v>
      </c>
    </row>
    <row r="18" spans="1:14" x14ac:dyDescent="0.2">
      <c r="A18" s="10" t="s">
        <v>15</v>
      </c>
      <c r="B18" s="11">
        <v>6352</v>
      </c>
      <c r="C18" s="11">
        <v>6379</v>
      </c>
      <c r="D18" s="11">
        <v>6114</v>
      </c>
      <c r="E18" s="11">
        <v>5827</v>
      </c>
      <c r="F18" s="11">
        <v>5645</v>
      </c>
      <c r="G18" s="11">
        <v>5333</v>
      </c>
      <c r="H18" s="11">
        <v>5121</v>
      </c>
      <c r="I18" s="11">
        <v>5104</v>
      </c>
      <c r="J18" s="11">
        <v>5012</v>
      </c>
      <c r="K18" s="11">
        <v>4965</v>
      </c>
      <c r="L18" s="11">
        <v>4853</v>
      </c>
      <c r="M18" s="11">
        <v>4794</v>
      </c>
      <c r="N18" s="11">
        <f t="shared" si="1"/>
        <v>5458.25</v>
      </c>
    </row>
    <row r="19" spans="1:14" x14ac:dyDescent="0.2">
      <c r="A19" s="10" t="s">
        <v>16</v>
      </c>
      <c r="B19" s="11">
        <v>2023</v>
      </c>
      <c r="C19" s="11">
        <v>1991</v>
      </c>
      <c r="D19" s="11">
        <v>1987</v>
      </c>
      <c r="E19" s="11">
        <v>2034</v>
      </c>
      <c r="F19" s="11">
        <v>2027</v>
      </c>
      <c r="G19" s="11">
        <v>2000</v>
      </c>
      <c r="H19" s="11">
        <v>1991</v>
      </c>
      <c r="I19" s="11">
        <v>1990</v>
      </c>
      <c r="J19" s="11">
        <v>1962</v>
      </c>
      <c r="K19" s="11">
        <v>1994</v>
      </c>
      <c r="L19" s="11">
        <v>2002</v>
      </c>
      <c r="M19" s="11">
        <v>2031</v>
      </c>
      <c r="N19" s="11">
        <f t="shared" si="1"/>
        <v>2002.6666666666667</v>
      </c>
    </row>
    <row r="20" spans="1:14" x14ac:dyDescent="0.2">
      <c r="A20" s="10" t="s">
        <v>17</v>
      </c>
      <c r="B20" s="11">
        <v>17518</v>
      </c>
      <c r="C20" s="11">
        <v>17351</v>
      </c>
      <c r="D20" s="11">
        <v>17524</v>
      </c>
      <c r="E20" s="11">
        <v>17562</v>
      </c>
      <c r="F20" s="11">
        <v>17593</v>
      </c>
      <c r="G20" s="11">
        <v>17851</v>
      </c>
      <c r="H20" s="11">
        <v>17531</v>
      </c>
      <c r="I20" s="11">
        <v>17401</v>
      </c>
      <c r="J20" s="11">
        <v>17515</v>
      </c>
      <c r="K20" s="11">
        <v>17486</v>
      </c>
      <c r="L20" s="11">
        <v>17659</v>
      </c>
      <c r="M20" s="11">
        <v>17185</v>
      </c>
      <c r="N20" s="11">
        <f t="shared" si="1"/>
        <v>17514.666666666668</v>
      </c>
    </row>
    <row r="21" spans="1:14" x14ac:dyDescent="0.2">
      <c r="A21" s="10" t="s">
        <v>18</v>
      </c>
      <c r="B21" s="11">
        <v>9440</v>
      </c>
      <c r="C21" s="11">
        <v>9722</v>
      </c>
      <c r="D21" s="11">
        <v>9882</v>
      </c>
      <c r="E21" s="11">
        <v>9996</v>
      </c>
      <c r="F21" s="11">
        <v>10109</v>
      </c>
      <c r="G21" s="11">
        <v>9791</v>
      </c>
      <c r="H21" s="11">
        <v>9370</v>
      </c>
      <c r="I21" s="11">
        <v>9148</v>
      </c>
      <c r="J21" s="11">
        <v>9313</v>
      </c>
      <c r="K21" s="11">
        <v>9529</v>
      </c>
      <c r="L21" s="11">
        <v>9787</v>
      </c>
      <c r="M21" s="11">
        <v>10078</v>
      </c>
      <c r="N21" s="11">
        <f t="shared" si="1"/>
        <v>9680.4166666666661</v>
      </c>
    </row>
    <row r="22" spans="1:14" x14ac:dyDescent="0.2">
      <c r="A22" s="10" t="s">
        <v>19</v>
      </c>
      <c r="B22" s="11">
        <v>8086</v>
      </c>
      <c r="C22" s="11">
        <v>7933</v>
      </c>
      <c r="D22" s="11">
        <v>7827</v>
      </c>
      <c r="E22" s="11">
        <v>7718</v>
      </c>
      <c r="F22" s="11">
        <v>7644</v>
      </c>
      <c r="G22" s="11">
        <v>7648</v>
      </c>
      <c r="H22" s="11">
        <v>7613</v>
      </c>
      <c r="I22" s="11">
        <v>7747</v>
      </c>
      <c r="J22" s="11">
        <v>7668</v>
      </c>
      <c r="K22" s="11">
        <v>7694</v>
      </c>
      <c r="L22" s="11">
        <v>7910</v>
      </c>
      <c r="M22" s="11">
        <v>8053</v>
      </c>
      <c r="N22" s="11">
        <f t="shared" si="1"/>
        <v>7795.083333333333</v>
      </c>
    </row>
    <row r="23" spans="1:14" x14ac:dyDescent="0.2">
      <c r="A23" s="10" t="s">
        <v>20</v>
      </c>
      <c r="B23" s="11">
        <v>1482</v>
      </c>
      <c r="C23" s="11">
        <v>1479</v>
      </c>
      <c r="D23" s="11">
        <v>1472</v>
      </c>
      <c r="E23" s="11">
        <v>1472</v>
      </c>
      <c r="F23" s="11">
        <v>1450</v>
      </c>
      <c r="G23" s="11">
        <v>1449</v>
      </c>
      <c r="H23" s="11">
        <v>1449</v>
      </c>
      <c r="I23" s="11">
        <v>1453</v>
      </c>
      <c r="J23" s="11">
        <v>1417</v>
      </c>
      <c r="K23" s="11">
        <v>1383</v>
      </c>
      <c r="L23" s="11">
        <v>1383</v>
      </c>
      <c r="M23" s="11">
        <v>1385</v>
      </c>
      <c r="N23" s="11">
        <f t="shared" si="1"/>
        <v>1439.5</v>
      </c>
    </row>
    <row r="24" spans="1:14" x14ac:dyDescent="0.2">
      <c r="A24" s="10" t="s">
        <v>21</v>
      </c>
      <c r="B24" s="11">
        <v>24031</v>
      </c>
      <c r="C24" s="11">
        <v>24287</v>
      </c>
      <c r="D24" s="11">
        <v>24320</v>
      </c>
      <c r="E24" s="11">
        <v>24601</v>
      </c>
      <c r="F24" s="11">
        <v>25220</v>
      </c>
      <c r="G24" s="11">
        <v>25407</v>
      </c>
      <c r="H24" s="11">
        <v>25790</v>
      </c>
      <c r="I24" s="11">
        <v>26517</v>
      </c>
      <c r="J24" s="11">
        <v>26675</v>
      </c>
      <c r="K24" s="11">
        <v>27381</v>
      </c>
      <c r="L24" s="11">
        <v>28156</v>
      </c>
      <c r="M24" s="11">
        <v>29724</v>
      </c>
      <c r="N24" s="11">
        <f t="shared" si="1"/>
        <v>26009.083333333332</v>
      </c>
    </row>
    <row r="25" spans="1:14" x14ac:dyDescent="0.2">
      <c r="A25" s="10" t="s">
        <v>22</v>
      </c>
      <c r="B25" s="11">
        <v>10230</v>
      </c>
      <c r="C25" s="11">
        <v>10358</v>
      </c>
      <c r="D25" s="11">
        <v>10331</v>
      </c>
      <c r="E25" s="11">
        <v>10238</v>
      </c>
      <c r="F25" s="11">
        <v>10159</v>
      </c>
      <c r="G25" s="11">
        <v>9930</v>
      </c>
      <c r="H25" s="11">
        <v>9853</v>
      </c>
      <c r="I25" s="11">
        <v>9932</v>
      </c>
      <c r="J25" s="11">
        <v>10052</v>
      </c>
      <c r="K25" s="11">
        <v>10275</v>
      </c>
      <c r="L25" s="11">
        <v>10483</v>
      </c>
      <c r="M25" s="11">
        <v>10255</v>
      </c>
      <c r="N25" s="11">
        <f t="shared" si="1"/>
        <v>10174.666666666666</v>
      </c>
    </row>
    <row r="26" spans="1:14" x14ac:dyDescent="0.2">
      <c r="A26" s="10" t="s">
        <v>23</v>
      </c>
      <c r="B26" s="11">
        <v>6265</v>
      </c>
      <c r="C26" s="11">
        <v>6094</v>
      </c>
      <c r="D26" s="11">
        <v>6296</v>
      </c>
      <c r="E26" s="11">
        <v>6412</v>
      </c>
      <c r="F26" s="11">
        <v>6330</v>
      </c>
      <c r="G26" s="11">
        <v>6461</v>
      </c>
      <c r="H26" s="11">
        <v>6411</v>
      </c>
      <c r="I26" s="11">
        <v>6472</v>
      </c>
      <c r="J26" s="11">
        <v>6569</v>
      </c>
      <c r="K26" s="11">
        <v>6655</v>
      </c>
      <c r="L26" s="11">
        <v>6614</v>
      </c>
      <c r="M26" s="11">
        <v>6809</v>
      </c>
      <c r="N26" s="11">
        <f t="shared" si="1"/>
        <v>6449</v>
      </c>
    </row>
    <row r="27" spans="1:14" x14ac:dyDescent="0.2">
      <c r="A27" s="10" t="s">
        <v>24</v>
      </c>
      <c r="B27" s="11">
        <v>20484</v>
      </c>
      <c r="C27" s="11">
        <v>21553</v>
      </c>
      <c r="D27" s="11">
        <v>22423</v>
      </c>
      <c r="E27" s="11">
        <v>22335</v>
      </c>
      <c r="F27" s="11">
        <v>23614</v>
      </c>
      <c r="G27" s="11">
        <v>24257</v>
      </c>
      <c r="H27" s="11">
        <v>25493</v>
      </c>
      <c r="I27" s="11">
        <v>32722</v>
      </c>
      <c r="J27" s="11">
        <v>28927</v>
      </c>
      <c r="K27" s="11">
        <v>29301</v>
      </c>
      <c r="L27" s="11">
        <v>29451</v>
      </c>
      <c r="M27" s="11">
        <v>29498</v>
      </c>
      <c r="N27" s="11">
        <f t="shared" si="1"/>
        <v>25838.166666666668</v>
      </c>
    </row>
    <row r="28" spans="1:14" x14ac:dyDescent="0.2">
      <c r="A28" s="10" t="s">
        <v>25</v>
      </c>
      <c r="B28" s="11">
        <v>59722</v>
      </c>
      <c r="C28" s="11">
        <v>60350</v>
      </c>
      <c r="D28" s="11">
        <v>59861</v>
      </c>
      <c r="E28" s="11">
        <v>59782</v>
      </c>
      <c r="F28" s="11">
        <v>59559</v>
      </c>
      <c r="G28" s="11">
        <v>59416</v>
      </c>
      <c r="H28" s="11">
        <v>59301</v>
      </c>
      <c r="I28" s="11">
        <v>59705</v>
      </c>
      <c r="J28" s="11">
        <v>59843</v>
      </c>
      <c r="K28" s="11">
        <v>60492</v>
      </c>
      <c r="L28" s="11">
        <v>61821</v>
      </c>
      <c r="M28" s="11">
        <v>62934</v>
      </c>
      <c r="N28" s="11">
        <f t="shared" si="1"/>
        <v>60232.166666666664</v>
      </c>
    </row>
    <row r="29" spans="1:14" x14ac:dyDescent="0.2">
      <c r="A29" s="10" t="s">
        <v>26</v>
      </c>
      <c r="B29" s="11">
        <v>17330</v>
      </c>
      <c r="C29" s="11">
        <v>17068</v>
      </c>
      <c r="D29" s="11">
        <v>16932</v>
      </c>
      <c r="E29" s="11">
        <v>17089</v>
      </c>
      <c r="F29" s="11">
        <v>16850</v>
      </c>
      <c r="G29" s="11">
        <v>16357</v>
      </c>
      <c r="H29" s="11">
        <v>15618</v>
      </c>
      <c r="I29" s="11">
        <v>15533</v>
      </c>
      <c r="J29" s="11">
        <v>15734</v>
      </c>
      <c r="K29" s="11">
        <v>16189</v>
      </c>
      <c r="L29" s="11">
        <v>17195</v>
      </c>
      <c r="M29" s="11">
        <v>17812</v>
      </c>
      <c r="N29" s="11">
        <f t="shared" si="1"/>
        <v>16642.25</v>
      </c>
    </row>
    <row r="30" spans="1:14" x14ac:dyDescent="0.2">
      <c r="A30" s="10" t="s">
        <v>27</v>
      </c>
      <c r="B30" s="11">
        <v>23698</v>
      </c>
      <c r="C30" s="11">
        <v>23551</v>
      </c>
      <c r="D30" s="11">
        <v>23668</v>
      </c>
      <c r="E30" s="11">
        <v>23701</v>
      </c>
      <c r="F30" s="11">
        <v>23435</v>
      </c>
      <c r="G30" s="11">
        <v>23201</v>
      </c>
      <c r="H30" s="11">
        <v>23084</v>
      </c>
      <c r="I30" s="11">
        <v>23290</v>
      </c>
      <c r="J30" s="11">
        <v>23316</v>
      </c>
      <c r="K30" s="11">
        <v>22954</v>
      </c>
      <c r="L30" s="11">
        <v>22968</v>
      </c>
      <c r="M30" s="11">
        <v>22968</v>
      </c>
      <c r="N30" s="11">
        <f t="shared" si="1"/>
        <v>23319.5</v>
      </c>
    </row>
    <row r="31" spans="1:14" x14ac:dyDescent="0.2">
      <c r="A31" s="10" t="s">
        <v>28</v>
      </c>
      <c r="B31" s="11">
        <v>2149</v>
      </c>
      <c r="C31" s="11">
        <v>2133</v>
      </c>
      <c r="D31" s="11">
        <v>2102</v>
      </c>
      <c r="E31" s="11">
        <v>2359</v>
      </c>
      <c r="F31" s="11">
        <v>2313</v>
      </c>
      <c r="G31" s="11">
        <v>2265</v>
      </c>
      <c r="H31" s="11">
        <v>2214</v>
      </c>
      <c r="I31" s="11">
        <v>2190</v>
      </c>
      <c r="J31" s="11">
        <v>2223</v>
      </c>
      <c r="K31" s="11">
        <v>2200</v>
      </c>
      <c r="L31" s="11">
        <v>2265</v>
      </c>
      <c r="M31" s="11">
        <v>2209</v>
      </c>
      <c r="N31" s="11">
        <f t="shared" si="1"/>
        <v>2218.5</v>
      </c>
    </row>
    <row r="32" spans="1:14" x14ac:dyDescent="0.2">
      <c r="A32" s="10" t="s">
        <v>29</v>
      </c>
      <c r="B32" s="11">
        <v>8893</v>
      </c>
      <c r="C32" s="11">
        <v>8638</v>
      </c>
      <c r="D32" s="11">
        <v>8976</v>
      </c>
      <c r="E32" s="11">
        <v>8869</v>
      </c>
      <c r="F32" s="11">
        <v>8771</v>
      </c>
      <c r="G32" s="11">
        <v>8687</v>
      </c>
      <c r="H32" s="11">
        <v>8664</v>
      </c>
      <c r="I32" s="11">
        <v>8615</v>
      </c>
      <c r="J32" s="11">
        <v>8489</v>
      </c>
      <c r="K32" s="11">
        <v>8760</v>
      </c>
      <c r="L32" s="11">
        <v>8971</v>
      </c>
      <c r="M32" s="11">
        <v>9221</v>
      </c>
      <c r="N32" s="11">
        <f t="shared" si="1"/>
        <v>8796.1666666666661</v>
      </c>
    </row>
    <row r="33" spans="1:14" x14ac:dyDescent="0.2">
      <c r="A33" s="10" t="s">
        <v>30</v>
      </c>
      <c r="B33" s="11">
        <v>3181</v>
      </c>
      <c r="C33" s="11">
        <v>3072</v>
      </c>
      <c r="D33" s="11">
        <v>2995</v>
      </c>
      <c r="E33" s="11">
        <v>2965</v>
      </c>
      <c r="F33" s="11">
        <v>2967</v>
      </c>
      <c r="G33" s="11">
        <v>2895</v>
      </c>
      <c r="H33" s="11">
        <v>2860</v>
      </c>
      <c r="I33" s="11">
        <v>2896</v>
      </c>
      <c r="J33" s="11">
        <v>2863</v>
      </c>
      <c r="K33" s="11">
        <v>2872</v>
      </c>
      <c r="L33" s="11">
        <v>2875</v>
      </c>
      <c r="M33" s="11">
        <v>2826</v>
      </c>
      <c r="N33" s="11">
        <f t="shared" si="1"/>
        <v>2938.9166666666665</v>
      </c>
    </row>
    <row r="34" spans="1:14" x14ac:dyDescent="0.2">
      <c r="A34" s="10" t="s">
        <v>31</v>
      </c>
      <c r="B34" s="11">
        <v>5105</v>
      </c>
      <c r="C34" s="11">
        <v>5077</v>
      </c>
      <c r="D34" s="11">
        <v>5134</v>
      </c>
      <c r="E34" s="11">
        <v>5279</v>
      </c>
      <c r="F34" s="11">
        <v>5319</v>
      </c>
      <c r="G34" s="11">
        <v>5147</v>
      </c>
      <c r="H34" s="11">
        <v>5175</v>
      </c>
      <c r="I34" s="11">
        <v>5204</v>
      </c>
      <c r="J34" s="11">
        <v>5189</v>
      </c>
      <c r="K34" s="11">
        <v>5046</v>
      </c>
      <c r="L34" s="11">
        <v>4995</v>
      </c>
      <c r="M34" s="11">
        <v>4896</v>
      </c>
      <c r="N34" s="11">
        <f t="shared" si="1"/>
        <v>5130.5</v>
      </c>
    </row>
    <row r="35" spans="1:14" x14ac:dyDescent="0.2">
      <c r="A35" s="10" t="s">
        <v>32</v>
      </c>
      <c r="B35" s="11">
        <v>11121</v>
      </c>
      <c r="C35" s="11">
        <v>10760</v>
      </c>
      <c r="D35" s="11">
        <v>10377</v>
      </c>
      <c r="E35" s="11">
        <v>10317</v>
      </c>
      <c r="F35" s="11">
        <v>10097</v>
      </c>
      <c r="G35" s="11">
        <v>9923</v>
      </c>
      <c r="H35" s="11">
        <v>9907</v>
      </c>
      <c r="I35" s="11">
        <v>10044</v>
      </c>
      <c r="J35" s="11">
        <v>10082</v>
      </c>
      <c r="K35" s="11">
        <v>10103</v>
      </c>
      <c r="L35" s="11">
        <v>10228</v>
      </c>
      <c r="M35" s="11">
        <v>10429</v>
      </c>
      <c r="N35" s="11">
        <f t="shared" si="1"/>
        <v>10282.333333333334</v>
      </c>
    </row>
    <row r="36" spans="1:14" x14ac:dyDescent="0.2">
      <c r="A36" s="10" t="s">
        <v>33</v>
      </c>
      <c r="B36" s="11">
        <v>4046</v>
      </c>
      <c r="C36" s="11">
        <v>4079</v>
      </c>
      <c r="D36" s="11">
        <v>4050</v>
      </c>
      <c r="E36" s="11">
        <v>4039</v>
      </c>
      <c r="F36" s="11">
        <v>3993</v>
      </c>
      <c r="G36" s="11">
        <v>3977</v>
      </c>
      <c r="H36" s="11">
        <v>4005</v>
      </c>
      <c r="I36" s="11">
        <v>3998</v>
      </c>
      <c r="J36" s="11">
        <v>3980</v>
      </c>
      <c r="K36" s="11">
        <v>3999</v>
      </c>
      <c r="L36" s="11">
        <v>4025</v>
      </c>
      <c r="M36" s="11">
        <v>4009</v>
      </c>
      <c r="N36" s="11">
        <f t="shared" si="1"/>
        <v>4016.6666666666665</v>
      </c>
    </row>
    <row r="37" spans="1:14" x14ac:dyDescent="0.2">
      <c r="A37" s="10" t="s">
        <v>34</v>
      </c>
      <c r="B37" s="11">
        <v>16130</v>
      </c>
      <c r="C37" s="11">
        <v>16370</v>
      </c>
      <c r="D37" s="11">
        <v>16299</v>
      </c>
      <c r="E37" s="11">
        <v>16255</v>
      </c>
      <c r="F37" s="11">
        <v>16364</v>
      </c>
      <c r="G37" s="11">
        <v>16293</v>
      </c>
      <c r="H37" s="11">
        <v>16101</v>
      </c>
      <c r="I37" s="11">
        <v>16061</v>
      </c>
      <c r="J37" s="11">
        <v>16029</v>
      </c>
      <c r="K37" s="11">
        <v>16193</v>
      </c>
      <c r="L37" s="11">
        <v>16186</v>
      </c>
      <c r="M37" s="11">
        <v>16093</v>
      </c>
      <c r="N37" s="11">
        <f t="shared" ref="N37:N59" si="2">AVERAGE(B37:M37)</f>
        <v>16197.833333333334</v>
      </c>
    </row>
    <row r="38" spans="1:14" x14ac:dyDescent="0.2">
      <c r="A38" s="10" t="s">
        <v>35</v>
      </c>
      <c r="B38" s="11">
        <v>12118</v>
      </c>
      <c r="C38" s="11">
        <v>11644</v>
      </c>
      <c r="D38" s="11">
        <v>11633</v>
      </c>
      <c r="E38" s="11">
        <v>12119</v>
      </c>
      <c r="F38" s="11">
        <v>12542</v>
      </c>
      <c r="G38" s="11">
        <v>12684</v>
      </c>
      <c r="H38" s="11">
        <v>12896</v>
      </c>
      <c r="I38" s="11">
        <v>13051</v>
      </c>
      <c r="J38" s="11">
        <v>13545</v>
      </c>
      <c r="K38" s="11">
        <v>13968</v>
      </c>
      <c r="L38" s="11">
        <v>14314</v>
      </c>
      <c r="M38" s="11">
        <v>14152</v>
      </c>
      <c r="N38" s="11">
        <f t="shared" si="2"/>
        <v>12888.833333333334</v>
      </c>
    </row>
    <row r="39" spans="1:14" x14ac:dyDescent="0.2">
      <c r="A39" s="10" t="s">
        <v>36</v>
      </c>
      <c r="B39" s="11">
        <v>205693</v>
      </c>
      <c r="C39" s="11">
        <v>203607</v>
      </c>
      <c r="D39" s="11">
        <v>205922</v>
      </c>
      <c r="E39" s="11">
        <v>209512</v>
      </c>
      <c r="F39" s="11">
        <v>212801</v>
      </c>
      <c r="G39" s="11">
        <v>215490</v>
      </c>
      <c r="H39" s="11">
        <v>215863</v>
      </c>
      <c r="I39" s="11">
        <v>217588</v>
      </c>
      <c r="J39" s="11">
        <v>218880</v>
      </c>
      <c r="K39" s="11">
        <v>220063</v>
      </c>
      <c r="L39" s="11">
        <v>220913</v>
      </c>
      <c r="M39" s="11">
        <v>221599</v>
      </c>
      <c r="N39" s="11">
        <f t="shared" si="2"/>
        <v>213994.25</v>
      </c>
    </row>
    <row r="40" spans="1:14" x14ac:dyDescent="0.2">
      <c r="A40" s="10" t="s">
        <v>37</v>
      </c>
      <c r="B40" s="11">
        <v>12331</v>
      </c>
      <c r="C40" s="11">
        <v>12044</v>
      </c>
      <c r="D40" s="11">
        <v>11740</v>
      </c>
      <c r="E40" s="11">
        <v>11298</v>
      </c>
      <c r="F40" s="11">
        <v>10860</v>
      </c>
      <c r="G40" s="11">
        <v>10776</v>
      </c>
      <c r="H40" s="11">
        <v>10897</v>
      </c>
      <c r="I40" s="11">
        <v>10849</v>
      </c>
      <c r="J40" s="11">
        <v>10509</v>
      </c>
      <c r="K40" s="11">
        <v>10619</v>
      </c>
      <c r="L40" s="11">
        <v>10584</v>
      </c>
      <c r="M40" s="11">
        <v>10203</v>
      </c>
      <c r="N40" s="11">
        <f t="shared" si="2"/>
        <v>11059.166666666666</v>
      </c>
    </row>
    <row r="41" spans="1:14" x14ac:dyDescent="0.2">
      <c r="A41" s="10" t="s">
        <v>38</v>
      </c>
      <c r="B41" s="11">
        <v>1245</v>
      </c>
      <c r="C41" s="11">
        <v>1258</v>
      </c>
      <c r="D41" s="11">
        <v>1222</v>
      </c>
      <c r="E41" s="11">
        <v>1274</v>
      </c>
      <c r="F41" s="11">
        <v>1239</v>
      </c>
      <c r="G41" s="11">
        <v>1261</v>
      </c>
      <c r="H41" s="11">
        <v>1281</v>
      </c>
      <c r="I41" s="11">
        <v>1274</v>
      </c>
      <c r="J41" s="11">
        <v>1354</v>
      </c>
      <c r="K41" s="11">
        <v>1384</v>
      </c>
      <c r="L41" s="11">
        <v>1440</v>
      </c>
      <c r="M41" s="11">
        <v>1410</v>
      </c>
      <c r="N41" s="11">
        <f t="shared" si="2"/>
        <v>1303.5</v>
      </c>
    </row>
    <row r="42" spans="1:14" x14ac:dyDescent="0.2">
      <c r="A42" s="10" t="s">
        <v>39</v>
      </c>
      <c r="B42" s="11">
        <v>64912</v>
      </c>
      <c r="C42" s="11">
        <v>64511</v>
      </c>
      <c r="D42" s="11">
        <v>64344</v>
      </c>
      <c r="E42" s="11">
        <v>63143</v>
      </c>
      <c r="F42" s="11">
        <v>63072</v>
      </c>
      <c r="G42" s="11">
        <v>62661</v>
      </c>
      <c r="H42" s="11">
        <v>62689</v>
      </c>
      <c r="I42" s="11">
        <v>62581</v>
      </c>
      <c r="J42" s="11">
        <v>61551</v>
      </c>
      <c r="K42" s="11">
        <v>62154</v>
      </c>
      <c r="L42" s="11">
        <v>62399</v>
      </c>
      <c r="M42" s="11">
        <v>62183</v>
      </c>
      <c r="N42" s="11">
        <f t="shared" si="2"/>
        <v>63016.666666666664</v>
      </c>
    </row>
    <row r="43" spans="1:14" x14ac:dyDescent="0.2">
      <c r="A43" s="10" t="s">
        <v>40</v>
      </c>
      <c r="B43" s="11">
        <v>6883</v>
      </c>
      <c r="C43" s="11">
        <v>6927</v>
      </c>
      <c r="D43" s="11">
        <v>6806</v>
      </c>
      <c r="E43" s="11">
        <v>6687</v>
      </c>
      <c r="F43" s="11">
        <v>6679</v>
      </c>
      <c r="G43" s="11">
        <v>6663</v>
      </c>
      <c r="H43" s="11">
        <v>6345</v>
      </c>
      <c r="I43" s="11">
        <v>6203</v>
      </c>
      <c r="J43" s="11">
        <v>5999</v>
      </c>
      <c r="K43" s="11">
        <v>6104</v>
      </c>
      <c r="L43" s="11">
        <v>6156</v>
      </c>
      <c r="M43" s="11">
        <v>5769</v>
      </c>
      <c r="N43" s="11">
        <f t="shared" si="2"/>
        <v>6435.083333333333</v>
      </c>
    </row>
    <row r="44" spans="1:14" x14ac:dyDescent="0.2">
      <c r="A44" s="10" t="s">
        <v>41</v>
      </c>
      <c r="B44" s="11">
        <v>28999</v>
      </c>
      <c r="C44" s="11">
        <v>29072</v>
      </c>
      <c r="D44" s="11">
        <v>29053</v>
      </c>
      <c r="E44" s="11">
        <v>29379</v>
      </c>
      <c r="F44" s="11">
        <v>29589</v>
      </c>
      <c r="G44" s="11">
        <v>29466</v>
      </c>
      <c r="H44" s="11">
        <v>29535</v>
      </c>
      <c r="I44" s="11">
        <v>29461</v>
      </c>
      <c r="J44" s="11">
        <v>29319</v>
      </c>
      <c r="K44" s="11">
        <v>29577</v>
      </c>
      <c r="L44" s="11">
        <v>30099</v>
      </c>
      <c r="M44" s="11">
        <v>29796</v>
      </c>
      <c r="N44" s="11">
        <f t="shared" si="2"/>
        <v>29445.416666666668</v>
      </c>
    </row>
    <row r="45" spans="1:14" x14ac:dyDescent="0.2">
      <c r="A45" s="10" t="s">
        <v>42</v>
      </c>
      <c r="B45" s="11">
        <v>49082</v>
      </c>
      <c r="C45" s="11">
        <v>48279</v>
      </c>
      <c r="D45" s="11">
        <v>47562</v>
      </c>
      <c r="E45" s="11">
        <v>47400</v>
      </c>
      <c r="F45" s="11">
        <v>46081</v>
      </c>
      <c r="G45" s="11">
        <v>45035</v>
      </c>
      <c r="H45" s="11">
        <v>44629</v>
      </c>
      <c r="I45" s="11">
        <v>44436</v>
      </c>
      <c r="J45" s="11">
        <v>43617</v>
      </c>
      <c r="K45" s="11">
        <v>43481</v>
      </c>
      <c r="L45" s="11">
        <v>42977</v>
      </c>
      <c r="M45" s="11">
        <v>42233</v>
      </c>
      <c r="N45" s="11">
        <f t="shared" si="2"/>
        <v>45401</v>
      </c>
    </row>
    <row r="46" spans="1:14" x14ac:dyDescent="0.2">
      <c r="A46" s="10" t="s">
        <v>43</v>
      </c>
      <c r="B46" s="11">
        <v>4364</v>
      </c>
      <c r="C46" s="11">
        <v>4509</v>
      </c>
      <c r="D46" s="11">
        <v>4413</v>
      </c>
      <c r="E46" s="11">
        <v>4283</v>
      </c>
      <c r="F46" s="11">
        <v>4177</v>
      </c>
      <c r="G46" s="11">
        <v>4048</v>
      </c>
      <c r="H46" s="11">
        <v>3800</v>
      </c>
      <c r="I46" s="11">
        <v>3764</v>
      </c>
      <c r="J46" s="11">
        <v>3869</v>
      </c>
      <c r="K46" s="11">
        <v>3996</v>
      </c>
      <c r="L46" s="11">
        <v>4324</v>
      </c>
      <c r="M46" s="11">
        <v>4472</v>
      </c>
      <c r="N46" s="11">
        <f t="shared" si="2"/>
        <v>4168.25</v>
      </c>
    </row>
    <row r="47" spans="1:14" x14ac:dyDescent="0.2">
      <c r="A47" s="10" t="s">
        <v>44</v>
      </c>
      <c r="B47" s="11">
        <v>6154</v>
      </c>
      <c r="C47" s="11">
        <v>6180</v>
      </c>
      <c r="D47" s="11">
        <v>6053</v>
      </c>
      <c r="E47" s="11">
        <v>5984</v>
      </c>
      <c r="F47" s="11">
        <v>5906</v>
      </c>
      <c r="G47" s="11">
        <v>5961</v>
      </c>
      <c r="H47" s="11">
        <v>5926</v>
      </c>
      <c r="I47" s="11">
        <v>6037</v>
      </c>
      <c r="J47" s="11">
        <v>6076</v>
      </c>
      <c r="K47" s="11">
        <v>6179</v>
      </c>
      <c r="L47" s="11">
        <v>6451</v>
      </c>
      <c r="M47" s="11">
        <v>6528</v>
      </c>
      <c r="N47" s="11">
        <f t="shared" si="2"/>
        <v>6119.583333333333</v>
      </c>
    </row>
    <row r="48" spans="1:14" x14ac:dyDescent="0.2">
      <c r="A48" s="10" t="s">
        <v>45</v>
      </c>
      <c r="B48" s="11">
        <v>10342</v>
      </c>
      <c r="C48" s="11">
        <v>10614</v>
      </c>
      <c r="D48" s="11">
        <v>10581</v>
      </c>
      <c r="E48" s="11">
        <v>10389</v>
      </c>
      <c r="F48" s="11">
        <v>10556</v>
      </c>
      <c r="G48" s="11">
        <v>10319</v>
      </c>
      <c r="H48" s="11">
        <v>10141</v>
      </c>
      <c r="I48" s="11">
        <v>10399</v>
      </c>
      <c r="J48" s="11">
        <v>10589</v>
      </c>
      <c r="K48" s="11">
        <v>10479</v>
      </c>
      <c r="L48" s="11">
        <v>10650</v>
      </c>
      <c r="M48" s="11">
        <v>10706</v>
      </c>
      <c r="N48" s="11">
        <f t="shared" si="2"/>
        <v>10480.416666666666</v>
      </c>
    </row>
    <row r="49" spans="1:14" x14ac:dyDescent="0.2">
      <c r="A49" s="10" t="s">
        <v>46</v>
      </c>
      <c r="B49" s="11">
        <v>4591</v>
      </c>
      <c r="C49" s="11">
        <v>4594</v>
      </c>
      <c r="D49" s="11">
        <v>4550</v>
      </c>
      <c r="E49" s="11">
        <v>4476</v>
      </c>
      <c r="F49" s="11">
        <v>4515</v>
      </c>
      <c r="G49" s="11">
        <v>4571</v>
      </c>
      <c r="H49" s="11">
        <v>4572</v>
      </c>
      <c r="I49" s="11">
        <v>4638</v>
      </c>
      <c r="J49" s="11">
        <v>4620</v>
      </c>
      <c r="K49" s="11">
        <v>4670</v>
      </c>
      <c r="L49" s="11">
        <v>4723</v>
      </c>
      <c r="M49" s="11">
        <v>4636</v>
      </c>
      <c r="N49" s="11">
        <f t="shared" si="2"/>
        <v>4596.333333333333</v>
      </c>
    </row>
    <row r="50" spans="1:14" x14ac:dyDescent="0.2">
      <c r="A50" s="10" t="s">
        <v>47</v>
      </c>
      <c r="B50" s="11">
        <v>22400</v>
      </c>
      <c r="C50" s="11">
        <v>21585</v>
      </c>
      <c r="D50" s="11">
        <v>20728</v>
      </c>
      <c r="E50" s="11">
        <v>17747</v>
      </c>
      <c r="F50" s="11">
        <v>19347</v>
      </c>
      <c r="G50" s="11">
        <v>19373</v>
      </c>
      <c r="H50" s="11">
        <v>20880</v>
      </c>
      <c r="I50" s="11">
        <v>21305</v>
      </c>
      <c r="J50" s="11">
        <v>21166</v>
      </c>
      <c r="K50" s="11">
        <v>23071</v>
      </c>
      <c r="L50" s="11">
        <v>22738</v>
      </c>
      <c r="M50" s="11">
        <v>23012</v>
      </c>
      <c r="N50" s="11">
        <f t="shared" si="2"/>
        <v>21112.666666666668</v>
      </c>
    </row>
    <row r="51" spans="1:14" x14ac:dyDescent="0.2">
      <c r="A51" s="10" t="s">
        <v>48</v>
      </c>
      <c r="B51" s="11">
        <v>16542</v>
      </c>
      <c r="C51" s="11">
        <v>16454</v>
      </c>
      <c r="D51" s="11">
        <v>16294</v>
      </c>
      <c r="E51" s="11">
        <v>16011</v>
      </c>
      <c r="F51" s="11">
        <v>15256</v>
      </c>
      <c r="G51" s="11">
        <v>15190</v>
      </c>
      <c r="H51" s="11">
        <v>15216</v>
      </c>
      <c r="I51" s="11">
        <v>15312</v>
      </c>
      <c r="J51" s="11">
        <v>15931</v>
      </c>
      <c r="K51" s="11">
        <v>16725</v>
      </c>
      <c r="L51" s="11">
        <v>17802</v>
      </c>
      <c r="M51" s="11">
        <v>18566</v>
      </c>
      <c r="N51" s="11">
        <f t="shared" si="2"/>
        <v>16274.916666666666</v>
      </c>
    </row>
    <row r="52" spans="1:14" x14ac:dyDescent="0.2">
      <c r="A52" s="10" t="s">
        <v>49</v>
      </c>
      <c r="B52" s="11">
        <v>3268</v>
      </c>
      <c r="C52" s="11">
        <v>3221</v>
      </c>
      <c r="D52" s="11">
        <v>3185</v>
      </c>
      <c r="E52" s="11">
        <v>3182</v>
      </c>
      <c r="F52" s="11">
        <v>3167</v>
      </c>
      <c r="G52" s="11">
        <v>3217</v>
      </c>
      <c r="H52" s="11">
        <v>3200</v>
      </c>
      <c r="I52" s="11">
        <v>3252</v>
      </c>
      <c r="J52" s="11">
        <v>3225</v>
      </c>
      <c r="K52" s="11">
        <v>3234</v>
      </c>
      <c r="L52" s="11">
        <v>3256</v>
      </c>
      <c r="M52" s="11">
        <v>3301</v>
      </c>
      <c r="N52" s="11">
        <f t="shared" si="2"/>
        <v>3225.6666666666665</v>
      </c>
    </row>
    <row r="53" spans="1:14" x14ac:dyDescent="0.2">
      <c r="A53" s="10" t="s">
        <v>50</v>
      </c>
      <c r="B53" s="11">
        <v>2697</v>
      </c>
      <c r="C53" s="11">
        <v>2705</v>
      </c>
      <c r="D53" s="11">
        <v>2567</v>
      </c>
      <c r="E53" s="11">
        <v>2635</v>
      </c>
      <c r="F53" s="11">
        <v>2737</v>
      </c>
      <c r="G53" s="11">
        <v>2622</v>
      </c>
      <c r="H53" s="11">
        <v>2612</v>
      </c>
      <c r="I53" s="11">
        <v>2690</v>
      </c>
      <c r="J53" s="11">
        <v>2623</v>
      </c>
      <c r="K53" s="11">
        <v>2633</v>
      </c>
      <c r="L53" s="11">
        <v>2623</v>
      </c>
      <c r="M53" s="11">
        <v>2623</v>
      </c>
      <c r="N53" s="11">
        <f t="shared" si="2"/>
        <v>2647.25</v>
      </c>
    </row>
    <row r="54" spans="1:14" x14ac:dyDescent="0.2">
      <c r="A54" s="10" t="s">
        <v>51</v>
      </c>
      <c r="B54" s="11">
        <v>144</v>
      </c>
      <c r="C54" s="11">
        <v>147</v>
      </c>
      <c r="D54" s="11">
        <v>141</v>
      </c>
      <c r="E54" s="11">
        <v>140</v>
      </c>
      <c r="F54" s="11">
        <v>141</v>
      </c>
      <c r="G54" s="11">
        <v>137</v>
      </c>
      <c r="H54" s="11">
        <v>121</v>
      </c>
      <c r="I54" s="11">
        <v>119</v>
      </c>
      <c r="J54" s="11">
        <v>115</v>
      </c>
      <c r="K54" s="11">
        <v>110</v>
      </c>
      <c r="L54" s="11">
        <v>107</v>
      </c>
      <c r="M54" s="11">
        <v>104</v>
      </c>
      <c r="N54" s="11">
        <f t="shared" si="2"/>
        <v>127.16666666666667</v>
      </c>
    </row>
    <row r="55" spans="1:14" x14ac:dyDescent="0.2">
      <c r="A55" s="10" t="s">
        <v>52</v>
      </c>
      <c r="B55" s="11">
        <v>24228</v>
      </c>
      <c r="C55" s="11">
        <v>23992</v>
      </c>
      <c r="D55" s="11">
        <v>23590</v>
      </c>
      <c r="E55" s="11">
        <v>23039</v>
      </c>
      <c r="F55" s="11">
        <v>23118</v>
      </c>
      <c r="G55" s="11">
        <v>22720</v>
      </c>
      <c r="H55" s="11">
        <v>22305</v>
      </c>
      <c r="I55" s="11">
        <v>22568</v>
      </c>
      <c r="J55" s="11">
        <v>22473</v>
      </c>
      <c r="K55" s="11">
        <v>22522</v>
      </c>
      <c r="L55" s="11">
        <v>22621</v>
      </c>
      <c r="M55" s="11">
        <v>22400</v>
      </c>
      <c r="N55" s="11">
        <f t="shared" si="2"/>
        <v>22964.666666666668</v>
      </c>
    </row>
    <row r="56" spans="1:14" x14ac:dyDescent="0.2">
      <c r="A56" s="10" t="s">
        <v>53</v>
      </c>
      <c r="B56" s="11">
        <v>53084</v>
      </c>
      <c r="C56" s="11">
        <v>53255</v>
      </c>
      <c r="D56" s="11">
        <v>54054</v>
      </c>
      <c r="E56" s="11">
        <v>55305</v>
      </c>
      <c r="F56" s="11">
        <v>55530</v>
      </c>
      <c r="G56" s="11">
        <v>55787</v>
      </c>
      <c r="H56" s="11">
        <v>56239</v>
      </c>
      <c r="I56" s="11">
        <v>56459</v>
      </c>
      <c r="J56" s="11">
        <v>56395</v>
      </c>
      <c r="K56" s="11">
        <v>56607</v>
      </c>
      <c r="L56" s="11">
        <v>58035</v>
      </c>
      <c r="M56" s="11">
        <v>58612</v>
      </c>
      <c r="N56" s="11">
        <f t="shared" si="2"/>
        <v>55780.166666666664</v>
      </c>
    </row>
    <row r="57" spans="1:14" x14ac:dyDescent="0.2">
      <c r="A57" s="10" t="s">
        <v>54</v>
      </c>
      <c r="B57" s="11">
        <v>8153</v>
      </c>
      <c r="C57" s="11">
        <v>8089</v>
      </c>
      <c r="D57" s="11">
        <v>8057</v>
      </c>
      <c r="E57" s="11">
        <v>7919</v>
      </c>
      <c r="F57" s="11">
        <v>7810</v>
      </c>
      <c r="G57" s="11">
        <v>7632</v>
      </c>
      <c r="H57" s="11">
        <v>7460</v>
      </c>
      <c r="I57" s="11">
        <v>7403</v>
      </c>
      <c r="J57" s="11">
        <v>7296</v>
      </c>
      <c r="K57" s="11">
        <v>7212</v>
      </c>
      <c r="L57" s="11">
        <v>7286</v>
      </c>
      <c r="M57" s="11">
        <v>7351</v>
      </c>
      <c r="N57" s="11">
        <f t="shared" si="2"/>
        <v>7639</v>
      </c>
    </row>
    <row r="58" spans="1:14" x14ac:dyDescent="0.2">
      <c r="A58" s="10" t="s">
        <v>55</v>
      </c>
      <c r="B58" s="11">
        <v>20269</v>
      </c>
      <c r="C58" s="11">
        <v>19929</v>
      </c>
      <c r="D58" s="11">
        <v>20279</v>
      </c>
      <c r="E58" s="11">
        <v>20222</v>
      </c>
      <c r="F58" s="11">
        <v>20174</v>
      </c>
      <c r="G58" s="11">
        <v>20054</v>
      </c>
      <c r="H58" s="11">
        <v>20093</v>
      </c>
      <c r="I58" s="11">
        <v>20121</v>
      </c>
      <c r="J58" s="11">
        <v>20063</v>
      </c>
      <c r="K58" s="11">
        <v>19945</v>
      </c>
      <c r="L58" s="11">
        <v>19868</v>
      </c>
      <c r="M58" s="11">
        <v>20080</v>
      </c>
      <c r="N58" s="11">
        <f t="shared" si="2"/>
        <v>20091.416666666668</v>
      </c>
    </row>
    <row r="59" spans="1:14" x14ac:dyDescent="0.2">
      <c r="A59" s="19" t="s">
        <v>56</v>
      </c>
      <c r="B59" s="20">
        <v>866</v>
      </c>
      <c r="C59" s="20">
        <v>890</v>
      </c>
      <c r="D59" s="20">
        <v>918</v>
      </c>
      <c r="E59" s="20">
        <v>909</v>
      </c>
      <c r="F59" s="20">
        <v>902</v>
      </c>
      <c r="G59" s="20">
        <v>881</v>
      </c>
      <c r="H59" s="20">
        <v>907</v>
      </c>
      <c r="I59" s="20">
        <v>904</v>
      </c>
      <c r="J59" s="20">
        <v>912</v>
      </c>
      <c r="K59" s="20">
        <v>900</v>
      </c>
      <c r="L59" s="20">
        <v>911</v>
      </c>
      <c r="M59" s="20">
        <v>887</v>
      </c>
      <c r="N59" s="20">
        <f t="shared" si="2"/>
        <v>898.91666666666663</v>
      </c>
    </row>
    <row r="60" spans="1:14" s="6" customFormat="1" x14ac:dyDescent="0.2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</row>
    <row r="61" spans="1:14" x14ac:dyDescent="0.2">
      <c r="A61" s="63" t="s">
        <v>58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</row>
    <row r="62" spans="1:14" x14ac:dyDescent="0.2">
      <c r="A62" s="63" t="str">
        <f>TFam!A62</f>
        <v>Fiscal year average is based on data Oct. 2023 through Sep. 2024</v>
      </c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</row>
    <row r="63" spans="1:14" x14ac:dyDescent="0.2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</row>
  </sheetData>
  <pageMargins left="0.7" right="0.7" top="0.75" bottom="0.75" header="0.3" footer="0.3"/>
  <pageSetup scale="6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43"/>
  <sheetViews>
    <sheetView topLeftCell="A40" workbookViewId="0"/>
  </sheetViews>
  <sheetFormatPr defaultColWidth="9.21875" defaultRowHeight="10.199999999999999" x14ac:dyDescent="0.2"/>
  <cols>
    <col min="1" max="1" width="14.21875" style="35" bestFit="1" customWidth="1"/>
    <col min="2" max="8" width="11.21875" style="34" customWidth="1"/>
    <col min="9" max="16384" width="9.21875" style="34"/>
  </cols>
  <sheetData>
    <row r="1" spans="1:8" s="86" customFormat="1" ht="15.6" x14ac:dyDescent="0.3">
      <c r="A1" s="85" t="s">
        <v>81</v>
      </c>
      <c r="B1" s="85"/>
      <c r="C1" s="85"/>
      <c r="D1" s="85"/>
      <c r="E1" s="85"/>
      <c r="F1" s="85"/>
      <c r="G1" s="85"/>
      <c r="H1" s="85"/>
    </row>
    <row r="2" spans="1:8" s="86" customFormat="1" ht="12.75" customHeight="1" x14ac:dyDescent="0.25">
      <c r="A2" s="87" t="s">
        <v>65</v>
      </c>
      <c r="B2" s="87"/>
      <c r="C2" s="87"/>
      <c r="D2" s="87"/>
      <c r="E2" s="87"/>
      <c r="F2" s="87"/>
      <c r="G2" s="87"/>
      <c r="H2" s="87"/>
    </row>
    <row r="3" spans="1:8" s="27" customFormat="1" ht="30.6" x14ac:dyDescent="0.2">
      <c r="A3" s="25" t="s">
        <v>1</v>
      </c>
      <c r="B3" s="26" t="s">
        <v>66</v>
      </c>
      <c r="C3" s="26" t="s">
        <v>67</v>
      </c>
      <c r="D3" s="26" t="s">
        <v>68</v>
      </c>
      <c r="E3" s="26" t="s">
        <v>69</v>
      </c>
      <c r="F3" s="26" t="s">
        <v>70</v>
      </c>
      <c r="G3" s="26" t="s">
        <v>71</v>
      </c>
      <c r="H3" s="26" t="s">
        <v>72</v>
      </c>
    </row>
    <row r="4" spans="1:8" s="29" customFormat="1" x14ac:dyDescent="0.2">
      <c r="A4" s="7" t="s">
        <v>2</v>
      </c>
      <c r="B4" s="28">
        <f>TFam!B5</f>
        <v>856530</v>
      </c>
      <c r="C4" s="28">
        <f>'Two-par'!B5</f>
        <v>58246</v>
      </c>
      <c r="D4" s="28">
        <f>'One-par'!B5</f>
        <v>442955</v>
      </c>
      <c r="E4" s="28">
        <f>'Zero-par'!B5</f>
        <v>355329</v>
      </c>
      <c r="F4" s="28">
        <f>TRec!B5</f>
        <v>2100657</v>
      </c>
      <c r="G4" s="28">
        <f>Adults!B5</f>
        <v>566121</v>
      </c>
      <c r="H4" s="28">
        <f>Children!B5</f>
        <v>1534536</v>
      </c>
    </row>
    <row r="5" spans="1:8" s="31" customFormat="1" x14ac:dyDescent="0.2">
      <c r="A5" s="10" t="s">
        <v>3</v>
      </c>
      <c r="B5" s="30">
        <f>TFam!B6</f>
        <v>5639</v>
      </c>
      <c r="C5" s="30">
        <f>'Two-par'!B6</f>
        <v>38</v>
      </c>
      <c r="D5" s="30">
        <f>'One-par'!B6</f>
        <v>2227</v>
      </c>
      <c r="E5" s="30">
        <f>'Zero-par'!B6</f>
        <v>3374</v>
      </c>
      <c r="F5" s="30">
        <f>TRec!B6</f>
        <v>13223</v>
      </c>
      <c r="G5" s="30">
        <f>Adults!B6</f>
        <v>2360</v>
      </c>
      <c r="H5" s="30">
        <f>Children!B6</f>
        <v>10863</v>
      </c>
    </row>
    <row r="6" spans="1:8" s="31" customFormat="1" x14ac:dyDescent="0.2">
      <c r="A6" s="10" t="s">
        <v>4</v>
      </c>
      <c r="B6" s="32">
        <f>TFam!B7</f>
        <v>1059</v>
      </c>
      <c r="C6" s="32">
        <f>'Two-par'!B7</f>
        <v>135</v>
      </c>
      <c r="D6" s="32">
        <f>'One-par'!B7</f>
        <v>565</v>
      </c>
      <c r="E6" s="32">
        <f>'Zero-par'!B7</f>
        <v>359</v>
      </c>
      <c r="F6" s="32">
        <f>TRec!B7</f>
        <v>2930</v>
      </c>
      <c r="G6" s="32">
        <f>Adults!B7</f>
        <v>872</v>
      </c>
      <c r="H6" s="32">
        <f>Children!B7</f>
        <v>2058</v>
      </c>
    </row>
    <row r="7" spans="1:8" s="31" customFormat="1" x14ac:dyDescent="0.2">
      <c r="A7" s="10" t="s">
        <v>5</v>
      </c>
      <c r="B7" s="32">
        <f>TFam!B8</f>
        <v>5136</v>
      </c>
      <c r="C7" s="32">
        <f>'Two-par'!B8</f>
        <v>253</v>
      </c>
      <c r="D7" s="32">
        <f>'One-par'!B8</f>
        <v>1346</v>
      </c>
      <c r="E7" s="32">
        <f>'Zero-par'!B8</f>
        <v>3537</v>
      </c>
      <c r="F7" s="32">
        <f>TRec!B8</f>
        <v>10589</v>
      </c>
      <c r="G7" s="32">
        <f>Adults!B8</f>
        <v>1870</v>
      </c>
      <c r="H7" s="32">
        <f>Children!B8</f>
        <v>8719</v>
      </c>
    </row>
    <row r="8" spans="1:8" s="31" customFormat="1" x14ac:dyDescent="0.2">
      <c r="A8" s="10" t="s">
        <v>6</v>
      </c>
      <c r="B8" s="32">
        <f>TFam!B9</f>
        <v>986</v>
      </c>
      <c r="C8" s="32">
        <f>'Two-par'!B9</f>
        <v>39</v>
      </c>
      <c r="D8" s="32">
        <f>'One-par'!B9</f>
        <v>551</v>
      </c>
      <c r="E8" s="32">
        <f>'Zero-par'!B9</f>
        <v>396</v>
      </c>
      <c r="F8" s="32">
        <f>TRec!B9</f>
        <v>2466</v>
      </c>
      <c r="G8" s="32">
        <f>Adults!B9</f>
        <v>629</v>
      </c>
      <c r="H8" s="32">
        <f>Children!B9</f>
        <v>1837</v>
      </c>
    </row>
    <row r="9" spans="1:8" s="31" customFormat="1" x14ac:dyDescent="0.2">
      <c r="A9" s="10" t="s">
        <v>7</v>
      </c>
      <c r="B9" s="30">
        <f>TFam!B10</f>
        <v>304580</v>
      </c>
      <c r="C9" s="30">
        <f>'Two-par'!B10</f>
        <v>36688</v>
      </c>
      <c r="D9" s="30">
        <f>'One-par'!B10</f>
        <v>165800</v>
      </c>
      <c r="E9" s="30">
        <f>'Zero-par'!B10</f>
        <v>102092</v>
      </c>
      <c r="F9" s="30">
        <f>TRec!B10</f>
        <v>812499</v>
      </c>
      <c r="G9" s="30">
        <f>Adults!B10</f>
        <v>219933</v>
      </c>
      <c r="H9" s="30">
        <f>Children!B10</f>
        <v>592566</v>
      </c>
    </row>
    <row r="10" spans="1:8" s="31" customFormat="1" x14ac:dyDescent="0.2">
      <c r="A10" s="10" t="s">
        <v>8</v>
      </c>
      <c r="B10" s="32">
        <f>TFam!B11</f>
        <v>12778</v>
      </c>
      <c r="C10" s="32">
        <f>'Two-par'!B11</f>
        <v>0</v>
      </c>
      <c r="D10" s="32">
        <f>'One-par'!B11</f>
        <v>8346</v>
      </c>
      <c r="E10" s="32">
        <f>'Zero-par'!B11</f>
        <v>4432</v>
      </c>
      <c r="F10" s="32">
        <f>TRec!B11</f>
        <v>31358</v>
      </c>
      <c r="G10" s="32">
        <f>Adults!B11</f>
        <v>8584</v>
      </c>
      <c r="H10" s="32">
        <f>Children!B11</f>
        <v>22774</v>
      </c>
    </row>
    <row r="11" spans="1:8" s="31" customFormat="1" x14ac:dyDescent="0.2">
      <c r="A11" s="10" t="s">
        <v>9</v>
      </c>
      <c r="B11" s="30">
        <f>TFam!B12</f>
        <v>5106</v>
      </c>
      <c r="C11" s="30">
        <f>'Two-par'!B12</f>
        <v>0</v>
      </c>
      <c r="D11" s="30">
        <f>'One-par'!B12</f>
        <v>1886</v>
      </c>
      <c r="E11" s="30">
        <f>'Zero-par'!B12</f>
        <v>3220</v>
      </c>
      <c r="F11" s="30">
        <f>TRec!B12</f>
        <v>12101</v>
      </c>
      <c r="G11" s="30">
        <f>Adults!B12</f>
        <v>3411</v>
      </c>
      <c r="H11" s="30">
        <f>Children!B12</f>
        <v>8690</v>
      </c>
    </row>
    <row r="12" spans="1:8" s="31" customFormat="1" x14ac:dyDescent="0.2">
      <c r="A12" s="10" t="s">
        <v>10</v>
      </c>
      <c r="B12" s="30">
        <f>TFam!B13</f>
        <v>2749</v>
      </c>
      <c r="C12" s="30">
        <f>'Two-par'!B13</f>
        <v>7</v>
      </c>
      <c r="D12" s="30">
        <f>'One-par'!B13</f>
        <v>812</v>
      </c>
      <c r="E12" s="30">
        <f>'Zero-par'!B13</f>
        <v>1930</v>
      </c>
      <c r="F12" s="30">
        <f>TRec!B13</f>
        <v>7760</v>
      </c>
      <c r="G12" s="30">
        <f>Adults!B13</f>
        <v>3119</v>
      </c>
      <c r="H12" s="30">
        <f>Children!B13</f>
        <v>4641</v>
      </c>
    </row>
    <row r="13" spans="1:8" s="31" customFormat="1" x14ac:dyDescent="0.2">
      <c r="A13" s="10" t="s">
        <v>11</v>
      </c>
      <c r="B13" s="30">
        <f>TFam!B14</f>
        <v>5374</v>
      </c>
      <c r="C13" s="30">
        <f>'Two-par'!B14</f>
        <v>0</v>
      </c>
      <c r="D13" s="30">
        <f>'One-par'!B14</f>
        <v>3944</v>
      </c>
      <c r="E13" s="30">
        <f>'Zero-par'!B14</f>
        <v>1430</v>
      </c>
      <c r="F13" s="30">
        <f>TRec!B14</f>
        <v>17256</v>
      </c>
      <c r="G13" s="30">
        <f>Adults!B14</f>
        <v>3944</v>
      </c>
      <c r="H13" s="30">
        <f>Children!B14</f>
        <v>13312</v>
      </c>
    </row>
    <row r="14" spans="1:8" s="31" customFormat="1" x14ac:dyDescent="0.2">
      <c r="A14" s="10" t="s">
        <v>12</v>
      </c>
      <c r="B14" s="30">
        <f>TFam!B15</f>
        <v>34929</v>
      </c>
      <c r="C14" s="30">
        <f>'Two-par'!B15</f>
        <v>7645</v>
      </c>
      <c r="D14" s="30">
        <f>'One-par'!B15</f>
        <v>7966</v>
      </c>
      <c r="E14" s="30">
        <f>'Zero-par'!B15</f>
        <v>19318</v>
      </c>
      <c r="F14" s="30">
        <f>TRec!B15</f>
        <v>71445</v>
      </c>
      <c r="G14" s="30">
        <f>Adults!B15</f>
        <v>26025</v>
      </c>
      <c r="H14" s="30">
        <f>Children!B15</f>
        <v>45420</v>
      </c>
    </row>
    <row r="15" spans="1:8" s="31" customFormat="1" x14ac:dyDescent="0.2">
      <c r="A15" s="10" t="s">
        <v>13</v>
      </c>
      <c r="B15" s="30">
        <f>TFam!B16</f>
        <v>4518</v>
      </c>
      <c r="C15" s="30">
        <f>'Two-par'!B16</f>
        <v>0</v>
      </c>
      <c r="D15" s="30">
        <f>'One-par'!B16</f>
        <v>216</v>
      </c>
      <c r="E15" s="30">
        <f>'Zero-par'!B16</f>
        <v>4302</v>
      </c>
      <c r="F15" s="30">
        <f>TRec!B16</f>
        <v>7914</v>
      </c>
      <c r="G15" s="30">
        <f>Adults!B16</f>
        <v>217</v>
      </c>
      <c r="H15" s="30">
        <f>Children!B16</f>
        <v>7697</v>
      </c>
    </row>
    <row r="16" spans="1:8" s="31" customFormat="1" x14ac:dyDescent="0.2">
      <c r="A16" s="10" t="s">
        <v>14</v>
      </c>
      <c r="B16" s="32">
        <f>TFam!B17</f>
        <v>149</v>
      </c>
      <c r="C16" s="32">
        <f>'Two-par'!B17</f>
        <v>5</v>
      </c>
      <c r="D16" s="32">
        <f>'One-par'!B17</f>
        <v>43</v>
      </c>
      <c r="E16" s="32">
        <f>'Zero-par'!B17</f>
        <v>101</v>
      </c>
      <c r="F16" s="32">
        <f>TRec!B17</f>
        <v>362</v>
      </c>
      <c r="G16" s="32">
        <f>Adults!B17</f>
        <v>54</v>
      </c>
      <c r="H16" s="32">
        <f>Children!B17</f>
        <v>308</v>
      </c>
    </row>
    <row r="17" spans="1:8" s="31" customFormat="1" x14ac:dyDescent="0.2">
      <c r="A17" s="10" t="s">
        <v>15</v>
      </c>
      <c r="B17" s="30">
        <f>TFam!B18</f>
        <v>3277</v>
      </c>
      <c r="C17" s="30">
        <f>'Two-par'!B18</f>
        <v>547</v>
      </c>
      <c r="D17" s="30">
        <f>'One-par'!B18</f>
        <v>2043</v>
      </c>
      <c r="E17" s="30">
        <f>'Zero-par'!B18</f>
        <v>687</v>
      </c>
      <c r="F17" s="30">
        <f>TRec!B18</f>
        <v>9206</v>
      </c>
      <c r="G17" s="30">
        <f>Adults!B18</f>
        <v>2854</v>
      </c>
      <c r="H17" s="30">
        <f>Children!B18</f>
        <v>6352</v>
      </c>
    </row>
    <row r="18" spans="1:8" s="31" customFormat="1" x14ac:dyDescent="0.2">
      <c r="A18" s="10" t="s">
        <v>16</v>
      </c>
      <c r="B18" s="32">
        <f>TFam!B19</f>
        <v>1486</v>
      </c>
      <c r="C18" s="32">
        <f>'Two-par'!B19</f>
        <v>0</v>
      </c>
      <c r="D18" s="32">
        <f>'One-par'!B19</f>
        <v>21</v>
      </c>
      <c r="E18" s="32">
        <f>'Zero-par'!B19</f>
        <v>1465</v>
      </c>
      <c r="F18" s="32">
        <f>TRec!B19</f>
        <v>2044</v>
      </c>
      <c r="G18" s="32">
        <f>Adults!B19</f>
        <v>21</v>
      </c>
      <c r="H18" s="32">
        <f>Children!B19</f>
        <v>2023</v>
      </c>
    </row>
    <row r="19" spans="1:8" s="31" customFormat="1" x14ac:dyDescent="0.2">
      <c r="A19" s="10" t="s">
        <v>17</v>
      </c>
      <c r="B19" s="30">
        <f>TFam!B20</f>
        <v>9844</v>
      </c>
      <c r="C19" s="30">
        <f>'Two-par'!B20</f>
        <v>0</v>
      </c>
      <c r="D19" s="30">
        <f>'One-par'!B20</f>
        <v>2398</v>
      </c>
      <c r="E19" s="30">
        <f>'Zero-par'!B20</f>
        <v>7446</v>
      </c>
      <c r="F19" s="30">
        <f>TRec!B20</f>
        <v>20001</v>
      </c>
      <c r="G19" s="30">
        <f>Adults!B20</f>
        <v>2483</v>
      </c>
      <c r="H19" s="30">
        <f>Children!B20</f>
        <v>17518</v>
      </c>
    </row>
    <row r="20" spans="1:8" s="31" customFormat="1" x14ac:dyDescent="0.2">
      <c r="A20" s="10" t="s">
        <v>18</v>
      </c>
      <c r="B20" s="30">
        <f>TFam!B21</f>
        <v>5374</v>
      </c>
      <c r="C20" s="30">
        <f>'Two-par'!B21</f>
        <v>938</v>
      </c>
      <c r="D20" s="30">
        <f>'One-par'!B21</f>
        <v>1887</v>
      </c>
      <c r="E20" s="30">
        <f>'Zero-par'!B21</f>
        <v>2549</v>
      </c>
      <c r="F20" s="30">
        <f>TRec!B21</f>
        <v>12794</v>
      </c>
      <c r="G20" s="30">
        <f>Adults!B21</f>
        <v>3354</v>
      </c>
      <c r="H20" s="30">
        <f>Children!B21</f>
        <v>9440</v>
      </c>
    </row>
    <row r="21" spans="1:8" s="31" customFormat="1" x14ac:dyDescent="0.2">
      <c r="A21" s="10" t="s">
        <v>19</v>
      </c>
      <c r="B21" s="30">
        <f>TFam!B22</f>
        <v>4289</v>
      </c>
      <c r="C21" s="30">
        <f>'Two-par'!B22</f>
        <v>190</v>
      </c>
      <c r="D21" s="30">
        <f>'One-par'!B22</f>
        <v>2011</v>
      </c>
      <c r="E21" s="30">
        <f>'Zero-par'!B22</f>
        <v>2088</v>
      </c>
      <c r="F21" s="30">
        <f>TRec!B22</f>
        <v>10518</v>
      </c>
      <c r="G21" s="30">
        <f>Adults!B22</f>
        <v>2432</v>
      </c>
      <c r="H21" s="30">
        <f>Children!B22</f>
        <v>8086</v>
      </c>
    </row>
    <row r="22" spans="1:8" s="31" customFormat="1" x14ac:dyDescent="0.2">
      <c r="A22" s="10" t="s">
        <v>20</v>
      </c>
      <c r="B22" s="32">
        <f>TFam!B23</f>
        <v>3033</v>
      </c>
      <c r="C22" s="32">
        <f>'Two-par'!B23</f>
        <v>231</v>
      </c>
      <c r="D22" s="32">
        <f>'One-par'!B23</f>
        <v>1500</v>
      </c>
      <c r="E22" s="32">
        <f>'Zero-par'!B23</f>
        <v>1302</v>
      </c>
      <c r="F22" s="32">
        <f>TRec!B23</f>
        <v>3033</v>
      </c>
      <c r="G22" s="32">
        <f>Adults!B23</f>
        <v>1551</v>
      </c>
      <c r="H22" s="32">
        <f>Children!B23</f>
        <v>1482</v>
      </c>
    </row>
    <row r="23" spans="1:8" s="31" customFormat="1" x14ac:dyDescent="0.2">
      <c r="A23" s="10" t="s">
        <v>21</v>
      </c>
      <c r="B23" s="32">
        <f>TFam!B24</f>
        <v>13517</v>
      </c>
      <c r="C23" s="32">
        <f>'Two-par'!B24</f>
        <v>766</v>
      </c>
      <c r="D23" s="32">
        <f>'One-par'!B24</f>
        <v>4540</v>
      </c>
      <c r="E23" s="32">
        <f>'Zero-par'!B24</f>
        <v>8211</v>
      </c>
      <c r="F23" s="32">
        <f>TRec!B24</f>
        <v>30265</v>
      </c>
      <c r="G23" s="32">
        <f>Adults!B24</f>
        <v>6234</v>
      </c>
      <c r="H23" s="32">
        <f>Children!B24</f>
        <v>24031</v>
      </c>
    </row>
    <row r="24" spans="1:8" s="31" customFormat="1" x14ac:dyDescent="0.2">
      <c r="A24" s="10" t="s">
        <v>22</v>
      </c>
      <c r="B24" s="32">
        <f>TFam!B25</f>
        <v>4834</v>
      </c>
      <c r="C24" s="32">
        <f>'Two-par'!B25</f>
        <v>0</v>
      </c>
      <c r="D24" s="32">
        <f>'One-par'!B25</f>
        <v>2763</v>
      </c>
      <c r="E24" s="32">
        <f>'Zero-par'!B25</f>
        <v>2071</v>
      </c>
      <c r="F24" s="32">
        <f>TRec!B25</f>
        <v>12672</v>
      </c>
      <c r="G24" s="32">
        <f>Adults!B25</f>
        <v>2442</v>
      </c>
      <c r="H24" s="32">
        <f>Children!B25</f>
        <v>10230</v>
      </c>
    </row>
    <row r="25" spans="1:8" s="31" customFormat="1" x14ac:dyDescent="0.2">
      <c r="A25" s="10" t="s">
        <v>23</v>
      </c>
      <c r="B25" s="30">
        <f>TFam!B26</f>
        <v>3613</v>
      </c>
      <c r="C25" s="30">
        <f>'Two-par'!B26</f>
        <v>448</v>
      </c>
      <c r="D25" s="30">
        <f>'One-par'!B26</f>
        <v>2062</v>
      </c>
      <c r="E25" s="30">
        <f>'Zero-par'!B26</f>
        <v>1103</v>
      </c>
      <c r="F25" s="30">
        <f>TRec!B26</f>
        <v>9086</v>
      </c>
      <c r="G25" s="30">
        <f>Adults!B26</f>
        <v>2821</v>
      </c>
      <c r="H25" s="30">
        <f>Children!B26</f>
        <v>6265</v>
      </c>
    </row>
    <row r="26" spans="1:8" s="31" customFormat="1" x14ac:dyDescent="0.2">
      <c r="A26" s="10" t="s">
        <v>24</v>
      </c>
      <c r="B26" s="30">
        <f>TFam!B27</f>
        <v>10239</v>
      </c>
      <c r="C26" s="30">
        <f>'Two-par'!B27</f>
        <v>0</v>
      </c>
      <c r="D26" s="30">
        <f>'One-par'!B27</f>
        <v>6849</v>
      </c>
      <c r="E26" s="30">
        <f>'Zero-par'!B27</f>
        <v>3390</v>
      </c>
      <c r="F26" s="30">
        <f>TRec!B27</f>
        <v>27805</v>
      </c>
      <c r="G26" s="30">
        <f>Adults!B27</f>
        <v>7321</v>
      </c>
      <c r="H26" s="30">
        <f>Children!B27</f>
        <v>20484</v>
      </c>
    </row>
    <row r="27" spans="1:8" s="31" customFormat="1" x14ac:dyDescent="0.2">
      <c r="A27" s="10" t="s">
        <v>25</v>
      </c>
      <c r="B27" s="30">
        <f>TFam!B28</f>
        <v>35960</v>
      </c>
      <c r="C27" s="30">
        <f>'Two-par'!B28</f>
        <v>1819</v>
      </c>
      <c r="D27" s="30">
        <f>'One-par'!B28</f>
        <v>22727</v>
      </c>
      <c r="E27" s="30">
        <f>'Zero-par'!B28</f>
        <v>11414</v>
      </c>
      <c r="F27" s="30">
        <f>TRec!B28</f>
        <v>85570</v>
      </c>
      <c r="G27" s="30">
        <f>Adults!B28</f>
        <v>25848</v>
      </c>
      <c r="H27" s="30">
        <f>Children!B28</f>
        <v>59722</v>
      </c>
    </row>
    <row r="28" spans="1:8" s="31" customFormat="1" x14ac:dyDescent="0.2">
      <c r="A28" s="10" t="s">
        <v>26</v>
      </c>
      <c r="B28" s="32">
        <f>TFam!B29</f>
        <v>8280</v>
      </c>
      <c r="C28" s="32">
        <f>'Two-par'!B29</f>
        <v>0</v>
      </c>
      <c r="D28" s="32">
        <f>'One-par'!B29</f>
        <v>4075</v>
      </c>
      <c r="E28" s="32">
        <f>'Zero-par'!B29</f>
        <v>4205</v>
      </c>
      <c r="F28" s="32">
        <f>TRec!B29</f>
        <v>22017</v>
      </c>
      <c r="G28" s="32">
        <f>Adults!B29</f>
        <v>4687</v>
      </c>
      <c r="H28" s="32">
        <f>Children!B29</f>
        <v>17330</v>
      </c>
    </row>
    <row r="29" spans="1:8" s="31" customFormat="1" x14ac:dyDescent="0.2">
      <c r="A29" s="10" t="s">
        <v>27</v>
      </c>
      <c r="B29" s="30">
        <f>TFam!B30</f>
        <v>13544</v>
      </c>
      <c r="C29" s="30">
        <f>'Two-par'!B30</f>
        <v>0</v>
      </c>
      <c r="D29" s="30">
        <f>'One-par'!B30</f>
        <v>7925</v>
      </c>
      <c r="E29" s="30">
        <f>'Zero-par'!B30</f>
        <v>5619</v>
      </c>
      <c r="F29" s="30">
        <f>TRec!B30</f>
        <v>31593</v>
      </c>
      <c r="G29" s="30">
        <f>Adults!B30</f>
        <v>7895</v>
      </c>
      <c r="H29" s="30">
        <f>Children!B30</f>
        <v>23698</v>
      </c>
    </row>
    <row r="30" spans="1:8" s="31" customFormat="1" x14ac:dyDescent="0.2">
      <c r="A30" s="10" t="s">
        <v>28</v>
      </c>
      <c r="B30" s="32">
        <f>TFam!B31</f>
        <v>1629</v>
      </c>
      <c r="C30" s="32">
        <f>'Two-par'!B31</f>
        <v>0</v>
      </c>
      <c r="D30" s="32">
        <f>'One-par'!B31</f>
        <v>397</v>
      </c>
      <c r="E30" s="32">
        <f>'Zero-par'!B31</f>
        <v>1232</v>
      </c>
      <c r="F30" s="32">
        <f>TRec!B31</f>
        <v>2425</v>
      </c>
      <c r="G30" s="32">
        <f>Adults!B31</f>
        <v>276</v>
      </c>
      <c r="H30" s="32">
        <f>Children!B31</f>
        <v>2149</v>
      </c>
    </row>
    <row r="31" spans="1:8" s="31" customFormat="1" x14ac:dyDescent="0.2">
      <c r="A31" s="10" t="s">
        <v>29</v>
      </c>
      <c r="B31" s="30">
        <f>TFam!B32</f>
        <v>4891</v>
      </c>
      <c r="C31" s="30">
        <f>'Two-par'!B32</f>
        <v>0</v>
      </c>
      <c r="D31" s="30">
        <f>'One-par'!B32</f>
        <v>2657</v>
      </c>
      <c r="E31" s="30">
        <f>'Zero-par'!B32</f>
        <v>2234</v>
      </c>
      <c r="F31" s="30">
        <f>TRec!B32</f>
        <v>11188</v>
      </c>
      <c r="G31" s="30">
        <f>Adults!B32</f>
        <v>2295</v>
      </c>
      <c r="H31" s="30">
        <f>Children!B32</f>
        <v>8893</v>
      </c>
    </row>
    <row r="32" spans="1:8" s="31" customFormat="1" x14ac:dyDescent="0.2">
      <c r="A32" s="10" t="s">
        <v>30</v>
      </c>
      <c r="B32" s="32">
        <f>TFam!B33</f>
        <v>1688</v>
      </c>
      <c r="C32" s="32">
        <f>'Two-par'!B33</f>
        <v>89</v>
      </c>
      <c r="D32" s="32">
        <f>'One-par'!B33</f>
        <v>665</v>
      </c>
      <c r="E32" s="32">
        <f>'Zero-par'!B33</f>
        <v>934</v>
      </c>
      <c r="F32" s="32">
        <f>TRec!B33</f>
        <v>3868</v>
      </c>
      <c r="G32" s="32">
        <f>Adults!B33</f>
        <v>687</v>
      </c>
      <c r="H32" s="32">
        <f>Children!B33</f>
        <v>3181</v>
      </c>
    </row>
    <row r="33" spans="1:8" s="31" customFormat="1" x14ac:dyDescent="0.2">
      <c r="A33" s="10" t="s">
        <v>31</v>
      </c>
      <c r="B33" s="30">
        <f>TFam!B34</f>
        <v>2567</v>
      </c>
      <c r="C33" s="30">
        <f>'Two-par'!B34</f>
        <v>0</v>
      </c>
      <c r="D33" s="30">
        <f>'One-par'!B34</f>
        <v>693</v>
      </c>
      <c r="E33" s="30">
        <f>'Zero-par'!B34</f>
        <v>1874</v>
      </c>
      <c r="F33" s="30">
        <f>TRec!B34</f>
        <v>5780</v>
      </c>
      <c r="G33" s="30">
        <f>Adults!B34</f>
        <v>675</v>
      </c>
      <c r="H33" s="30">
        <f>Children!B34</f>
        <v>5105</v>
      </c>
    </row>
    <row r="34" spans="1:8" s="31" customFormat="1" x14ac:dyDescent="0.2">
      <c r="A34" s="10" t="s">
        <v>32</v>
      </c>
      <c r="B34" s="30">
        <f>TFam!B35</f>
        <v>5807</v>
      </c>
      <c r="C34" s="30">
        <f>'Two-par'!B35</f>
        <v>488</v>
      </c>
      <c r="D34" s="30">
        <f>'One-par'!B35</f>
        <v>2557</v>
      </c>
      <c r="E34" s="30">
        <f>'Zero-par'!B35</f>
        <v>2762</v>
      </c>
      <c r="F34" s="30">
        <f>TRec!B35</f>
        <v>14884</v>
      </c>
      <c r="G34" s="30">
        <f>Adults!B35</f>
        <v>3763</v>
      </c>
      <c r="H34" s="30">
        <f>Children!B35</f>
        <v>11121</v>
      </c>
    </row>
    <row r="35" spans="1:8" s="31" customFormat="1" x14ac:dyDescent="0.2">
      <c r="A35" s="10" t="s">
        <v>33</v>
      </c>
      <c r="B35" s="30">
        <f>TFam!B36</f>
        <v>2505</v>
      </c>
      <c r="C35" s="30">
        <f>'Two-par'!B36</f>
        <v>2</v>
      </c>
      <c r="D35" s="30">
        <f>'One-par'!B36</f>
        <v>973</v>
      </c>
      <c r="E35" s="30">
        <f>'Zero-par'!B36</f>
        <v>1530</v>
      </c>
      <c r="F35" s="30">
        <f>TRec!B36</f>
        <v>5071</v>
      </c>
      <c r="G35" s="30">
        <f>Adults!B36</f>
        <v>1025</v>
      </c>
      <c r="H35" s="30">
        <f>Children!B36</f>
        <v>4046</v>
      </c>
    </row>
    <row r="36" spans="1:8" s="31" customFormat="1" x14ac:dyDescent="0.2">
      <c r="A36" s="10" t="s">
        <v>34</v>
      </c>
      <c r="B36" s="30">
        <f>TFam!B37</f>
        <v>9397</v>
      </c>
      <c r="C36" s="30">
        <f>'Two-par'!B37</f>
        <v>64</v>
      </c>
      <c r="D36" s="30">
        <f>'One-par'!B37</f>
        <v>7042</v>
      </c>
      <c r="E36" s="30">
        <f>'Zero-par'!B37</f>
        <v>2291</v>
      </c>
      <c r="F36" s="30">
        <f>TRec!B37</f>
        <v>22824</v>
      </c>
      <c r="G36" s="30">
        <f>Adults!B37</f>
        <v>6694</v>
      </c>
      <c r="H36" s="30">
        <f>Children!B37</f>
        <v>16130</v>
      </c>
    </row>
    <row r="37" spans="1:8" s="31" customFormat="1" x14ac:dyDescent="0.2">
      <c r="A37" s="10" t="s">
        <v>35</v>
      </c>
      <c r="B37" s="32">
        <f>TFam!B38</f>
        <v>6579</v>
      </c>
      <c r="C37" s="32">
        <f>'Two-par'!B38</f>
        <v>396</v>
      </c>
      <c r="D37" s="32">
        <f>'One-par'!B38</f>
        <v>2950</v>
      </c>
      <c r="E37" s="32">
        <f>'Zero-par'!B38</f>
        <v>3233</v>
      </c>
      <c r="F37" s="32">
        <f>TRec!B38</f>
        <v>15860</v>
      </c>
      <c r="G37" s="32">
        <f>Adults!B38</f>
        <v>3742</v>
      </c>
      <c r="H37" s="32">
        <f>Children!B38</f>
        <v>12118</v>
      </c>
    </row>
    <row r="38" spans="1:8" s="31" customFormat="1" x14ac:dyDescent="0.2">
      <c r="A38" s="10" t="s">
        <v>36</v>
      </c>
      <c r="B38" s="30">
        <f>TFam!B39</f>
        <v>122489</v>
      </c>
      <c r="C38" s="30">
        <f>'Two-par'!B39</f>
        <v>1490</v>
      </c>
      <c r="D38" s="30">
        <f>'One-par'!B39</f>
        <v>89375</v>
      </c>
      <c r="E38" s="30">
        <f>'Zero-par'!B39</f>
        <v>31624</v>
      </c>
      <c r="F38" s="30">
        <f>TRec!B39</f>
        <v>317696</v>
      </c>
      <c r="G38" s="30">
        <f>Adults!B39</f>
        <v>112003</v>
      </c>
      <c r="H38" s="30">
        <f>Children!B39</f>
        <v>205693</v>
      </c>
    </row>
    <row r="39" spans="1:8" s="31" customFormat="1" x14ac:dyDescent="0.2">
      <c r="A39" s="10" t="s">
        <v>37</v>
      </c>
      <c r="B39" s="32">
        <f>TFam!B40</f>
        <v>7922</v>
      </c>
      <c r="C39" s="32">
        <f>'Two-par'!B40</f>
        <v>112</v>
      </c>
      <c r="D39" s="32">
        <f>'One-par'!B40</f>
        <v>1227</v>
      </c>
      <c r="E39" s="32">
        <f>'Zero-par'!B40</f>
        <v>6583</v>
      </c>
      <c r="F39" s="32">
        <f>TRec!B40</f>
        <v>13815</v>
      </c>
      <c r="G39" s="32">
        <f>Adults!B40</f>
        <v>1484</v>
      </c>
      <c r="H39" s="32">
        <f>Children!B40</f>
        <v>12331</v>
      </c>
    </row>
    <row r="40" spans="1:8" s="31" customFormat="1" x14ac:dyDescent="0.2">
      <c r="A40" s="10" t="s">
        <v>38</v>
      </c>
      <c r="B40" s="32">
        <f>TFam!B41</f>
        <v>588</v>
      </c>
      <c r="C40" s="32">
        <f>'Two-par'!B41</f>
        <v>0</v>
      </c>
      <c r="D40" s="32">
        <f>'One-par'!B41</f>
        <v>278</v>
      </c>
      <c r="E40" s="32">
        <f>'Zero-par'!B41</f>
        <v>310</v>
      </c>
      <c r="F40" s="32">
        <f>TRec!B41</f>
        <v>1476</v>
      </c>
      <c r="G40" s="32">
        <f>Adults!B41</f>
        <v>231</v>
      </c>
      <c r="H40" s="32">
        <f>Children!B41</f>
        <v>1245</v>
      </c>
    </row>
    <row r="41" spans="1:8" s="31" customFormat="1" x14ac:dyDescent="0.2">
      <c r="A41" s="10" t="s">
        <v>39</v>
      </c>
      <c r="B41" s="32">
        <f>TFam!B42</f>
        <v>40311</v>
      </c>
      <c r="C41" s="32">
        <f>'Two-par'!B42</f>
        <v>857</v>
      </c>
      <c r="D41" s="32">
        <f>'One-par'!B42</f>
        <v>5053</v>
      </c>
      <c r="E41" s="32">
        <f>'Zero-par'!B42</f>
        <v>34401</v>
      </c>
      <c r="F41" s="32">
        <f>TRec!B42</f>
        <v>72179</v>
      </c>
      <c r="G41" s="32">
        <f>Adults!B42</f>
        <v>7267</v>
      </c>
      <c r="H41" s="32">
        <f>Children!B42</f>
        <v>64912</v>
      </c>
    </row>
    <row r="42" spans="1:8" s="31" customFormat="1" x14ac:dyDescent="0.2">
      <c r="A42" s="10" t="s">
        <v>40</v>
      </c>
      <c r="B42" s="32">
        <f>TFam!B43</f>
        <v>3605</v>
      </c>
      <c r="C42" s="32">
        <f>'Two-par'!B43</f>
        <v>0</v>
      </c>
      <c r="D42" s="32">
        <f>'One-par'!B43</f>
        <v>807</v>
      </c>
      <c r="E42" s="32">
        <f>'Zero-par'!B43</f>
        <v>2798</v>
      </c>
      <c r="F42" s="32">
        <f>TRec!B43</f>
        <v>7690</v>
      </c>
      <c r="G42" s="32">
        <f>Adults!B43</f>
        <v>807</v>
      </c>
      <c r="H42" s="32">
        <f>Children!B43</f>
        <v>6883</v>
      </c>
    </row>
    <row r="43" spans="1:8" s="31" customFormat="1" x14ac:dyDescent="0.2">
      <c r="A43" s="10" t="s">
        <v>41</v>
      </c>
      <c r="B43" s="32">
        <f>TFam!B44</f>
        <v>17862</v>
      </c>
      <c r="C43" s="32">
        <f>'Two-par'!B44</f>
        <v>0</v>
      </c>
      <c r="D43" s="32">
        <f>'One-par'!B44</f>
        <v>11817</v>
      </c>
      <c r="E43" s="32">
        <f>'Zero-par'!B44</f>
        <v>6045</v>
      </c>
      <c r="F43" s="32">
        <f>TRec!B44</f>
        <v>40975</v>
      </c>
      <c r="G43" s="32">
        <f>Adults!B44</f>
        <v>11976</v>
      </c>
      <c r="H43" s="32">
        <f>Children!B44</f>
        <v>28999</v>
      </c>
    </row>
    <row r="44" spans="1:8" s="31" customFormat="1" x14ac:dyDescent="0.2">
      <c r="A44" s="10" t="s">
        <v>42</v>
      </c>
      <c r="B44" s="32">
        <f>TFam!B45</f>
        <v>25987</v>
      </c>
      <c r="C44" s="32">
        <f>'Two-par'!B45</f>
        <v>308</v>
      </c>
      <c r="D44" s="32">
        <f>'One-par'!B45</f>
        <v>16599</v>
      </c>
      <c r="E44" s="32">
        <f>'Zero-par'!B45</f>
        <v>9080</v>
      </c>
      <c r="F44" s="32">
        <f>TRec!B45</f>
        <v>64891</v>
      </c>
      <c r="G44" s="32">
        <f>Adults!B45</f>
        <v>15809</v>
      </c>
      <c r="H44" s="32">
        <f>Children!B45</f>
        <v>49082</v>
      </c>
    </row>
    <row r="45" spans="1:8" s="31" customFormat="1" x14ac:dyDescent="0.2">
      <c r="A45" s="10" t="s">
        <v>43</v>
      </c>
      <c r="B45" s="32">
        <f>TFam!B46</f>
        <v>2485</v>
      </c>
      <c r="C45" s="32">
        <f>'Two-par'!B46</f>
        <v>100</v>
      </c>
      <c r="D45" s="32">
        <f>'One-par'!B46</f>
        <v>2233</v>
      </c>
      <c r="E45" s="32">
        <f>'Zero-par'!B46</f>
        <v>152</v>
      </c>
      <c r="F45" s="32">
        <f>TRec!B46</f>
        <v>6932</v>
      </c>
      <c r="G45" s="32">
        <f>Adults!B46</f>
        <v>2568</v>
      </c>
      <c r="H45" s="32">
        <f>Children!B46</f>
        <v>4364</v>
      </c>
    </row>
    <row r="46" spans="1:8" s="31" customFormat="1" x14ac:dyDescent="0.2">
      <c r="A46" s="10" t="s">
        <v>44</v>
      </c>
      <c r="B46" s="30">
        <f>TFam!B47</f>
        <v>3359</v>
      </c>
      <c r="C46" s="30">
        <f>'Two-par'!B47</f>
        <v>212</v>
      </c>
      <c r="D46" s="30">
        <f>'One-par'!B47</f>
        <v>2539</v>
      </c>
      <c r="E46" s="30">
        <f>'Zero-par'!B47</f>
        <v>608</v>
      </c>
      <c r="F46" s="30">
        <f>TRec!B47</f>
        <v>8787</v>
      </c>
      <c r="G46" s="30">
        <f>Adults!B47</f>
        <v>2633</v>
      </c>
      <c r="H46" s="30">
        <f>Children!B47</f>
        <v>6154</v>
      </c>
    </row>
    <row r="47" spans="1:8" s="31" customFormat="1" x14ac:dyDescent="0.2">
      <c r="A47" s="10" t="s">
        <v>45</v>
      </c>
      <c r="B47" s="30">
        <f>TFam!B48</f>
        <v>5564</v>
      </c>
      <c r="C47" s="30">
        <f>'Two-par'!B48</f>
        <v>0</v>
      </c>
      <c r="D47" s="30">
        <f>'One-par'!B48</f>
        <v>2386</v>
      </c>
      <c r="E47" s="30">
        <f>'Zero-par'!B48</f>
        <v>3178</v>
      </c>
      <c r="F47" s="30">
        <f>TRec!B48</f>
        <v>12728</v>
      </c>
      <c r="G47" s="30">
        <f>Adults!B48</f>
        <v>2386</v>
      </c>
      <c r="H47" s="30">
        <f>Children!B48</f>
        <v>10342</v>
      </c>
    </row>
    <row r="48" spans="1:8" s="31" customFormat="1" x14ac:dyDescent="0.2">
      <c r="A48" s="10" t="s">
        <v>46</v>
      </c>
      <c r="B48" s="32">
        <f>TFam!B49</f>
        <v>2479</v>
      </c>
      <c r="C48" s="32">
        <f>'Two-par'!B49</f>
        <v>0</v>
      </c>
      <c r="D48" s="32">
        <f>'One-par'!B49</f>
        <v>359</v>
      </c>
      <c r="E48" s="32">
        <f>'Zero-par'!B49</f>
        <v>2120</v>
      </c>
      <c r="F48" s="32">
        <f>TRec!B49</f>
        <v>4950</v>
      </c>
      <c r="G48" s="32">
        <f>Adults!B49</f>
        <v>359</v>
      </c>
      <c r="H48" s="32">
        <f>Children!B49</f>
        <v>4591</v>
      </c>
    </row>
    <row r="49" spans="1:18" s="31" customFormat="1" x14ac:dyDescent="0.2">
      <c r="A49" s="10" t="s">
        <v>47</v>
      </c>
      <c r="B49" s="30">
        <f>TFam!B50</f>
        <v>13022</v>
      </c>
      <c r="C49" s="30">
        <f>'Two-par'!B50</f>
        <v>263</v>
      </c>
      <c r="D49" s="30">
        <f>'One-par'!B50</f>
        <v>4644</v>
      </c>
      <c r="E49" s="30">
        <f>'Zero-par'!B50</f>
        <v>8115</v>
      </c>
      <c r="F49" s="30">
        <f>TRec!B50</f>
        <v>28104</v>
      </c>
      <c r="G49" s="30">
        <f>Adults!B50</f>
        <v>5704</v>
      </c>
      <c r="H49" s="30">
        <f>Children!B50</f>
        <v>22400</v>
      </c>
    </row>
    <row r="50" spans="1:18" s="31" customFormat="1" x14ac:dyDescent="0.2">
      <c r="A50" s="10" t="s">
        <v>48</v>
      </c>
      <c r="B50" s="30">
        <f>TFam!B51</f>
        <v>9560</v>
      </c>
      <c r="C50" s="30">
        <f>'Two-par'!B51</f>
        <v>0</v>
      </c>
      <c r="D50" s="30">
        <f>'One-par'!B51</f>
        <v>2537</v>
      </c>
      <c r="E50" s="30">
        <f>'Zero-par'!B51</f>
        <v>7023</v>
      </c>
      <c r="F50" s="30">
        <f>TRec!B51</f>
        <v>19079</v>
      </c>
      <c r="G50" s="30">
        <f>Adults!B51</f>
        <v>2537</v>
      </c>
      <c r="H50" s="30">
        <f>Children!B51</f>
        <v>16542</v>
      </c>
    </row>
    <row r="51" spans="1:18" s="31" customFormat="1" x14ac:dyDescent="0.2">
      <c r="A51" s="10" t="s">
        <v>49</v>
      </c>
      <c r="B51" s="30">
        <f>TFam!B52</f>
        <v>1920</v>
      </c>
      <c r="C51" s="30">
        <f>'Two-par'!B52</f>
        <v>0</v>
      </c>
      <c r="D51" s="30">
        <f>'One-par'!B52</f>
        <v>811</v>
      </c>
      <c r="E51" s="30">
        <f>'Zero-par'!B52</f>
        <v>1109</v>
      </c>
      <c r="F51" s="30">
        <f>TRec!B52</f>
        <v>4419</v>
      </c>
      <c r="G51" s="30">
        <f>Adults!B52</f>
        <v>1151</v>
      </c>
      <c r="H51" s="30">
        <f>Children!B52</f>
        <v>3268</v>
      </c>
    </row>
    <row r="52" spans="1:18" s="31" customFormat="1" x14ac:dyDescent="0.2">
      <c r="A52" s="10" t="s">
        <v>50</v>
      </c>
      <c r="B52" s="30">
        <f>TFam!B53</f>
        <v>1692</v>
      </c>
      <c r="C52" s="30">
        <f>'Two-par'!B53</f>
        <v>107</v>
      </c>
      <c r="D52" s="30">
        <f>'One-par'!B53</f>
        <v>606</v>
      </c>
      <c r="E52" s="30">
        <f>'Zero-par'!B53</f>
        <v>979</v>
      </c>
      <c r="F52" s="30">
        <f>TRec!B53</f>
        <v>3522</v>
      </c>
      <c r="G52" s="30">
        <f>Adults!B53</f>
        <v>825</v>
      </c>
      <c r="H52" s="30">
        <f>Children!B53</f>
        <v>2697</v>
      </c>
    </row>
    <row r="53" spans="1:18" s="31" customFormat="1" x14ac:dyDescent="0.2">
      <c r="A53" s="10" t="s">
        <v>51</v>
      </c>
      <c r="B53" s="32">
        <f>TFam!B54</f>
        <v>59</v>
      </c>
      <c r="C53" s="32">
        <f>'Two-par'!B54</f>
        <v>0</v>
      </c>
      <c r="D53" s="32">
        <f>'One-par'!B54</f>
        <v>48</v>
      </c>
      <c r="E53" s="32">
        <f>'Zero-par'!B54</f>
        <v>11</v>
      </c>
      <c r="F53" s="32">
        <f>TRec!B54</f>
        <v>203</v>
      </c>
      <c r="G53" s="32">
        <f>Adults!B54</f>
        <v>59</v>
      </c>
      <c r="H53" s="32">
        <f>Children!B54</f>
        <v>144</v>
      </c>
    </row>
    <row r="54" spans="1:18" s="31" customFormat="1" x14ac:dyDescent="0.2">
      <c r="A54" s="10" t="s">
        <v>52</v>
      </c>
      <c r="B54" s="30">
        <f>TFam!B55</f>
        <v>13941</v>
      </c>
      <c r="C54" s="30">
        <f>'Two-par'!B55</f>
        <v>0</v>
      </c>
      <c r="D54" s="30">
        <f>'One-par'!B55</f>
        <v>7333</v>
      </c>
      <c r="E54" s="30">
        <f>'Zero-par'!B55</f>
        <v>6608</v>
      </c>
      <c r="F54" s="30">
        <f>TRec!B55</f>
        <v>31488</v>
      </c>
      <c r="G54" s="30">
        <f>Adults!B55</f>
        <v>7260</v>
      </c>
      <c r="H54" s="30">
        <f>Children!B55</f>
        <v>24228</v>
      </c>
    </row>
    <row r="55" spans="1:18" s="31" customFormat="1" x14ac:dyDescent="0.2">
      <c r="A55" s="10" t="s">
        <v>53</v>
      </c>
      <c r="B55" s="30">
        <f>TFam!B56</f>
        <v>31516</v>
      </c>
      <c r="C55" s="30">
        <f>'Two-par'!B56</f>
        <v>3918</v>
      </c>
      <c r="D55" s="30">
        <f>'One-par'!B56</f>
        <v>17304</v>
      </c>
      <c r="E55" s="30">
        <f>'Zero-par'!B56</f>
        <v>10294</v>
      </c>
      <c r="F55" s="30">
        <f>TRec!B56</f>
        <v>78690</v>
      </c>
      <c r="G55" s="30">
        <f>Adults!B56</f>
        <v>25606</v>
      </c>
      <c r="H55" s="30">
        <f>Children!B56</f>
        <v>53084</v>
      </c>
    </row>
    <row r="56" spans="1:18" s="31" customFormat="1" x14ac:dyDescent="0.2">
      <c r="A56" s="10" t="s">
        <v>54</v>
      </c>
      <c r="B56" s="32">
        <f>TFam!B57</f>
        <v>4973</v>
      </c>
      <c r="C56" s="32">
        <f>'Two-par'!B57</f>
        <v>0</v>
      </c>
      <c r="D56" s="32">
        <f>'One-par'!B57</f>
        <v>1218</v>
      </c>
      <c r="E56" s="32">
        <f>'Zero-par'!B57</f>
        <v>3755</v>
      </c>
      <c r="F56" s="32">
        <f>TRec!B57</f>
        <v>9778</v>
      </c>
      <c r="G56" s="32">
        <f>Adults!B57</f>
        <v>1625</v>
      </c>
      <c r="H56" s="32">
        <f>Children!B57</f>
        <v>8153</v>
      </c>
    </row>
    <row r="57" spans="1:18" s="31" customFormat="1" x14ac:dyDescent="0.2">
      <c r="A57" s="10" t="s">
        <v>55</v>
      </c>
      <c r="B57" s="30">
        <f>TFam!B58</f>
        <v>11384</v>
      </c>
      <c r="C57" s="30">
        <f>'Two-par'!B58</f>
        <v>78</v>
      </c>
      <c r="D57" s="30">
        <f>'One-par'!B58</f>
        <v>3119</v>
      </c>
      <c r="E57" s="30">
        <f>'Zero-par'!B58</f>
        <v>8187</v>
      </c>
      <c r="F57" s="30">
        <f>TRec!B58</f>
        <v>23731</v>
      </c>
      <c r="G57" s="30">
        <f>Adults!B58</f>
        <v>3462</v>
      </c>
      <c r="H57" s="30">
        <f>Children!B58</f>
        <v>20269</v>
      </c>
    </row>
    <row r="58" spans="1:18" s="31" customFormat="1" x14ac:dyDescent="0.2">
      <c r="A58" s="19" t="s">
        <v>56</v>
      </c>
      <c r="B58" s="33">
        <f>TFam!B59</f>
        <v>456</v>
      </c>
      <c r="C58" s="33">
        <f>'Two-par'!B59</f>
        <v>13</v>
      </c>
      <c r="D58" s="33">
        <f>'One-par'!B59</f>
        <v>225</v>
      </c>
      <c r="E58" s="33">
        <f>'Zero-par'!B59</f>
        <v>218</v>
      </c>
      <c r="F58" s="33">
        <f>TRec!B59</f>
        <v>1117</v>
      </c>
      <c r="G58" s="33">
        <f>Adults!B59</f>
        <v>251</v>
      </c>
      <c r="H58" s="33">
        <f>Children!B59</f>
        <v>866</v>
      </c>
    </row>
    <row r="59" spans="1:18" x14ac:dyDescent="0.2">
      <c r="A59" s="82">
        <f>TFam!$A$3</f>
        <v>45687</v>
      </c>
      <c r="B59" s="72"/>
      <c r="C59" s="72"/>
      <c r="D59" s="72"/>
      <c r="E59" s="72"/>
      <c r="F59" s="72"/>
      <c r="G59" s="72"/>
      <c r="H59" s="72"/>
      <c r="I59" s="58"/>
      <c r="J59" s="58"/>
      <c r="K59" s="58"/>
      <c r="L59" s="58"/>
      <c r="M59" s="58"/>
      <c r="N59" s="58"/>
      <c r="O59" s="58"/>
      <c r="P59" s="58"/>
      <c r="Q59" s="58"/>
      <c r="R59" s="58"/>
    </row>
    <row r="60" spans="1:18" x14ac:dyDescent="0.2">
      <c r="A60" s="70" t="s">
        <v>57</v>
      </c>
      <c r="B60" s="70"/>
      <c r="C60" s="70"/>
      <c r="D60" s="70"/>
      <c r="E60" s="70"/>
      <c r="F60" s="70"/>
      <c r="G60" s="70"/>
      <c r="H60" s="70"/>
    </row>
    <row r="61" spans="1:18" x14ac:dyDescent="0.2">
      <c r="A61" s="70" t="s">
        <v>58</v>
      </c>
      <c r="B61" s="70"/>
      <c r="C61" s="70"/>
      <c r="D61" s="70"/>
      <c r="E61" s="70"/>
      <c r="F61" s="70"/>
      <c r="G61" s="70"/>
      <c r="H61" s="70"/>
    </row>
    <row r="62" spans="1:18" x14ac:dyDescent="0.2">
      <c r="A62" s="70" t="s">
        <v>74</v>
      </c>
      <c r="B62" s="70"/>
      <c r="C62" s="70"/>
      <c r="D62" s="70"/>
      <c r="E62" s="70"/>
      <c r="F62" s="70"/>
      <c r="G62" s="70"/>
      <c r="H62" s="70"/>
    </row>
    <row r="63" spans="1:18" x14ac:dyDescent="0.2">
      <c r="B63" s="36"/>
      <c r="C63" s="36"/>
      <c r="F63" s="36"/>
      <c r="G63" s="37"/>
      <c r="H63" s="37"/>
    </row>
    <row r="64" spans="1:18" x14ac:dyDescent="0.2">
      <c r="B64" s="36"/>
      <c r="C64" s="36"/>
      <c r="F64" s="36"/>
      <c r="G64" s="37"/>
      <c r="H64" s="37"/>
    </row>
    <row r="65" spans="3:8" s="34" customFormat="1" x14ac:dyDescent="0.2">
      <c r="C65" s="36"/>
      <c r="F65" s="36"/>
      <c r="G65" s="37"/>
      <c r="H65" s="37"/>
    </row>
    <row r="66" spans="3:8" s="34" customFormat="1" x14ac:dyDescent="0.2">
      <c r="C66" s="36"/>
      <c r="F66" s="36"/>
      <c r="G66" s="37"/>
      <c r="H66" s="37"/>
    </row>
    <row r="67" spans="3:8" s="34" customFormat="1" x14ac:dyDescent="0.2">
      <c r="F67" s="36"/>
      <c r="G67" s="37"/>
      <c r="H67" s="37"/>
    </row>
    <row r="68" spans="3:8" s="34" customFormat="1" x14ac:dyDescent="0.2">
      <c r="F68" s="36"/>
      <c r="G68" s="37"/>
      <c r="H68" s="37"/>
    </row>
    <row r="69" spans="3:8" s="34" customFormat="1" x14ac:dyDescent="0.2">
      <c r="F69" s="36"/>
      <c r="G69" s="37"/>
      <c r="H69" s="37"/>
    </row>
    <row r="70" spans="3:8" s="34" customFormat="1" x14ac:dyDescent="0.2">
      <c r="F70" s="36"/>
      <c r="G70" s="37"/>
      <c r="H70" s="37"/>
    </row>
    <row r="71" spans="3:8" s="34" customFormat="1" x14ac:dyDescent="0.2">
      <c r="F71" s="36"/>
      <c r="G71" s="37"/>
    </row>
    <row r="72" spans="3:8" s="34" customFormat="1" x14ac:dyDescent="0.2">
      <c r="F72" s="36"/>
      <c r="G72" s="37"/>
    </row>
    <row r="73" spans="3:8" s="34" customFormat="1" x14ac:dyDescent="0.2">
      <c r="F73" s="36"/>
      <c r="G73" s="37"/>
    </row>
    <row r="74" spans="3:8" s="34" customFormat="1" x14ac:dyDescent="0.2">
      <c r="F74" s="36"/>
      <c r="G74" s="37"/>
    </row>
    <row r="75" spans="3:8" s="34" customFormat="1" x14ac:dyDescent="0.2">
      <c r="F75" s="36"/>
      <c r="G75" s="37"/>
    </row>
    <row r="76" spans="3:8" s="34" customFormat="1" x14ac:dyDescent="0.2">
      <c r="F76" s="36"/>
      <c r="G76" s="37"/>
    </row>
    <row r="77" spans="3:8" s="34" customFormat="1" x14ac:dyDescent="0.2">
      <c r="F77" s="36"/>
      <c r="G77" s="37"/>
    </row>
    <row r="78" spans="3:8" s="34" customFormat="1" x14ac:dyDescent="0.2">
      <c r="F78" s="36"/>
      <c r="G78" s="37"/>
    </row>
    <row r="79" spans="3:8" s="34" customFormat="1" x14ac:dyDescent="0.2">
      <c r="F79" s="36"/>
      <c r="G79" s="37"/>
    </row>
    <row r="80" spans="3:8" s="34" customFormat="1" x14ac:dyDescent="0.2">
      <c r="F80" s="36"/>
      <c r="G80" s="37"/>
    </row>
    <row r="81" spans="6:7" s="34" customFormat="1" x14ac:dyDescent="0.2">
      <c r="F81" s="36"/>
      <c r="G81" s="37"/>
    </row>
    <row r="82" spans="6:7" s="34" customFormat="1" x14ac:dyDescent="0.2">
      <c r="F82" s="36"/>
      <c r="G82" s="37"/>
    </row>
    <row r="83" spans="6:7" s="34" customFormat="1" x14ac:dyDescent="0.2">
      <c r="F83" s="36"/>
      <c r="G83" s="37"/>
    </row>
    <row r="84" spans="6:7" s="34" customFormat="1" x14ac:dyDescent="0.2">
      <c r="F84" s="36"/>
      <c r="G84" s="37"/>
    </row>
    <row r="85" spans="6:7" s="34" customFormat="1" x14ac:dyDescent="0.2">
      <c r="F85" s="37"/>
      <c r="G85" s="37"/>
    </row>
    <row r="86" spans="6:7" s="34" customFormat="1" x14ac:dyDescent="0.2">
      <c r="F86" s="37"/>
      <c r="G86" s="37"/>
    </row>
    <row r="87" spans="6:7" s="34" customFormat="1" x14ac:dyDescent="0.2">
      <c r="F87" s="37"/>
      <c r="G87" s="37"/>
    </row>
    <row r="88" spans="6:7" s="34" customFormat="1" x14ac:dyDescent="0.2">
      <c r="F88" s="37"/>
      <c r="G88" s="37"/>
    </row>
    <row r="89" spans="6:7" s="34" customFormat="1" x14ac:dyDescent="0.2">
      <c r="F89" s="37"/>
      <c r="G89" s="37"/>
    </row>
    <row r="90" spans="6:7" s="34" customFormat="1" x14ac:dyDescent="0.2">
      <c r="F90" s="37"/>
      <c r="G90" s="37"/>
    </row>
    <row r="91" spans="6:7" s="34" customFormat="1" x14ac:dyDescent="0.2">
      <c r="F91" s="37"/>
      <c r="G91" s="37"/>
    </row>
    <row r="92" spans="6:7" s="34" customFormat="1" x14ac:dyDescent="0.2">
      <c r="F92" s="37"/>
      <c r="G92" s="37"/>
    </row>
    <row r="93" spans="6:7" s="34" customFormat="1" x14ac:dyDescent="0.2">
      <c r="F93" s="37"/>
      <c r="G93" s="37"/>
    </row>
    <row r="94" spans="6:7" s="34" customFormat="1" x14ac:dyDescent="0.2">
      <c r="F94" s="37"/>
      <c r="G94" s="37"/>
    </row>
    <row r="95" spans="6:7" s="34" customFormat="1" x14ac:dyDescent="0.2">
      <c r="F95" s="37"/>
      <c r="G95" s="37"/>
    </row>
    <row r="96" spans="6:7" s="34" customFormat="1" x14ac:dyDescent="0.2">
      <c r="F96" s="37"/>
      <c r="G96" s="37"/>
    </row>
    <row r="97" spans="6:7" s="34" customFormat="1" x14ac:dyDescent="0.2">
      <c r="F97" s="37"/>
      <c r="G97" s="37"/>
    </row>
    <row r="98" spans="6:7" s="34" customFormat="1" x14ac:dyDescent="0.2">
      <c r="F98" s="37"/>
    </row>
    <row r="99" spans="6:7" s="34" customFormat="1" x14ac:dyDescent="0.2">
      <c r="F99" s="37"/>
    </row>
    <row r="100" spans="6:7" s="34" customFormat="1" x14ac:dyDescent="0.2">
      <c r="F100" s="37"/>
    </row>
    <row r="101" spans="6:7" s="34" customFormat="1" x14ac:dyDescent="0.2">
      <c r="F101" s="37"/>
    </row>
    <row r="102" spans="6:7" s="34" customFormat="1" x14ac:dyDescent="0.2">
      <c r="F102" s="37"/>
    </row>
    <row r="103" spans="6:7" s="34" customFormat="1" x14ac:dyDescent="0.2">
      <c r="F103" s="37"/>
    </row>
    <row r="104" spans="6:7" s="34" customFormat="1" x14ac:dyDescent="0.2">
      <c r="F104" s="37"/>
    </row>
    <row r="105" spans="6:7" s="34" customFormat="1" x14ac:dyDescent="0.2">
      <c r="F105" s="37"/>
    </row>
    <row r="106" spans="6:7" s="34" customFormat="1" x14ac:dyDescent="0.2">
      <c r="F106" s="37"/>
    </row>
    <row r="107" spans="6:7" s="34" customFormat="1" x14ac:dyDescent="0.2">
      <c r="F107" s="37"/>
    </row>
    <row r="108" spans="6:7" s="34" customFormat="1" x14ac:dyDescent="0.2">
      <c r="F108" s="37"/>
    </row>
    <row r="109" spans="6:7" s="34" customFormat="1" x14ac:dyDescent="0.2">
      <c r="F109" s="37"/>
    </row>
    <row r="110" spans="6:7" s="34" customFormat="1" x14ac:dyDescent="0.2">
      <c r="F110" s="37"/>
    </row>
    <row r="111" spans="6:7" s="34" customFormat="1" x14ac:dyDescent="0.2">
      <c r="F111" s="37"/>
    </row>
    <row r="112" spans="6:7" s="34" customFormat="1" x14ac:dyDescent="0.2">
      <c r="F112" s="37"/>
    </row>
    <row r="113" spans="6:6" s="34" customFormat="1" x14ac:dyDescent="0.2">
      <c r="F113" s="37"/>
    </row>
    <row r="114" spans="6:6" s="34" customFormat="1" x14ac:dyDescent="0.2">
      <c r="F114" s="37"/>
    </row>
    <row r="115" spans="6:6" s="34" customFormat="1" x14ac:dyDescent="0.2">
      <c r="F115" s="37"/>
    </row>
    <row r="116" spans="6:6" s="34" customFormat="1" x14ac:dyDescent="0.2">
      <c r="F116" s="37"/>
    </row>
    <row r="117" spans="6:6" s="34" customFormat="1" x14ac:dyDescent="0.2">
      <c r="F117" s="37"/>
    </row>
    <row r="118" spans="6:6" s="34" customFormat="1" x14ac:dyDescent="0.2">
      <c r="F118" s="37"/>
    </row>
    <row r="119" spans="6:6" s="34" customFormat="1" x14ac:dyDescent="0.2">
      <c r="F119" s="37"/>
    </row>
    <row r="120" spans="6:6" s="34" customFormat="1" x14ac:dyDescent="0.2">
      <c r="F120" s="37"/>
    </row>
    <row r="121" spans="6:6" s="34" customFormat="1" x14ac:dyDescent="0.2">
      <c r="F121" s="37"/>
    </row>
    <row r="122" spans="6:6" s="34" customFormat="1" x14ac:dyDescent="0.2">
      <c r="F122" s="37"/>
    </row>
    <row r="123" spans="6:6" s="34" customFormat="1" x14ac:dyDescent="0.2">
      <c r="F123" s="37"/>
    </row>
    <row r="124" spans="6:6" s="34" customFormat="1" x14ac:dyDescent="0.2">
      <c r="F124" s="37"/>
    </row>
    <row r="125" spans="6:6" s="34" customFormat="1" x14ac:dyDescent="0.2">
      <c r="F125" s="37"/>
    </row>
    <row r="126" spans="6:6" s="34" customFormat="1" x14ac:dyDescent="0.2">
      <c r="F126" s="37"/>
    </row>
    <row r="127" spans="6:6" s="34" customFormat="1" x14ac:dyDescent="0.2">
      <c r="F127" s="37"/>
    </row>
    <row r="128" spans="6:6" s="34" customFormat="1" x14ac:dyDescent="0.2">
      <c r="F128" s="37"/>
    </row>
    <row r="129" spans="6:6" s="34" customFormat="1" x14ac:dyDescent="0.2">
      <c r="F129" s="37"/>
    </row>
    <row r="130" spans="6:6" s="34" customFormat="1" x14ac:dyDescent="0.2">
      <c r="F130" s="37"/>
    </row>
    <row r="131" spans="6:6" s="34" customFormat="1" x14ac:dyDescent="0.2">
      <c r="F131" s="37"/>
    </row>
    <row r="132" spans="6:6" s="34" customFormat="1" x14ac:dyDescent="0.2">
      <c r="F132" s="37"/>
    </row>
    <row r="133" spans="6:6" s="34" customFormat="1" x14ac:dyDescent="0.2">
      <c r="F133" s="37"/>
    </row>
    <row r="134" spans="6:6" s="34" customFormat="1" x14ac:dyDescent="0.2">
      <c r="F134" s="37"/>
    </row>
    <row r="135" spans="6:6" s="34" customFormat="1" x14ac:dyDescent="0.2">
      <c r="F135" s="37"/>
    </row>
    <row r="136" spans="6:6" s="34" customFormat="1" x14ac:dyDescent="0.2">
      <c r="F136" s="37"/>
    </row>
    <row r="137" spans="6:6" s="34" customFormat="1" x14ac:dyDescent="0.2">
      <c r="F137" s="37"/>
    </row>
    <row r="138" spans="6:6" s="34" customFormat="1" x14ac:dyDescent="0.2">
      <c r="F138" s="37"/>
    </row>
    <row r="139" spans="6:6" s="34" customFormat="1" x14ac:dyDescent="0.2">
      <c r="F139" s="37"/>
    </row>
    <row r="140" spans="6:6" s="34" customFormat="1" x14ac:dyDescent="0.2">
      <c r="F140" s="37"/>
    </row>
    <row r="141" spans="6:6" s="34" customFormat="1" x14ac:dyDescent="0.2">
      <c r="F141" s="37"/>
    </row>
    <row r="142" spans="6:6" s="34" customFormat="1" x14ac:dyDescent="0.2">
      <c r="F142" s="37"/>
    </row>
    <row r="143" spans="6:6" s="34" customFormat="1" x14ac:dyDescent="0.2">
      <c r="F143" s="37"/>
    </row>
  </sheetData>
  <pageMargins left="0.7" right="0.7" top="0.75" bottom="0.75" header="0.3" footer="0.3"/>
  <pageSetup scale="9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43"/>
  <sheetViews>
    <sheetView topLeftCell="A43" workbookViewId="0"/>
  </sheetViews>
  <sheetFormatPr defaultColWidth="9.21875" defaultRowHeight="10.199999999999999" x14ac:dyDescent="0.2"/>
  <cols>
    <col min="1" max="1" width="14.21875" style="35" bestFit="1" customWidth="1"/>
    <col min="2" max="8" width="11.21875" style="34" customWidth="1"/>
    <col min="9" max="16384" width="9.21875" style="34"/>
  </cols>
  <sheetData>
    <row r="1" spans="1:8" s="24" customFormat="1" ht="15.6" x14ac:dyDescent="0.3">
      <c r="A1" s="85" t="s">
        <v>82</v>
      </c>
      <c r="B1" s="85"/>
      <c r="C1" s="85"/>
      <c r="D1" s="85"/>
      <c r="E1" s="85"/>
      <c r="F1" s="85"/>
      <c r="G1" s="85"/>
      <c r="H1" s="85"/>
    </row>
    <row r="2" spans="1:8" s="24" customFormat="1" ht="12.75" customHeight="1" x14ac:dyDescent="0.25">
      <c r="A2" s="87" t="str">
        <f>'Oct23'!$A$2</f>
        <v>Temporary Assistance for Needy Families (TANF)</v>
      </c>
      <c r="B2" s="87"/>
      <c r="C2" s="87"/>
      <c r="D2" s="87"/>
      <c r="E2" s="87"/>
      <c r="F2" s="87"/>
      <c r="G2" s="87"/>
      <c r="H2" s="87"/>
    </row>
    <row r="3" spans="1:8" s="27" customFormat="1" ht="30.6" x14ac:dyDescent="0.2">
      <c r="A3" s="25" t="s">
        <v>1</v>
      </c>
      <c r="B3" s="26" t="s">
        <v>66</v>
      </c>
      <c r="C3" s="26" t="s">
        <v>67</v>
      </c>
      <c r="D3" s="26" t="s">
        <v>68</v>
      </c>
      <c r="E3" s="26" t="s">
        <v>69</v>
      </c>
      <c r="F3" s="26" t="s">
        <v>70</v>
      </c>
      <c r="G3" s="26" t="s">
        <v>71</v>
      </c>
      <c r="H3" s="26" t="s">
        <v>72</v>
      </c>
    </row>
    <row r="4" spans="1:8" s="29" customFormat="1" x14ac:dyDescent="0.2">
      <c r="A4" s="7" t="s">
        <v>2</v>
      </c>
      <c r="B4" s="28">
        <f>TFam!C5</f>
        <v>838009</v>
      </c>
      <c r="C4" s="28">
        <f>'Two-par'!C5</f>
        <v>53794</v>
      </c>
      <c r="D4" s="28">
        <f>'One-par'!C5</f>
        <v>433579</v>
      </c>
      <c r="E4" s="28">
        <f>'Zero-par'!C5</f>
        <v>350636</v>
      </c>
      <c r="F4" s="28">
        <f>TRec!C5</f>
        <v>2048491</v>
      </c>
      <c r="G4" s="28">
        <f>Adults!C5</f>
        <v>549891</v>
      </c>
      <c r="H4" s="28">
        <f>Children!C5</f>
        <v>1498600</v>
      </c>
    </row>
    <row r="5" spans="1:8" s="31" customFormat="1" x14ac:dyDescent="0.2">
      <c r="A5" s="38" t="s">
        <v>3</v>
      </c>
      <c r="B5" s="30">
        <f>TFam!C6</f>
        <v>5789</v>
      </c>
      <c r="C5" s="30">
        <f>'Two-par'!C6</f>
        <v>35</v>
      </c>
      <c r="D5" s="30">
        <f>'One-par'!C6</f>
        <v>2358</v>
      </c>
      <c r="E5" s="30">
        <f>'Zero-par'!C6</f>
        <v>3396</v>
      </c>
      <c r="F5" s="30">
        <f>TRec!C6</f>
        <v>13649</v>
      </c>
      <c r="G5" s="30">
        <f>Adults!C6</f>
        <v>2483</v>
      </c>
      <c r="H5" s="30">
        <f>Children!C6</f>
        <v>11166</v>
      </c>
    </row>
    <row r="6" spans="1:8" s="31" customFormat="1" x14ac:dyDescent="0.2">
      <c r="A6" s="38" t="s">
        <v>4</v>
      </c>
      <c r="B6" s="32">
        <f>TFam!C7</f>
        <v>1058</v>
      </c>
      <c r="C6" s="32">
        <f>'Two-par'!C7</f>
        <v>133</v>
      </c>
      <c r="D6" s="32">
        <f>'One-par'!C7</f>
        <v>556</v>
      </c>
      <c r="E6" s="32">
        <f>'Zero-par'!C7</f>
        <v>369</v>
      </c>
      <c r="F6" s="32">
        <f>TRec!C7</f>
        <v>2940</v>
      </c>
      <c r="G6" s="32">
        <f>Adults!C7</f>
        <v>862</v>
      </c>
      <c r="H6" s="32">
        <f>Children!C7</f>
        <v>2078</v>
      </c>
    </row>
    <row r="7" spans="1:8" s="31" customFormat="1" x14ac:dyDescent="0.2">
      <c r="A7" s="38" t="s">
        <v>5</v>
      </c>
      <c r="B7" s="32">
        <f>TFam!C8</f>
        <v>5096</v>
      </c>
      <c r="C7" s="32">
        <f>'Two-par'!C8</f>
        <v>268</v>
      </c>
      <c r="D7" s="32">
        <f>'One-par'!C8</f>
        <v>1317</v>
      </c>
      <c r="E7" s="32">
        <f>'Zero-par'!C8</f>
        <v>3511</v>
      </c>
      <c r="F7" s="32">
        <f>TRec!C8</f>
        <v>10474</v>
      </c>
      <c r="G7" s="32">
        <f>Adults!C8</f>
        <v>1867</v>
      </c>
      <c r="H7" s="32">
        <f>Children!C8</f>
        <v>8607</v>
      </c>
    </row>
    <row r="8" spans="1:8" s="31" customFormat="1" x14ac:dyDescent="0.2">
      <c r="A8" s="38" t="s">
        <v>6</v>
      </c>
      <c r="B8" s="32">
        <f>TFam!C9</f>
        <v>969</v>
      </c>
      <c r="C8" s="32">
        <f>'Two-par'!C9</f>
        <v>35</v>
      </c>
      <c r="D8" s="32">
        <f>'One-par'!C9</f>
        <v>537</v>
      </c>
      <c r="E8" s="32">
        <f>'Zero-par'!C9</f>
        <v>397</v>
      </c>
      <c r="F8" s="32">
        <f>TRec!C9</f>
        <v>2403</v>
      </c>
      <c r="G8" s="32">
        <f>Adults!C9</f>
        <v>608</v>
      </c>
      <c r="H8" s="32">
        <f>Children!C9</f>
        <v>1795</v>
      </c>
    </row>
    <row r="9" spans="1:8" s="31" customFormat="1" x14ac:dyDescent="0.2">
      <c r="A9" s="38" t="s">
        <v>7</v>
      </c>
      <c r="B9" s="30">
        <f>TFam!C10</f>
        <v>290338</v>
      </c>
      <c r="C9" s="30">
        <f>'Two-par'!C10</f>
        <v>32945</v>
      </c>
      <c r="D9" s="30">
        <f>'One-par'!C10</f>
        <v>158689</v>
      </c>
      <c r="E9" s="30">
        <f>'Zero-par'!C10</f>
        <v>98704</v>
      </c>
      <c r="F9" s="30">
        <f>TRec!C10</f>
        <v>770610</v>
      </c>
      <c r="G9" s="30">
        <f>Adults!C10</f>
        <v>206846</v>
      </c>
      <c r="H9" s="30">
        <f>Children!C10</f>
        <v>563764</v>
      </c>
    </row>
    <row r="10" spans="1:8" s="31" customFormat="1" x14ac:dyDescent="0.2">
      <c r="A10" s="38" t="s">
        <v>8</v>
      </c>
      <c r="B10" s="32">
        <f>TFam!C11</f>
        <v>12163</v>
      </c>
      <c r="C10" s="32">
        <f>'Two-par'!C11</f>
        <v>0</v>
      </c>
      <c r="D10" s="32">
        <f>'One-par'!C11</f>
        <v>7915</v>
      </c>
      <c r="E10" s="32">
        <f>'Zero-par'!C11</f>
        <v>4248</v>
      </c>
      <c r="F10" s="32">
        <f>TRec!C11</f>
        <v>29839</v>
      </c>
      <c r="G10" s="32">
        <f>Adults!C11</f>
        <v>8158</v>
      </c>
      <c r="H10" s="32">
        <f>Children!C11</f>
        <v>21681</v>
      </c>
    </row>
    <row r="11" spans="1:8" s="31" customFormat="1" x14ac:dyDescent="0.2">
      <c r="A11" s="38" t="s">
        <v>9</v>
      </c>
      <c r="B11" s="30">
        <f>TFam!C12</f>
        <v>5181</v>
      </c>
      <c r="C11" s="30">
        <f>'Two-par'!C12</f>
        <v>0</v>
      </c>
      <c r="D11" s="30">
        <f>'One-par'!C12</f>
        <v>1949</v>
      </c>
      <c r="E11" s="30">
        <f>'Zero-par'!C12</f>
        <v>3232</v>
      </c>
      <c r="F11" s="30">
        <f>TRec!C12</f>
        <v>12283</v>
      </c>
      <c r="G11" s="30">
        <f>Adults!C12</f>
        <v>3484</v>
      </c>
      <c r="H11" s="30">
        <f>Children!C12</f>
        <v>8799</v>
      </c>
    </row>
    <row r="12" spans="1:8" s="31" customFormat="1" x14ac:dyDescent="0.2">
      <c r="A12" s="38" t="s">
        <v>10</v>
      </c>
      <c r="B12" s="30">
        <f>TFam!C13</f>
        <v>2690</v>
      </c>
      <c r="C12" s="30">
        <f>'Two-par'!C13</f>
        <v>5</v>
      </c>
      <c r="D12" s="30">
        <f>'One-par'!C13</f>
        <v>741</v>
      </c>
      <c r="E12" s="30">
        <f>'Zero-par'!C13</f>
        <v>1944</v>
      </c>
      <c r="F12" s="30">
        <f>TRec!C13</f>
        <v>7576</v>
      </c>
      <c r="G12" s="30">
        <f>Adults!C13</f>
        <v>3055</v>
      </c>
      <c r="H12" s="30">
        <f>Children!C13</f>
        <v>4521</v>
      </c>
    </row>
    <row r="13" spans="1:8" s="31" customFormat="1" x14ac:dyDescent="0.2">
      <c r="A13" s="38" t="s">
        <v>11</v>
      </c>
      <c r="B13" s="30">
        <f>TFam!C14</f>
        <v>4885</v>
      </c>
      <c r="C13" s="30">
        <f>'Two-par'!C14</f>
        <v>0</v>
      </c>
      <c r="D13" s="30">
        <f>'One-par'!C14</f>
        <v>3464</v>
      </c>
      <c r="E13" s="30">
        <f>'Zero-par'!C14</f>
        <v>1421</v>
      </c>
      <c r="F13" s="30">
        <f>TRec!C14</f>
        <v>15693</v>
      </c>
      <c r="G13" s="30">
        <f>Adults!C14</f>
        <v>3464</v>
      </c>
      <c r="H13" s="30">
        <f>Children!C14</f>
        <v>12229</v>
      </c>
    </row>
    <row r="14" spans="1:8" s="31" customFormat="1" x14ac:dyDescent="0.2">
      <c r="A14" s="38" t="s">
        <v>12</v>
      </c>
      <c r="B14" s="30">
        <f>TFam!C15</f>
        <v>34015</v>
      </c>
      <c r="C14" s="30">
        <f>'Two-par'!C15</f>
        <v>6993</v>
      </c>
      <c r="D14" s="30">
        <f>'One-par'!C15</f>
        <v>7802</v>
      </c>
      <c r="E14" s="30">
        <f>'Zero-par'!C15</f>
        <v>19220</v>
      </c>
      <c r="F14" s="30">
        <f>TRec!C15</f>
        <v>68989</v>
      </c>
      <c r="G14" s="30">
        <f>Adults!C15</f>
        <v>24677</v>
      </c>
      <c r="H14" s="30">
        <f>Children!C15</f>
        <v>44312</v>
      </c>
    </row>
    <row r="15" spans="1:8" s="31" customFormat="1" x14ac:dyDescent="0.2">
      <c r="A15" s="38" t="s">
        <v>13</v>
      </c>
      <c r="B15" s="30">
        <f>TFam!C16</f>
        <v>4424</v>
      </c>
      <c r="C15" s="30">
        <f>'Two-par'!C16</f>
        <v>0</v>
      </c>
      <c r="D15" s="30">
        <f>'One-par'!C16</f>
        <v>194</v>
      </c>
      <c r="E15" s="30">
        <f>'Zero-par'!C16</f>
        <v>4230</v>
      </c>
      <c r="F15" s="30">
        <f>TRec!C16</f>
        <v>7777</v>
      </c>
      <c r="G15" s="30">
        <f>Adults!C16</f>
        <v>197</v>
      </c>
      <c r="H15" s="30">
        <f>Children!C16</f>
        <v>7580</v>
      </c>
    </row>
    <row r="16" spans="1:8" s="31" customFormat="1" x14ac:dyDescent="0.2">
      <c r="A16" s="38" t="s">
        <v>14</v>
      </c>
      <c r="B16" s="32">
        <f>TFam!C17</f>
        <v>146</v>
      </c>
      <c r="C16" s="32">
        <f>'Two-par'!C17</f>
        <v>7</v>
      </c>
      <c r="D16" s="32">
        <f>'One-par'!C17</f>
        <v>40</v>
      </c>
      <c r="E16" s="32">
        <f>'Zero-par'!C17</f>
        <v>99</v>
      </c>
      <c r="F16" s="32">
        <f>TRec!C17</f>
        <v>372</v>
      </c>
      <c r="G16" s="32">
        <f>Adults!C17</f>
        <v>55</v>
      </c>
      <c r="H16" s="32">
        <f>Children!C17</f>
        <v>317</v>
      </c>
    </row>
    <row r="17" spans="1:8" s="31" customFormat="1" x14ac:dyDescent="0.2">
      <c r="A17" s="38" t="s">
        <v>15</v>
      </c>
      <c r="B17" s="30">
        <f>TFam!C18</f>
        <v>3290</v>
      </c>
      <c r="C17" s="30">
        <f>'Two-par'!C18</f>
        <v>553</v>
      </c>
      <c r="D17" s="30">
        <f>'One-par'!C18</f>
        <v>2042</v>
      </c>
      <c r="E17" s="30">
        <f>'Zero-par'!C18</f>
        <v>695</v>
      </c>
      <c r="F17" s="30">
        <f>TRec!C18</f>
        <v>9253</v>
      </c>
      <c r="G17" s="30">
        <f>Adults!C18</f>
        <v>2874</v>
      </c>
      <c r="H17" s="30">
        <f>Children!C18</f>
        <v>6379</v>
      </c>
    </row>
    <row r="18" spans="1:8" s="31" customFormat="1" x14ac:dyDescent="0.2">
      <c r="A18" s="38" t="s">
        <v>16</v>
      </c>
      <c r="B18" s="32">
        <f>TFam!C19</f>
        <v>1479</v>
      </c>
      <c r="C18" s="32">
        <f>'Two-par'!C19</f>
        <v>0</v>
      </c>
      <c r="D18" s="32">
        <f>'One-par'!C19</f>
        <v>15</v>
      </c>
      <c r="E18" s="32">
        <f>'Zero-par'!C19</f>
        <v>1464</v>
      </c>
      <c r="F18" s="32">
        <f>TRec!C19</f>
        <v>2005</v>
      </c>
      <c r="G18" s="32">
        <f>Adults!C19</f>
        <v>14</v>
      </c>
      <c r="H18" s="32">
        <f>Children!C19</f>
        <v>1991</v>
      </c>
    </row>
    <row r="19" spans="1:8" s="31" customFormat="1" x14ac:dyDescent="0.2">
      <c r="A19" s="38" t="s">
        <v>17</v>
      </c>
      <c r="B19" s="30">
        <f>TFam!C20</f>
        <v>9781</v>
      </c>
      <c r="C19" s="30">
        <f>'Two-par'!C20</f>
        <v>0</v>
      </c>
      <c r="D19" s="30">
        <f>'One-par'!C20</f>
        <v>2326</v>
      </c>
      <c r="E19" s="30">
        <f>'Zero-par'!C20</f>
        <v>7455</v>
      </c>
      <c r="F19" s="30">
        <f>TRec!C20</f>
        <v>19766</v>
      </c>
      <c r="G19" s="30">
        <f>Adults!C20</f>
        <v>2415</v>
      </c>
      <c r="H19" s="30">
        <f>Children!C20</f>
        <v>17351</v>
      </c>
    </row>
    <row r="20" spans="1:8" s="31" customFormat="1" x14ac:dyDescent="0.2">
      <c r="A20" s="38" t="s">
        <v>18</v>
      </c>
      <c r="B20" s="30">
        <f>TFam!C21</f>
        <v>5523</v>
      </c>
      <c r="C20" s="30">
        <f>'Two-par'!C21</f>
        <v>964</v>
      </c>
      <c r="D20" s="30">
        <f>'One-par'!C21</f>
        <v>2187</v>
      </c>
      <c r="E20" s="30">
        <f>'Zero-par'!C21</f>
        <v>2372</v>
      </c>
      <c r="F20" s="30">
        <f>TRec!C21</f>
        <v>13242</v>
      </c>
      <c r="G20" s="30">
        <f>Adults!C21</f>
        <v>3520</v>
      </c>
      <c r="H20" s="30">
        <f>Children!C21</f>
        <v>9722</v>
      </c>
    </row>
    <row r="21" spans="1:8" s="31" customFormat="1" x14ac:dyDescent="0.2">
      <c r="A21" s="38" t="s">
        <v>19</v>
      </c>
      <c r="B21" s="30">
        <f>TFam!C22</f>
        <v>4176</v>
      </c>
      <c r="C21" s="30">
        <f>'Two-par'!C22</f>
        <v>184</v>
      </c>
      <c r="D21" s="30">
        <f>'One-par'!C22</f>
        <v>1939</v>
      </c>
      <c r="E21" s="30">
        <f>'Zero-par'!C22</f>
        <v>2053</v>
      </c>
      <c r="F21" s="30">
        <f>TRec!C22</f>
        <v>10275</v>
      </c>
      <c r="G21" s="30">
        <f>Adults!C22</f>
        <v>2342</v>
      </c>
      <c r="H21" s="30">
        <f>Children!C22</f>
        <v>7933</v>
      </c>
    </row>
    <row r="22" spans="1:8" s="31" customFormat="1" x14ac:dyDescent="0.2">
      <c r="A22" s="38" t="s">
        <v>20</v>
      </c>
      <c r="B22" s="32">
        <f>TFam!C23</f>
        <v>3003</v>
      </c>
      <c r="C22" s="32">
        <f>'Two-par'!C23</f>
        <v>236</v>
      </c>
      <c r="D22" s="32">
        <f>'One-par'!C23</f>
        <v>1447</v>
      </c>
      <c r="E22" s="32">
        <f>'Zero-par'!C23</f>
        <v>1320</v>
      </c>
      <c r="F22" s="32">
        <f>TRec!C23</f>
        <v>3003</v>
      </c>
      <c r="G22" s="32">
        <f>Adults!C23</f>
        <v>1524</v>
      </c>
      <c r="H22" s="32">
        <f>Children!C23</f>
        <v>1479</v>
      </c>
    </row>
    <row r="23" spans="1:8" s="31" customFormat="1" x14ac:dyDescent="0.2">
      <c r="A23" s="38" t="s">
        <v>21</v>
      </c>
      <c r="B23" s="32">
        <f>TFam!C24</f>
        <v>13677</v>
      </c>
      <c r="C23" s="32">
        <f>'Two-par'!C24</f>
        <v>705</v>
      </c>
      <c r="D23" s="32">
        <f>'One-par'!C24</f>
        <v>4697</v>
      </c>
      <c r="E23" s="32">
        <f>'Zero-par'!C24</f>
        <v>8275</v>
      </c>
      <c r="F23" s="32">
        <f>TRec!C24</f>
        <v>30573</v>
      </c>
      <c r="G23" s="32">
        <f>Adults!C24</f>
        <v>6286</v>
      </c>
      <c r="H23" s="32">
        <f>Children!C24</f>
        <v>24287</v>
      </c>
    </row>
    <row r="24" spans="1:8" s="31" customFormat="1" x14ac:dyDescent="0.2">
      <c r="A24" s="38" t="s">
        <v>22</v>
      </c>
      <c r="B24" s="32">
        <f>TFam!C25</f>
        <v>4826</v>
      </c>
      <c r="C24" s="32">
        <f>'Two-par'!C25</f>
        <v>0</v>
      </c>
      <c r="D24" s="32">
        <f>'One-par'!C25</f>
        <v>2759</v>
      </c>
      <c r="E24" s="32">
        <f>'Zero-par'!C25</f>
        <v>2067</v>
      </c>
      <c r="F24" s="32">
        <f>TRec!C25</f>
        <v>12822</v>
      </c>
      <c r="G24" s="32">
        <f>Adults!C25</f>
        <v>2464</v>
      </c>
      <c r="H24" s="32">
        <f>Children!C25</f>
        <v>10358</v>
      </c>
    </row>
    <row r="25" spans="1:8" s="31" customFormat="1" x14ac:dyDescent="0.2">
      <c r="A25" s="38" t="s">
        <v>23</v>
      </c>
      <c r="B25" s="30">
        <f>TFam!C26</f>
        <v>3498</v>
      </c>
      <c r="C25" s="30">
        <f>'Two-par'!C26</f>
        <v>418</v>
      </c>
      <c r="D25" s="30">
        <f>'One-par'!C26</f>
        <v>2041</v>
      </c>
      <c r="E25" s="30">
        <f>'Zero-par'!C26</f>
        <v>1039</v>
      </c>
      <c r="F25" s="30">
        <f>TRec!C26</f>
        <v>8852</v>
      </c>
      <c r="G25" s="30">
        <f>Adults!C26</f>
        <v>2758</v>
      </c>
      <c r="H25" s="30">
        <f>Children!C26</f>
        <v>6094</v>
      </c>
    </row>
    <row r="26" spans="1:8" s="31" customFormat="1" x14ac:dyDescent="0.2">
      <c r="A26" s="38" t="s">
        <v>24</v>
      </c>
      <c r="B26" s="30">
        <f>TFam!C27</f>
        <v>10602</v>
      </c>
      <c r="C26" s="30">
        <f>'Two-par'!C27</f>
        <v>0</v>
      </c>
      <c r="D26" s="30">
        <f>'One-par'!C27</f>
        <v>7518</v>
      </c>
      <c r="E26" s="30">
        <f>'Zero-par'!C27</f>
        <v>3084</v>
      </c>
      <c r="F26" s="30">
        <f>TRec!C27</f>
        <v>29863</v>
      </c>
      <c r="G26" s="30">
        <f>Adults!C27</f>
        <v>8310</v>
      </c>
      <c r="H26" s="30">
        <f>Children!C27</f>
        <v>21553</v>
      </c>
    </row>
    <row r="27" spans="1:8" s="31" customFormat="1" x14ac:dyDescent="0.2">
      <c r="A27" s="38" t="s">
        <v>25</v>
      </c>
      <c r="B27" s="30">
        <f>TFam!C28</f>
        <v>36798</v>
      </c>
      <c r="C27" s="30">
        <f>'Two-par'!C28</f>
        <v>1896</v>
      </c>
      <c r="D27" s="30">
        <f>'One-par'!C28</f>
        <v>22764</v>
      </c>
      <c r="E27" s="30">
        <f>'Zero-par'!C28</f>
        <v>12138</v>
      </c>
      <c r="F27" s="30">
        <f>TRec!C28</f>
        <v>86431</v>
      </c>
      <c r="G27" s="30">
        <f>Adults!C28</f>
        <v>26081</v>
      </c>
      <c r="H27" s="30">
        <f>Children!C28</f>
        <v>60350</v>
      </c>
    </row>
    <row r="28" spans="1:8" s="31" customFormat="1" x14ac:dyDescent="0.2">
      <c r="A28" s="38" t="s">
        <v>26</v>
      </c>
      <c r="B28" s="32">
        <f>TFam!C29</f>
        <v>8076</v>
      </c>
      <c r="C28" s="32">
        <f>'Two-par'!C29</f>
        <v>0</v>
      </c>
      <c r="D28" s="32">
        <f>'One-par'!C29</f>
        <v>3898</v>
      </c>
      <c r="E28" s="32">
        <f>'Zero-par'!C29</f>
        <v>4178</v>
      </c>
      <c r="F28" s="32">
        <f>TRec!C29</f>
        <v>21697</v>
      </c>
      <c r="G28" s="32">
        <f>Adults!C29</f>
        <v>4629</v>
      </c>
      <c r="H28" s="32">
        <f>Children!C29</f>
        <v>17068</v>
      </c>
    </row>
    <row r="29" spans="1:8" s="31" customFormat="1" x14ac:dyDescent="0.2">
      <c r="A29" s="38" t="s">
        <v>27</v>
      </c>
      <c r="B29" s="30">
        <f>TFam!C30</f>
        <v>13440</v>
      </c>
      <c r="C29" s="30">
        <f>'Two-par'!C30</f>
        <v>0</v>
      </c>
      <c r="D29" s="30">
        <f>'One-par'!C30</f>
        <v>7854</v>
      </c>
      <c r="E29" s="30">
        <f>'Zero-par'!C30</f>
        <v>5586</v>
      </c>
      <c r="F29" s="30">
        <f>TRec!C30</f>
        <v>31384</v>
      </c>
      <c r="G29" s="30">
        <f>Adults!C30</f>
        <v>7833</v>
      </c>
      <c r="H29" s="30">
        <f>Children!C30</f>
        <v>23551</v>
      </c>
    </row>
    <row r="30" spans="1:8" s="31" customFormat="1" x14ac:dyDescent="0.2">
      <c r="A30" s="38" t="s">
        <v>28</v>
      </c>
      <c r="B30" s="32">
        <f>TFam!C31</f>
        <v>1579</v>
      </c>
      <c r="C30" s="32">
        <f>'Two-par'!C31</f>
        <v>0</v>
      </c>
      <c r="D30" s="32">
        <f>'One-par'!C31</f>
        <v>366</v>
      </c>
      <c r="E30" s="32">
        <f>'Zero-par'!C31</f>
        <v>1213</v>
      </c>
      <c r="F30" s="32">
        <f>TRec!C31</f>
        <v>2398</v>
      </c>
      <c r="G30" s="32">
        <f>Adults!C31</f>
        <v>265</v>
      </c>
      <c r="H30" s="32">
        <f>Children!C31</f>
        <v>2133</v>
      </c>
    </row>
    <row r="31" spans="1:8" s="31" customFormat="1" x14ac:dyDescent="0.2">
      <c r="A31" s="38" t="s">
        <v>29</v>
      </c>
      <c r="B31" s="30">
        <f>TFam!C32</f>
        <v>4747</v>
      </c>
      <c r="C31" s="30">
        <f>'Two-par'!C32</f>
        <v>0</v>
      </c>
      <c r="D31" s="30">
        <f>'One-par'!C32</f>
        <v>2536</v>
      </c>
      <c r="E31" s="30">
        <f>'Zero-par'!C32</f>
        <v>2211</v>
      </c>
      <c r="F31" s="30">
        <f>TRec!C32</f>
        <v>10833</v>
      </c>
      <c r="G31" s="30">
        <f>Adults!C32</f>
        <v>2195</v>
      </c>
      <c r="H31" s="30">
        <f>Children!C32</f>
        <v>8638</v>
      </c>
    </row>
    <row r="32" spans="1:8" s="31" customFormat="1" x14ac:dyDescent="0.2">
      <c r="A32" s="38" t="s">
        <v>30</v>
      </c>
      <c r="B32" s="32">
        <f>TFam!C33</f>
        <v>1639</v>
      </c>
      <c r="C32" s="32">
        <f>'Two-par'!C33</f>
        <v>77</v>
      </c>
      <c r="D32" s="32">
        <f>'One-par'!C33</f>
        <v>650</v>
      </c>
      <c r="E32" s="32">
        <f>'Zero-par'!C33</f>
        <v>912</v>
      </c>
      <c r="F32" s="32">
        <f>TRec!C33</f>
        <v>3733</v>
      </c>
      <c r="G32" s="32">
        <f>Adults!C33</f>
        <v>661</v>
      </c>
      <c r="H32" s="32">
        <f>Children!C33</f>
        <v>3072</v>
      </c>
    </row>
    <row r="33" spans="1:8" s="31" customFormat="1" x14ac:dyDescent="0.2">
      <c r="A33" s="38" t="s">
        <v>31</v>
      </c>
      <c r="B33" s="30">
        <f>TFam!C34</f>
        <v>2528</v>
      </c>
      <c r="C33" s="30">
        <f>'Two-par'!C34</f>
        <v>0</v>
      </c>
      <c r="D33" s="30">
        <f>'One-par'!C34</f>
        <v>670</v>
      </c>
      <c r="E33" s="30">
        <f>'Zero-par'!C34</f>
        <v>1858</v>
      </c>
      <c r="F33" s="30">
        <f>TRec!C34</f>
        <v>5730</v>
      </c>
      <c r="G33" s="30">
        <f>Adults!C34</f>
        <v>653</v>
      </c>
      <c r="H33" s="30">
        <f>Children!C34</f>
        <v>5077</v>
      </c>
    </row>
    <row r="34" spans="1:8" s="31" customFormat="1" x14ac:dyDescent="0.2">
      <c r="A34" s="38" t="s">
        <v>32</v>
      </c>
      <c r="B34" s="30">
        <f>TFam!C35</f>
        <v>5671</v>
      </c>
      <c r="C34" s="30">
        <f>'Two-par'!C35</f>
        <v>457</v>
      </c>
      <c r="D34" s="30">
        <f>'One-par'!C35</f>
        <v>2477</v>
      </c>
      <c r="E34" s="30">
        <f>'Zero-par'!C35</f>
        <v>2737</v>
      </c>
      <c r="F34" s="30">
        <f>TRec!C35</f>
        <v>14385</v>
      </c>
      <c r="G34" s="30">
        <f>Adults!C35</f>
        <v>3625</v>
      </c>
      <c r="H34" s="30">
        <f>Children!C35</f>
        <v>10760</v>
      </c>
    </row>
    <row r="35" spans="1:8" s="31" customFormat="1" x14ac:dyDescent="0.2">
      <c r="A35" s="38" t="s">
        <v>33</v>
      </c>
      <c r="B35" s="30">
        <f>TFam!C36</f>
        <v>2521</v>
      </c>
      <c r="C35" s="30">
        <f>'Two-par'!C36</f>
        <v>3</v>
      </c>
      <c r="D35" s="30">
        <f>'One-par'!C36</f>
        <v>987</v>
      </c>
      <c r="E35" s="30">
        <f>'Zero-par'!C36</f>
        <v>1531</v>
      </c>
      <c r="F35" s="30">
        <f>TRec!C36</f>
        <v>5123</v>
      </c>
      <c r="G35" s="30">
        <f>Adults!C36</f>
        <v>1044</v>
      </c>
      <c r="H35" s="30">
        <f>Children!C36</f>
        <v>4079</v>
      </c>
    </row>
    <row r="36" spans="1:8" s="31" customFormat="1" x14ac:dyDescent="0.2">
      <c r="A36" s="38" t="s">
        <v>34</v>
      </c>
      <c r="B36" s="30">
        <f>TFam!C37</f>
        <v>9510</v>
      </c>
      <c r="C36" s="30">
        <f>'Two-par'!C37</f>
        <v>64</v>
      </c>
      <c r="D36" s="30">
        <f>'One-par'!C37</f>
        <v>7160</v>
      </c>
      <c r="E36" s="30">
        <f>'Zero-par'!C37</f>
        <v>2286</v>
      </c>
      <c r="F36" s="30">
        <f>TRec!C37</f>
        <v>23193</v>
      </c>
      <c r="G36" s="30">
        <f>Adults!C37</f>
        <v>6823</v>
      </c>
      <c r="H36" s="30">
        <f>Children!C37</f>
        <v>16370</v>
      </c>
    </row>
    <row r="37" spans="1:8" s="31" customFormat="1" x14ac:dyDescent="0.2">
      <c r="A37" s="38" t="s">
        <v>35</v>
      </c>
      <c r="B37" s="32">
        <f>TFam!C38</f>
        <v>6263</v>
      </c>
      <c r="C37" s="32">
        <f>'Two-par'!C38</f>
        <v>369</v>
      </c>
      <c r="D37" s="32">
        <f>'One-par'!C38</f>
        <v>2828</v>
      </c>
      <c r="E37" s="32">
        <f>'Zero-par'!C38</f>
        <v>3066</v>
      </c>
      <c r="F37" s="32">
        <f>TRec!C38</f>
        <v>15210</v>
      </c>
      <c r="G37" s="32">
        <f>Adults!C38</f>
        <v>3566</v>
      </c>
      <c r="H37" s="32">
        <f>Children!C38</f>
        <v>11644</v>
      </c>
    </row>
    <row r="38" spans="1:8" s="31" customFormat="1" x14ac:dyDescent="0.2">
      <c r="A38" s="38" t="s">
        <v>36</v>
      </c>
      <c r="B38" s="30">
        <f>TFam!C39</f>
        <v>121333</v>
      </c>
      <c r="C38" s="30">
        <f>'Two-par'!C39</f>
        <v>1500</v>
      </c>
      <c r="D38" s="30">
        <f>'One-par'!C39</f>
        <v>89071</v>
      </c>
      <c r="E38" s="30">
        <f>'Zero-par'!C39</f>
        <v>30762</v>
      </c>
      <c r="F38" s="30">
        <f>TRec!C39</f>
        <v>314313</v>
      </c>
      <c r="G38" s="30">
        <f>Adults!C39</f>
        <v>110706</v>
      </c>
      <c r="H38" s="30">
        <f>Children!C39</f>
        <v>203607</v>
      </c>
    </row>
    <row r="39" spans="1:8" s="31" customFormat="1" x14ac:dyDescent="0.2">
      <c r="A39" s="38" t="s">
        <v>37</v>
      </c>
      <c r="B39" s="32">
        <f>TFam!C40</f>
        <v>7752</v>
      </c>
      <c r="C39" s="32">
        <f>'Two-par'!C40</f>
        <v>104</v>
      </c>
      <c r="D39" s="32">
        <f>'One-par'!C40</f>
        <v>1170</v>
      </c>
      <c r="E39" s="32">
        <f>'Zero-par'!C40</f>
        <v>6478</v>
      </c>
      <c r="F39" s="32">
        <f>TRec!C40</f>
        <v>13459</v>
      </c>
      <c r="G39" s="32">
        <f>Adults!C40</f>
        <v>1415</v>
      </c>
      <c r="H39" s="32">
        <f>Children!C40</f>
        <v>12044</v>
      </c>
    </row>
    <row r="40" spans="1:8" s="31" customFormat="1" x14ac:dyDescent="0.2">
      <c r="A40" s="38" t="s">
        <v>38</v>
      </c>
      <c r="B40" s="32">
        <f>TFam!C41</f>
        <v>595</v>
      </c>
      <c r="C40" s="32">
        <f>'Two-par'!C41</f>
        <v>0</v>
      </c>
      <c r="D40" s="32">
        <f>'One-par'!C41</f>
        <v>289</v>
      </c>
      <c r="E40" s="32">
        <f>'Zero-par'!C41</f>
        <v>306</v>
      </c>
      <c r="F40" s="32">
        <f>TRec!C41</f>
        <v>1500</v>
      </c>
      <c r="G40" s="32">
        <f>Adults!C41</f>
        <v>242</v>
      </c>
      <c r="H40" s="32">
        <f>Children!C41</f>
        <v>1258</v>
      </c>
    </row>
    <row r="41" spans="1:8" s="31" customFormat="1" x14ac:dyDescent="0.2">
      <c r="A41" s="38" t="s">
        <v>39</v>
      </c>
      <c r="B41" s="32">
        <f>TFam!C42</f>
        <v>40114</v>
      </c>
      <c r="C41" s="32">
        <f>'Two-par'!C42</f>
        <v>845</v>
      </c>
      <c r="D41" s="32">
        <f>'One-par'!C42</f>
        <v>5032</v>
      </c>
      <c r="E41" s="32">
        <f>'Zero-par'!C42</f>
        <v>34237</v>
      </c>
      <c r="F41" s="32">
        <f>TRec!C42</f>
        <v>71762</v>
      </c>
      <c r="G41" s="32">
        <f>Adults!C42</f>
        <v>7251</v>
      </c>
      <c r="H41" s="32">
        <f>Children!C42</f>
        <v>64511</v>
      </c>
    </row>
    <row r="42" spans="1:8" s="31" customFormat="1" x14ac:dyDescent="0.2">
      <c r="A42" s="38" t="s">
        <v>40</v>
      </c>
      <c r="B42" s="32">
        <f>TFam!C43</f>
        <v>3644</v>
      </c>
      <c r="C42" s="32">
        <f>'Two-par'!C43</f>
        <v>0</v>
      </c>
      <c r="D42" s="32">
        <f>'One-par'!C43</f>
        <v>838</v>
      </c>
      <c r="E42" s="32">
        <f>'Zero-par'!C43</f>
        <v>2806</v>
      </c>
      <c r="F42" s="32">
        <f>TRec!C43</f>
        <v>7765</v>
      </c>
      <c r="G42" s="32">
        <f>Adults!C43</f>
        <v>838</v>
      </c>
      <c r="H42" s="32">
        <f>Children!C43</f>
        <v>6927</v>
      </c>
    </row>
    <row r="43" spans="1:8" s="31" customFormat="1" x14ac:dyDescent="0.2">
      <c r="A43" s="38" t="s">
        <v>41</v>
      </c>
      <c r="B43" s="32">
        <f>TFam!C44</f>
        <v>17893</v>
      </c>
      <c r="C43" s="32">
        <f>'Two-par'!C44</f>
        <v>0</v>
      </c>
      <c r="D43" s="32">
        <f>'One-par'!C44</f>
        <v>11975</v>
      </c>
      <c r="E43" s="32">
        <f>'Zero-par'!C44</f>
        <v>5918</v>
      </c>
      <c r="F43" s="32">
        <f>TRec!C44</f>
        <v>41209</v>
      </c>
      <c r="G43" s="32">
        <f>Adults!C44</f>
        <v>12137</v>
      </c>
      <c r="H43" s="32">
        <f>Children!C44</f>
        <v>29072</v>
      </c>
    </row>
    <row r="44" spans="1:8" s="31" customFormat="1" x14ac:dyDescent="0.2">
      <c r="A44" s="38" t="s">
        <v>42</v>
      </c>
      <c r="B44" s="32">
        <f>TFam!C45</f>
        <v>25574</v>
      </c>
      <c r="C44" s="32">
        <f>'Two-par'!C45</f>
        <v>376</v>
      </c>
      <c r="D44" s="32">
        <f>'One-par'!C45</f>
        <v>16198</v>
      </c>
      <c r="E44" s="32">
        <f>'Zero-par'!C45</f>
        <v>9000</v>
      </c>
      <c r="F44" s="32">
        <f>TRec!C45</f>
        <v>63864</v>
      </c>
      <c r="G44" s="32">
        <f>Adults!C45</f>
        <v>15585</v>
      </c>
      <c r="H44" s="32">
        <f>Children!C45</f>
        <v>48279</v>
      </c>
    </row>
    <row r="45" spans="1:8" s="31" customFormat="1" x14ac:dyDescent="0.2">
      <c r="A45" s="38" t="s">
        <v>43</v>
      </c>
      <c r="B45" s="32">
        <f>TFam!C46</f>
        <v>2567</v>
      </c>
      <c r="C45" s="32">
        <f>'Two-par'!C46</f>
        <v>112</v>
      </c>
      <c r="D45" s="32">
        <f>'One-par'!C46</f>
        <v>2294</v>
      </c>
      <c r="E45" s="32">
        <f>'Zero-par'!C46</f>
        <v>161</v>
      </c>
      <c r="F45" s="32">
        <f>TRec!C46</f>
        <v>7171</v>
      </c>
      <c r="G45" s="32">
        <f>Adults!C46</f>
        <v>2662</v>
      </c>
      <c r="H45" s="32">
        <f>Children!C46</f>
        <v>4509</v>
      </c>
    </row>
    <row r="46" spans="1:8" s="31" customFormat="1" x14ac:dyDescent="0.2">
      <c r="A46" s="38" t="s">
        <v>44</v>
      </c>
      <c r="B46" s="30">
        <f>TFam!C47</f>
        <v>3406</v>
      </c>
      <c r="C46" s="30">
        <f>'Two-par'!C47</f>
        <v>210</v>
      </c>
      <c r="D46" s="30">
        <f>'One-par'!C47</f>
        <v>2584</v>
      </c>
      <c r="E46" s="30">
        <f>'Zero-par'!C47</f>
        <v>612</v>
      </c>
      <c r="F46" s="30">
        <f>TRec!C47</f>
        <v>8836</v>
      </c>
      <c r="G46" s="30">
        <f>Adults!C47</f>
        <v>2656</v>
      </c>
      <c r="H46" s="30">
        <f>Children!C47</f>
        <v>6180</v>
      </c>
    </row>
    <row r="47" spans="1:8" s="31" customFormat="1" x14ac:dyDescent="0.2">
      <c r="A47" s="38" t="s">
        <v>45</v>
      </c>
      <c r="B47" s="30">
        <f>TFam!C48</f>
        <v>5675</v>
      </c>
      <c r="C47" s="30">
        <f>'Two-par'!C48</f>
        <v>0</v>
      </c>
      <c r="D47" s="30">
        <f>'One-par'!C48</f>
        <v>2484</v>
      </c>
      <c r="E47" s="30">
        <f>'Zero-par'!C48</f>
        <v>3191</v>
      </c>
      <c r="F47" s="30">
        <f>TRec!C48</f>
        <v>13098</v>
      </c>
      <c r="G47" s="30">
        <f>Adults!C48</f>
        <v>2484</v>
      </c>
      <c r="H47" s="30">
        <f>Children!C48</f>
        <v>10614</v>
      </c>
    </row>
    <row r="48" spans="1:8" s="31" customFormat="1" x14ac:dyDescent="0.2">
      <c r="A48" s="38" t="s">
        <v>46</v>
      </c>
      <c r="B48" s="32">
        <f>TFam!C49</f>
        <v>2462</v>
      </c>
      <c r="C48" s="32">
        <f>'Two-par'!C49</f>
        <v>0</v>
      </c>
      <c r="D48" s="32">
        <f>'One-par'!C49</f>
        <v>366</v>
      </c>
      <c r="E48" s="32">
        <f>'Zero-par'!C49</f>
        <v>2096</v>
      </c>
      <c r="F48" s="32">
        <f>TRec!C49</f>
        <v>4960</v>
      </c>
      <c r="G48" s="32">
        <f>Adults!C49</f>
        <v>366</v>
      </c>
      <c r="H48" s="32">
        <f>Children!C49</f>
        <v>4594</v>
      </c>
    </row>
    <row r="49" spans="1:18" s="31" customFormat="1" x14ac:dyDescent="0.2">
      <c r="A49" s="38" t="s">
        <v>47</v>
      </c>
      <c r="B49" s="30">
        <f>TFam!C50</f>
        <v>12491</v>
      </c>
      <c r="C49" s="30">
        <f>'Two-par'!C50</f>
        <v>136</v>
      </c>
      <c r="D49" s="30">
        <f>'One-par'!C50</f>
        <v>3659</v>
      </c>
      <c r="E49" s="30">
        <f>'Zero-par'!C50</f>
        <v>8696</v>
      </c>
      <c r="F49" s="30">
        <f>TRec!C50</f>
        <v>26932</v>
      </c>
      <c r="G49" s="30">
        <f>Adults!C50</f>
        <v>5347</v>
      </c>
      <c r="H49" s="30">
        <f>Children!C50</f>
        <v>21585</v>
      </c>
    </row>
    <row r="50" spans="1:18" s="31" customFormat="1" x14ac:dyDescent="0.2">
      <c r="A50" s="38" t="s">
        <v>48</v>
      </c>
      <c r="B50" s="30">
        <f>TFam!C51</f>
        <v>9517</v>
      </c>
      <c r="C50" s="30">
        <f>'Two-par'!C51</f>
        <v>0</v>
      </c>
      <c r="D50" s="30">
        <f>'One-par'!C51</f>
        <v>2507</v>
      </c>
      <c r="E50" s="30">
        <f>'Zero-par'!C51</f>
        <v>7010</v>
      </c>
      <c r="F50" s="30">
        <f>TRec!C51</f>
        <v>18961</v>
      </c>
      <c r="G50" s="30">
        <f>Adults!C51</f>
        <v>2507</v>
      </c>
      <c r="H50" s="30">
        <f>Children!C51</f>
        <v>16454</v>
      </c>
    </row>
    <row r="51" spans="1:18" s="31" customFormat="1" x14ac:dyDescent="0.2">
      <c r="A51" s="38" t="s">
        <v>49</v>
      </c>
      <c r="B51" s="30">
        <f>TFam!C52</f>
        <v>1893</v>
      </c>
      <c r="C51" s="30">
        <f>'Two-par'!C52</f>
        <v>0</v>
      </c>
      <c r="D51" s="30">
        <f>'One-par'!C52</f>
        <v>797</v>
      </c>
      <c r="E51" s="30">
        <f>'Zero-par'!C52</f>
        <v>1096</v>
      </c>
      <c r="F51" s="30">
        <f>TRec!C52</f>
        <v>4354</v>
      </c>
      <c r="G51" s="30">
        <f>Adults!C52</f>
        <v>1133</v>
      </c>
      <c r="H51" s="30">
        <f>Children!C52</f>
        <v>3221</v>
      </c>
    </row>
    <row r="52" spans="1:18" s="31" customFormat="1" x14ac:dyDescent="0.2">
      <c r="A52" s="38" t="s">
        <v>50</v>
      </c>
      <c r="B52" s="30">
        <f>TFam!C53</f>
        <v>1694</v>
      </c>
      <c r="C52" s="30">
        <f>'Two-par'!C53</f>
        <v>119</v>
      </c>
      <c r="D52" s="30">
        <f>'One-par'!C53</f>
        <v>596</v>
      </c>
      <c r="E52" s="30">
        <f>'Zero-par'!C53</f>
        <v>979</v>
      </c>
      <c r="F52" s="30">
        <f>TRec!C53</f>
        <v>3544</v>
      </c>
      <c r="G52" s="30">
        <f>Adults!C53</f>
        <v>839</v>
      </c>
      <c r="H52" s="30">
        <f>Children!C53</f>
        <v>2705</v>
      </c>
    </row>
    <row r="53" spans="1:18" s="31" customFormat="1" x14ac:dyDescent="0.2">
      <c r="A53" s="38" t="s">
        <v>51</v>
      </c>
      <c r="B53" s="32">
        <f>TFam!C54</f>
        <v>61</v>
      </c>
      <c r="C53" s="32">
        <f>'Two-par'!C54</f>
        <v>0</v>
      </c>
      <c r="D53" s="32">
        <f>'One-par'!C54</f>
        <v>50</v>
      </c>
      <c r="E53" s="32">
        <f>'Zero-par'!C54</f>
        <v>11</v>
      </c>
      <c r="F53" s="32">
        <f>TRec!C54</f>
        <v>208</v>
      </c>
      <c r="G53" s="32">
        <f>Adults!C54</f>
        <v>61</v>
      </c>
      <c r="H53" s="32">
        <f>Children!C54</f>
        <v>147</v>
      </c>
    </row>
    <row r="54" spans="1:18" s="31" customFormat="1" x14ac:dyDescent="0.2">
      <c r="A54" s="38" t="s">
        <v>52</v>
      </c>
      <c r="B54" s="30">
        <f>TFam!C55</f>
        <v>13765</v>
      </c>
      <c r="C54" s="30">
        <f>'Two-par'!C55</f>
        <v>0</v>
      </c>
      <c r="D54" s="30">
        <f>'One-par'!C55</f>
        <v>7227</v>
      </c>
      <c r="E54" s="30">
        <f>'Zero-par'!C55</f>
        <v>6538</v>
      </c>
      <c r="F54" s="30">
        <f>TRec!C55</f>
        <v>31149</v>
      </c>
      <c r="G54" s="30">
        <f>Adults!C55</f>
        <v>7157</v>
      </c>
      <c r="H54" s="30">
        <f>Children!C55</f>
        <v>23992</v>
      </c>
    </row>
    <row r="55" spans="1:18" s="31" customFormat="1" x14ac:dyDescent="0.2">
      <c r="A55" s="38" t="s">
        <v>53</v>
      </c>
      <c r="B55" s="30">
        <f>TFam!C56</f>
        <v>31582</v>
      </c>
      <c r="C55" s="30">
        <f>'Two-par'!C56</f>
        <v>3953</v>
      </c>
      <c r="D55" s="30">
        <f>'One-par'!C56</f>
        <v>17295</v>
      </c>
      <c r="E55" s="30">
        <f>'Zero-par'!C56</f>
        <v>10334</v>
      </c>
      <c r="F55" s="30">
        <f>TRec!C56</f>
        <v>78908</v>
      </c>
      <c r="G55" s="30">
        <f>Adults!C56</f>
        <v>25653</v>
      </c>
      <c r="H55" s="30">
        <f>Children!C56</f>
        <v>53255</v>
      </c>
    </row>
    <row r="56" spans="1:18" s="31" customFormat="1" x14ac:dyDescent="0.2">
      <c r="A56" s="38" t="s">
        <v>54</v>
      </c>
      <c r="B56" s="32">
        <f>TFam!C57</f>
        <v>4934</v>
      </c>
      <c r="C56" s="32">
        <f>'Two-par'!C57</f>
        <v>0</v>
      </c>
      <c r="D56" s="32">
        <f>'One-par'!C57</f>
        <v>1192</v>
      </c>
      <c r="E56" s="32">
        <f>'Zero-par'!C57</f>
        <v>3742</v>
      </c>
      <c r="F56" s="32">
        <f>TRec!C57</f>
        <v>9704</v>
      </c>
      <c r="G56" s="32">
        <f>Adults!C57</f>
        <v>1615</v>
      </c>
      <c r="H56" s="32">
        <f>Children!C57</f>
        <v>8089</v>
      </c>
    </row>
    <row r="57" spans="1:18" s="31" customFormat="1" x14ac:dyDescent="0.2">
      <c r="A57" s="38" t="s">
        <v>55</v>
      </c>
      <c r="B57" s="30">
        <f>TFam!C58</f>
        <v>11210</v>
      </c>
      <c r="C57" s="30">
        <f>'Two-par'!C58</f>
        <v>80</v>
      </c>
      <c r="D57" s="30">
        <f>'One-par'!C58</f>
        <v>2990</v>
      </c>
      <c r="E57" s="30">
        <f>'Zero-par'!C58</f>
        <v>8140</v>
      </c>
      <c r="F57" s="30">
        <f>TRec!C58</f>
        <v>23262</v>
      </c>
      <c r="G57" s="30">
        <f>Adults!C58</f>
        <v>3333</v>
      </c>
      <c r="H57" s="30">
        <f>Children!C58</f>
        <v>19929</v>
      </c>
    </row>
    <row r="58" spans="1:18" s="31" customFormat="1" x14ac:dyDescent="0.2">
      <c r="A58" s="39" t="s">
        <v>56</v>
      </c>
      <c r="B58" s="33">
        <f>TFam!C59</f>
        <v>466</v>
      </c>
      <c r="C58" s="33">
        <f>'Two-par'!C59</f>
        <v>12</v>
      </c>
      <c r="D58" s="33">
        <f>'One-par'!C59</f>
        <v>242</v>
      </c>
      <c r="E58" s="33">
        <f>'Zero-par'!C59</f>
        <v>212</v>
      </c>
      <c r="F58" s="33">
        <f>TRec!C59</f>
        <v>1156</v>
      </c>
      <c r="G58" s="33">
        <f>Adults!C59</f>
        <v>266</v>
      </c>
      <c r="H58" s="33">
        <f>Children!C59</f>
        <v>890</v>
      </c>
    </row>
    <row r="59" spans="1:18" x14ac:dyDescent="0.2">
      <c r="A59" s="82">
        <f>TFam!$A$3</f>
        <v>45687</v>
      </c>
      <c r="B59" s="72"/>
      <c r="C59" s="72"/>
      <c r="D59" s="72"/>
      <c r="E59" s="72"/>
      <c r="F59" s="72"/>
      <c r="G59" s="72"/>
      <c r="H59" s="72"/>
      <c r="I59" s="58"/>
      <c r="J59" s="58"/>
      <c r="K59" s="58"/>
      <c r="L59" s="58"/>
      <c r="M59" s="58"/>
      <c r="N59" s="58"/>
      <c r="O59" s="58"/>
      <c r="P59" s="58"/>
      <c r="Q59" s="58"/>
      <c r="R59" s="58"/>
    </row>
    <row r="60" spans="1:18" x14ac:dyDescent="0.2">
      <c r="A60" s="63" t="str">
        <f>'Oct23'!A60</f>
        <v xml:space="preserve">    </v>
      </c>
      <c r="B60" s="63"/>
      <c r="C60" s="63"/>
      <c r="D60" s="63"/>
      <c r="E60" s="63"/>
      <c r="F60" s="63"/>
      <c r="G60" s="63"/>
      <c r="H60" s="63"/>
    </row>
    <row r="61" spans="1:18" x14ac:dyDescent="0.2">
      <c r="A61" s="70" t="str">
        <f>'Oct23'!A61</f>
        <v xml:space="preserve">Notes: </v>
      </c>
      <c r="B61" s="70"/>
      <c r="C61" s="70"/>
      <c r="D61" s="70"/>
      <c r="E61" s="70"/>
      <c r="F61" s="70"/>
      <c r="G61" s="70"/>
      <c r="H61" s="70"/>
    </row>
    <row r="62" spans="1:18" x14ac:dyDescent="0.2">
      <c r="A62" s="70" t="str">
        <f>'Oct23'!A62</f>
        <v>"-" - data inapplicable</v>
      </c>
      <c r="B62" s="70"/>
      <c r="C62" s="70"/>
      <c r="D62" s="70"/>
      <c r="E62" s="70"/>
      <c r="F62" s="70"/>
      <c r="G62" s="70"/>
      <c r="H62" s="70"/>
    </row>
    <row r="63" spans="1:18" x14ac:dyDescent="0.2">
      <c r="B63" s="36"/>
      <c r="C63" s="36"/>
      <c r="F63" s="36"/>
      <c r="G63" s="37"/>
      <c r="H63" s="37"/>
    </row>
    <row r="64" spans="1:18" x14ac:dyDescent="0.2">
      <c r="B64" s="36"/>
      <c r="C64" s="36"/>
      <c r="F64" s="36"/>
      <c r="G64" s="37"/>
      <c r="H64" s="37"/>
    </row>
    <row r="65" spans="3:8" s="34" customFormat="1" x14ac:dyDescent="0.2">
      <c r="C65" s="36"/>
      <c r="F65" s="36"/>
      <c r="G65" s="37"/>
      <c r="H65" s="37"/>
    </row>
    <row r="66" spans="3:8" s="34" customFormat="1" x14ac:dyDescent="0.2">
      <c r="C66" s="36"/>
      <c r="F66" s="36"/>
      <c r="G66" s="37"/>
      <c r="H66" s="37"/>
    </row>
    <row r="67" spans="3:8" s="34" customFormat="1" x14ac:dyDescent="0.2">
      <c r="F67" s="36"/>
      <c r="G67" s="37"/>
      <c r="H67" s="37"/>
    </row>
    <row r="68" spans="3:8" s="34" customFormat="1" x14ac:dyDescent="0.2">
      <c r="F68" s="36"/>
      <c r="G68" s="37"/>
      <c r="H68" s="37"/>
    </row>
    <row r="69" spans="3:8" s="34" customFormat="1" x14ac:dyDescent="0.2">
      <c r="F69" s="36"/>
      <c r="G69" s="37"/>
      <c r="H69" s="37"/>
    </row>
    <row r="70" spans="3:8" s="34" customFormat="1" x14ac:dyDescent="0.2">
      <c r="F70" s="36"/>
      <c r="G70" s="37"/>
      <c r="H70" s="37"/>
    </row>
    <row r="71" spans="3:8" s="34" customFormat="1" x14ac:dyDescent="0.2">
      <c r="F71" s="36"/>
      <c r="G71" s="37"/>
    </row>
    <row r="72" spans="3:8" s="34" customFormat="1" x14ac:dyDescent="0.2">
      <c r="F72" s="36"/>
      <c r="G72" s="37"/>
    </row>
    <row r="73" spans="3:8" s="34" customFormat="1" x14ac:dyDescent="0.2">
      <c r="F73" s="36"/>
      <c r="G73" s="37"/>
    </row>
    <row r="74" spans="3:8" s="34" customFormat="1" x14ac:dyDescent="0.2">
      <c r="F74" s="36"/>
      <c r="G74" s="37"/>
    </row>
    <row r="75" spans="3:8" s="34" customFormat="1" x14ac:dyDescent="0.2">
      <c r="F75" s="36"/>
      <c r="G75" s="37"/>
    </row>
    <row r="76" spans="3:8" s="34" customFormat="1" x14ac:dyDescent="0.2">
      <c r="F76" s="36"/>
      <c r="G76" s="37"/>
    </row>
    <row r="77" spans="3:8" s="34" customFormat="1" x14ac:dyDescent="0.2">
      <c r="F77" s="36"/>
      <c r="G77" s="37"/>
    </row>
    <row r="78" spans="3:8" s="34" customFormat="1" x14ac:dyDescent="0.2">
      <c r="F78" s="36"/>
      <c r="G78" s="37"/>
    </row>
    <row r="79" spans="3:8" s="34" customFormat="1" x14ac:dyDescent="0.2">
      <c r="F79" s="36"/>
      <c r="G79" s="37"/>
    </row>
    <row r="80" spans="3:8" s="34" customFormat="1" x14ac:dyDescent="0.2">
      <c r="F80" s="36"/>
      <c r="G80" s="37"/>
    </row>
    <row r="81" spans="6:7" s="34" customFormat="1" x14ac:dyDescent="0.2">
      <c r="F81" s="36"/>
      <c r="G81" s="37"/>
    </row>
    <row r="82" spans="6:7" s="34" customFormat="1" x14ac:dyDescent="0.2">
      <c r="F82" s="36"/>
      <c r="G82" s="37"/>
    </row>
    <row r="83" spans="6:7" s="34" customFormat="1" x14ac:dyDescent="0.2">
      <c r="F83" s="36"/>
      <c r="G83" s="37"/>
    </row>
    <row r="84" spans="6:7" s="34" customFormat="1" x14ac:dyDescent="0.2">
      <c r="F84" s="36"/>
      <c r="G84" s="37"/>
    </row>
    <row r="85" spans="6:7" s="34" customFormat="1" x14ac:dyDescent="0.2">
      <c r="F85" s="37"/>
      <c r="G85" s="37"/>
    </row>
    <row r="86" spans="6:7" s="34" customFormat="1" x14ac:dyDescent="0.2">
      <c r="F86" s="37"/>
      <c r="G86" s="37"/>
    </row>
    <row r="87" spans="6:7" s="34" customFormat="1" x14ac:dyDescent="0.2">
      <c r="F87" s="37"/>
      <c r="G87" s="37"/>
    </row>
    <row r="88" spans="6:7" s="34" customFormat="1" x14ac:dyDescent="0.2">
      <c r="F88" s="37"/>
      <c r="G88" s="37"/>
    </row>
    <row r="89" spans="6:7" s="34" customFormat="1" x14ac:dyDescent="0.2">
      <c r="F89" s="37"/>
      <c r="G89" s="37"/>
    </row>
    <row r="90" spans="6:7" s="34" customFormat="1" x14ac:dyDescent="0.2">
      <c r="F90" s="37"/>
      <c r="G90" s="37"/>
    </row>
    <row r="91" spans="6:7" s="34" customFormat="1" x14ac:dyDescent="0.2">
      <c r="F91" s="37"/>
      <c r="G91" s="37"/>
    </row>
    <row r="92" spans="6:7" s="34" customFormat="1" x14ac:dyDescent="0.2">
      <c r="F92" s="37"/>
      <c r="G92" s="37"/>
    </row>
    <row r="93" spans="6:7" s="34" customFormat="1" x14ac:dyDescent="0.2">
      <c r="F93" s="37"/>
      <c r="G93" s="37"/>
    </row>
    <row r="94" spans="6:7" s="34" customFormat="1" x14ac:dyDescent="0.2">
      <c r="F94" s="37"/>
      <c r="G94" s="37"/>
    </row>
    <row r="95" spans="6:7" s="34" customFormat="1" x14ac:dyDescent="0.2">
      <c r="F95" s="37"/>
      <c r="G95" s="37"/>
    </row>
    <row r="96" spans="6:7" s="34" customFormat="1" x14ac:dyDescent="0.2">
      <c r="F96" s="37"/>
      <c r="G96" s="37"/>
    </row>
    <row r="97" spans="6:7" s="34" customFormat="1" x14ac:dyDescent="0.2">
      <c r="F97" s="37"/>
      <c r="G97" s="37"/>
    </row>
    <row r="98" spans="6:7" s="34" customFormat="1" x14ac:dyDescent="0.2">
      <c r="F98" s="37"/>
    </row>
    <row r="99" spans="6:7" s="34" customFormat="1" x14ac:dyDescent="0.2">
      <c r="F99" s="37"/>
    </row>
    <row r="100" spans="6:7" s="34" customFormat="1" x14ac:dyDescent="0.2">
      <c r="F100" s="37"/>
    </row>
    <row r="101" spans="6:7" s="34" customFormat="1" x14ac:dyDescent="0.2">
      <c r="F101" s="37"/>
    </row>
    <row r="102" spans="6:7" s="34" customFormat="1" x14ac:dyDescent="0.2">
      <c r="F102" s="37"/>
    </row>
    <row r="103" spans="6:7" s="34" customFormat="1" x14ac:dyDescent="0.2">
      <c r="F103" s="37"/>
    </row>
    <row r="104" spans="6:7" s="34" customFormat="1" x14ac:dyDescent="0.2">
      <c r="F104" s="37"/>
    </row>
    <row r="105" spans="6:7" s="34" customFormat="1" x14ac:dyDescent="0.2">
      <c r="F105" s="37"/>
    </row>
    <row r="106" spans="6:7" s="34" customFormat="1" x14ac:dyDescent="0.2">
      <c r="F106" s="37"/>
    </row>
    <row r="107" spans="6:7" s="34" customFormat="1" x14ac:dyDescent="0.2">
      <c r="F107" s="37"/>
    </row>
    <row r="108" spans="6:7" s="34" customFormat="1" x14ac:dyDescent="0.2">
      <c r="F108" s="37"/>
    </row>
    <row r="109" spans="6:7" s="34" customFormat="1" x14ac:dyDescent="0.2">
      <c r="F109" s="37"/>
    </row>
    <row r="110" spans="6:7" s="34" customFormat="1" x14ac:dyDescent="0.2">
      <c r="F110" s="37"/>
    </row>
    <row r="111" spans="6:7" s="34" customFormat="1" x14ac:dyDescent="0.2">
      <c r="F111" s="37"/>
    </row>
    <row r="112" spans="6:7" s="34" customFormat="1" x14ac:dyDescent="0.2">
      <c r="F112" s="37"/>
    </row>
    <row r="113" spans="6:6" s="34" customFormat="1" x14ac:dyDescent="0.2">
      <c r="F113" s="37"/>
    </row>
    <row r="114" spans="6:6" s="34" customFormat="1" x14ac:dyDescent="0.2">
      <c r="F114" s="37"/>
    </row>
    <row r="115" spans="6:6" s="34" customFormat="1" x14ac:dyDescent="0.2">
      <c r="F115" s="37"/>
    </row>
    <row r="116" spans="6:6" s="34" customFormat="1" x14ac:dyDescent="0.2">
      <c r="F116" s="37"/>
    </row>
    <row r="117" spans="6:6" s="34" customFormat="1" x14ac:dyDescent="0.2">
      <c r="F117" s="37"/>
    </row>
    <row r="118" spans="6:6" s="34" customFormat="1" x14ac:dyDescent="0.2">
      <c r="F118" s="37"/>
    </row>
    <row r="119" spans="6:6" s="34" customFormat="1" x14ac:dyDescent="0.2">
      <c r="F119" s="37"/>
    </row>
    <row r="120" spans="6:6" s="34" customFormat="1" x14ac:dyDescent="0.2">
      <c r="F120" s="37"/>
    </row>
    <row r="121" spans="6:6" s="34" customFormat="1" x14ac:dyDescent="0.2">
      <c r="F121" s="37"/>
    </row>
    <row r="122" spans="6:6" s="34" customFormat="1" x14ac:dyDescent="0.2">
      <c r="F122" s="37"/>
    </row>
    <row r="123" spans="6:6" s="34" customFormat="1" x14ac:dyDescent="0.2">
      <c r="F123" s="37"/>
    </row>
    <row r="124" spans="6:6" s="34" customFormat="1" x14ac:dyDescent="0.2">
      <c r="F124" s="37"/>
    </row>
    <row r="125" spans="6:6" s="34" customFormat="1" x14ac:dyDescent="0.2">
      <c r="F125" s="37"/>
    </row>
    <row r="126" spans="6:6" s="34" customFormat="1" x14ac:dyDescent="0.2">
      <c r="F126" s="37"/>
    </row>
    <row r="127" spans="6:6" s="34" customFormat="1" x14ac:dyDescent="0.2">
      <c r="F127" s="37"/>
    </row>
    <row r="128" spans="6:6" s="34" customFormat="1" x14ac:dyDescent="0.2">
      <c r="F128" s="37"/>
    </row>
    <row r="129" spans="6:6" s="34" customFormat="1" x14ac:dyDescent="0.2">
      <c r="F129" s="37"/>
    </row>
    <row r="130" spans="6:6" s="34" customFormat="1" x14ac:dyDescent="0.2">
      <c r="F130" s="37"/>
    </row>
    <row r="131" spans="6:6" s="34" customFormat="1" x14ac:dyDescent="0.2">
      <c r="F131" s="37"/>
    </row>
    <row r="132" spans="6:6" s="34" customFormat="1" x14ac:dyDescent="0.2">
      <c r="F132" s="37"/>
    </row>
    <row r="133" spans="6:6" s="34" customFormat="1" x14ac:dyDescent="0.2">
      <c r="F133" s="37"/>
    </row>
    <row r="134" spans="6:6" s="34" customFormat="1" x14ac:dyDescent="0.2">
      <c r="F134" s="37"/>
    </row>
    <row r="135" spans="6:6" s="34" customFormat="1" x14ac:dyDescent="0.2">
      <c r="F135" s="37"/>
    </row>
    <row r="136" spans="6:6" s="34" customFormat="1" x14ac:dyDescent="0.2">
      <c r="F136" s="37"/>
    </row>
    <row r="137" spans="6:6" s="34" customFormat="1" x14ac:dyDescent="0.2">
      <c r="F137" s="37"/>
    </row>
    <row r="138" spans="6:6" s="34" customFormat="1" x14ac:dyDescent="0.2">
      <c r="F138" s="37"/>
    </row>
    <row r="139" spans="6:6" s="34" customFormat="1" x14ac:dyDescent="0.2">
      <c r="F139" s="37"/>
    </row>
    <row r="140" spans="6:6" s="34" customFormat="1" x14ac:dyDescent="0.2">
      <c r="F140" s="37"/>
    </row>
    <row r="141" spans="6:6" s="34" customFormat="1" x14ac:dyDescent="0.2">
      <c r="F141" s="37"/>
    </row>
    <row r="142" spans="6:6" s="34" customFormat="1" x14ac:dyDescent="0.2">
      <c r="F142" s="37"/>
    </row>
    <row r="143" spans="6:6" s="34" customFormat="1" x14ac:dyDescent="0.2">
      <c r="F143" s="37"/>
    </row>
  </sheetData>
  <pageMargins left="0.7" right="0.7" top="0.75" bottom="0.75" header="0.3" footer="0.3"/>
  <pageSetup scale="9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405"/>
  <sheetViews>
    <sheetView workbookViewId="0"/>
  </sheetViews>
  <sheetFormatPr defaultColWidth="9.21875" defaultRowHeight="10.199999999999999" x14ac:dyDescent="0.2"/>
  <cols>
    <col min="1" max="1" width="14.21875" style="35" bestFit="1" customWidth="1"/>
    <col min="2" max="8" width="11.21875" style="34" customWidth="1"/>
    <col min="9" max="16384" width="9.21875" style="34"/>
  </cols>
  <sheetData>
    <row r="1" spans="1:8" s="24" customFormat="1" ht="15.6" x14ac:dyDescent="0.3">
      <c r="A1" s="85" t="s">
        <v>84</v>
      </c>
      <c r="B1" s="85"/>
      <c r="C1" s="85"/>
      <c r="D1" s="85"/>
      <c r="E1" s="85"/>
      <c r="F1" s="85"/>
      <c r="G1" s="85"/>
      <c r="H1" s="85"/>
    </row>
    <row r="2" spans="1:8" s="24" customFormat="1" ht="13.2" x14ac:dyDescent="0.25">
      <c r="A2" s="87" t="str">
        <f>'Oct23'!$A$2</f>
        <v>Temporary Assistance for Needy Families (TANF)</v>
      </c>
      <c r="B2" s="87"/>
      <c r="C2" s="87"/>
      <c r="D2" s="87"/>
      <c r="E2" s="87"/>
      <c r="F2" s="87"/>
      <c r="G2" s="87"/>
      <c r="H2" s="87"/>
    </row>
    <row r="3" spans="1:8" s="27" customFormat="1" ht="30.6" x14ac:dyDescent="0.2">
      <c r="A3" s="25" t="s">
        <v>1</v>
      </c>
      <c r="B3" s="26" t="s">
        <v>66</v>
      </c>
      <c r="C3" s="26" t="s">
        <v>67</v>
      </c>
      <c r="D3" s="26" t="s">
        <v>68</v>
      </c>
      <c r="E3" s="26" t="s">
        <v>69</v>
      </c>
      <c r="F3" s="26" t="s">
        <v>70</v>
      </c>
      <c r="G3" s="26" t="s">
        <v>71</v>
      </c>
      <c r="H3" s="26" t="s">
        <v>72</v>
      </c>
    </row>
    <row r="4" spans="1:8" s="29" customFormat="1" x14ac:dyDescent="0.2">
      <c r="A4" s="7" t="s">
        <v>2</v>
      </c>
      <c r="B4" s="28">
        <f>TFam!D5</f>
        <v>827000</v>
      </c>
      <c r="C4" s="28">
        <f>'Two-par'!D5</f>
        <v>54504</v>
      </c>
      <c r="D4" s="28">
        <f>'One-par'!D5</f>
        <v>425721</v>
      </c>
      <c r="E4" s="28">
        <f>'Zero-par'!D5</f>
        <v>346775</v>
      </c>
      <c r="F4" s="28">
        <f>TRec!D5</f>
        <v>2022048</v>
      </c>
      <c r="G4" s="28">
        <f>Adults!D5</f>
        <v>544359</v>
      </c>
      <c r="H4" s="28">
        <f>Children!D5</f>
        <v>1477689</v>
      </c>
    </row>
    <row r="5" spans="1:8" s="31" customFormat="1" x14ac:dyDescent="0.2">
      <c r="A5" s="38" t="s">
        <v>3</v>
      </c>
      <c r="B5" s="30">
        <f>TFam!D6</f>
        <v>5916</v>
      </c>
      <c r="C5" s="30">
        <f>'Two-par'!D6</f>
        <v>34</v>
      </c>
      <c r="D5" s="30">
        <f>'One-par'!D6</f>
        <v>2521</v>
      </c>
      <c r="E5" s="30">
        <f>'Zero-par'!D6</f>
        <v>3361</v>
      </c>
      <c r="F5" s="30">
        <f>TRec!D6</f>
        <v>14095</v>
      </c>
      <c r="G5" s="30">
        <f>Adults!D6</f>
        <v>2644</v>
      </c>
      <c r="H5" s="30">
        <f>Children!D6</f>
        <v>11451</v>
      </c>
    </row>
    <row r="6" spans="1:8" s="31" customFormat="1" x14ac:dyDescent="0.2">
      <c r="A6" s="38" t="s">
        <v>4</v>
      </c>
      <c r="B6" s="32">
        <f>TFam!D7</f>
        <v>1134</v>
      </c>
      <c r="C6" s="32">
        <f>'Two-par'!D7</f>
        <v>145</v>
      </c>
      <c r="D6" s="32">
        <f>'One-par'!D7</f>
        <v>611</v>
      </c>
      <c r="E6" s="32">
        <f>'Zero-par'!D7</f>
        <v>378</v>
      </c>
      <c r="F6" s="32">
        <f>TRec!D7</f>
        <v>3122</v>
      </c>
      <c r="G6" s="32">
        <f>Adults!D7</f>
        <v>937</v>
      </c>
      <c r="H6" s="32">
        <f>Children!D7</f>
        <v>2185</v>
      </c>
    </row>
    <row r="7" spans="1:8" s="31" customFormat="1" x14ac:dyDescent="0.2">
      <c r="A7" s="38" t="s">
        <v>5</v>
      </c>
      <c r="B7" s="32">
        <f>TFam!D8</f>
        <v>5169</v>
      </c>
      <c r="C7" s="32">
        <f>'Two-par'!D8</f>
        <v>296</v>
      </c>
      <c r="D7" s="32">
        <f>'One-par'!D8</f>
        <v>1328</v>
      </c>
      <c r="E7" s="32">
        <f>'Zero-par'!D8</f>
        <v>3545</v>
      </c>
      <c r="F7" s="32">
        <f>TRec!D8</f>
        <v>10658</v>
      </c>
      <c r="G7" s="32">
        <f>Adults!D8</f>
        <v>1942</v>
      </c>
      <c r="H7" s="32">
        <f>Children!D8</f>
        <v>8716</v>
      </c>
    </row>
    <row r="8" spans="1:8" s="31" customFormat="1" x14ac:dyDescent="0.2">
      <c r="A8" s="38" t="s">
        <v>6</v>
      </c>
      <c r="B8" s="32">
        <f>TFam!D9</f>
        <v>999</v>
      </c>
      <c r="C8" s="32">
        <f>'Two-par'!D9</f>
        <v>37</v>
      </c>
      <c r="D8" s="32">
        <f>'One-par'!D9</f>
        <v>572</v>
      </c>
      <c r="E8" s="32">
        <f>'Zero-par'!D9</f>
        <v>390</v>
      </c>
      <c r="F8" s="32">
        <f>TRec!D9</f>
        <v>2481</v>
      </c>
      <c r="G8" s="32">
        <f>Adults!D9</f>
        <v>647</v>
      </c>
      <c r="H8" s="32">
        <f>Children!D9</f>
        <v>1834</v>
      </c>
    </row>
    <row r="9" spans="1:8" s="31" customFormat="1" x14ac:dyDescent="0.2">
      <c r="A9" s="38" t="s">
        <v>7</v>
      </c>
      <c r="B9" s="30">
        <f>TFam!D10</f>
        <v>280009</v>
      </c>
      <c r="C9" s="30">
        <f>'Two-par'!D10</f>
        <v>34339</v>
      </c>
      <c r="D9" s="30">
        <f>'One-par'!D10</f>
        <v>149817</v>
      </c>
      <c r="E9" s="30">
        <f>'Zero-par'!D10</f>
        <v>95853</v>
      </c>
      <c r="F9" s="30">
        <f>TRec!D10</f>
        <v>744126</v>
      </c>
      <c r="G9" s="30">
        <f>Adults!D10</f>
        <v>200984</v>
      </c>
      <c r="H9" s="30">
        <f>Children!D10</f>
        <v>543142</v>
      </c>
    </row>
    <row r="10" spans="1:8" s="31" customFormat="1" x14ac:dyDescent="0.2">
      <c r="A10" s="38" t="s">
        <v>8</v>
      </c>
      <c r="B10" s="32">
        <f>TFam!D11</f>
        <v>12144</v>
      </c>
      <c r="C10" s="32">
        <f>'Two-par'!D11</f>
        <v>0</v>
      </c>
      <c r="D10" s="32">
        <f>'One-par'!D11</f>
        <v>7866</v>
      </c>
      <c r="E10" s="32">
        <f>'Zero-par'!D11</f>
        <v>4278</v>
      </c>
      <c r="F10" s="32">
        <f>TRec!D11</f>
        <v>29775</v>
      </c>
      <c r="G10" s="32">
        <f>Adults!D11</f>
        <v>8138</v>
      </c>
      <c r="H10" s="32">
        <f>Children!D11</f>
        <v>21637</v>
      </c>
    </row>
    <row r="11" spans="1:8" s="31" customFormat="1" x14ac:dyDescent="0.2">
      <c r="A11" s="38" t="s">
        <v>9</v>
      </c>
      <c r="B11" s="30">
        <f>TFam!D12</f>
        <v>5124</v>
      </c>
      <c r="C11" s="30">
        <f>'Two-par'!D12</f>
        <v>0</v>
      </c>
      <c r="D11" s="30">
        <f>'One-par'!D12</f>
        <v>1914</v>
      </c>
      <c r="E11" s="30">
        <f>'Zero-par'!D12</f>
        <v>3210</v>
      </c>
      <c r="F11" s="30">
        <f>TRec!D12</f>
        <v>12167</v>
      </c>
      <c r="G11" s="30">
        <f>Adults!D12</f>
        <v>3444</v>
      </c>
      <c r="H11" s="30">
        <f>Children!D12</f>
        <v>8723</v>
      </c>
    </row>
    <row r="12" spans="1:8" s="31" customFormat="1" x14ac:dyDescent="0.2">
      <c r="A12" s="38" t="s">
        <v>10</v>
      </c>
      <c r="B12" s="30">
        <f>TFam!D13</f>
        <v>2662</v>
      </c>
      <c r="C12" s="30">
        <f>'Two-par'!D13</f>
        <v>6</v>
      </c>
      <c r="D12" s="30">
        <f>'One-par'!D13</f>
        <v>724</v>
      </c>
      <c r="E12" s="30">
        <f>'Zero-par'!D13</f>
        <v>1932</v>
      </c>
      <c r="F12" s="30">
        <f>TRec!D13</f>
        <v>7506</v>
      </c>
      <c r="G12" s="30">
        <f>Adults!D13</f>
        <v>3023</v>
      </c>
      <c r="H12" s="30">
        <f>Children!D13</f>
        <v>4483</v>
      </c>
    </row>
    <row r="13" spans="1:8" s="31" customFormat="1" x14ac:dyDescent="0.2">
      <c r="A13" s="38" t="s">
        <v>11</v>
      </c>
      <c r="B13" s="30">
        <f>TFam!D14</f>
        <v>4908</v>
      </c>
      <c r="C13" s="30">
        <f>'Two-par'!D14</f>
        <v>0</v>
      </c>
      <c r="D13" s="30">
        <f>'One-par'!D14</f>
        <v>3504</v>
      </c>
      <c r="E13" s="30">
        <f>'Zero-par'!D14</f>
        <v>1404</v>
      </c>
      <c r="F13" s="30">
        <f>TRec!D14</f>
        <v>15788</v>
      </c>
      <c r="G13" s="30">
        <f>Adults!D14</f>
        <v>3504</v>
      </c>
      <c r="H13" s="30">
        <f>Children!D14</f>
        <v>12284</v>
      </c>
    </row>
    <row r="14" spans="1:8" s="31" customFormat="1" x14ac:dyDescent="0.2">
      <c r="A14" s="38" t="s">
        <v>12</v>
      </c>
      <c r="B14" s="30">
        <f>TFam!D15</f>
        <v>32986</v>
      </c>
      <c r="C14" s="30">
        <f>'Two-par'!D15</f>
        <v>6224</v>
      </c>
      <c r="D14" s="30">
        <f>'One-par'!D15</f>
        <v>7514</v>
      </c>
      <c r="E14" s="30">
        <f>'Zero-par'!D15</f>
        <v>19248</v>
      </c>
      <c r="F14" s="30">
        <f>TRec!D15</f>
        <v>65973</v>
      </c>
      <c r="G14" s="30">
        <f>Adults!D15</f>
        <v>22754</v>
      </c>
      <c r="H14" s="30">
        <f>Children!D15</f>
        <v>43219</v>
      </c>
    </row>
    <row r="15" spans="1:8" s="31" customFormat="1" x14ac:dyDescent="0.2">
      <c r="A15" s="38" t="s">
        <v>13</v>
      </c>
      <c r="B15" s="30">
        <f>TFam!D16</f>
        <v>4352</v>
      </c>
      <c r="C15" s="30">
        <f>'Two-par'!D16</f>
        <v>0</v>
      </c>
      <c r="D15" s="30">
        <f>'One-par'!D16</f>
        <v>189</v>
      </c>
      <c r="E15" s="30">
        <f>'Zero-par'!D16</f>
        <v>4163</v>
      </c>
      <c r="F15" s="30">
        <f>TRec!D16</f>
        <v>7601</v>
      </c>
      <c r="G15" s="30">
        <f>Adults!D16</f>
        <v>192</v>
      </c>
      <c r="H15" s="30">
        <f>Children!D16</f>
        <v>7409</v>
      </c>
    </row>
    <row r="16" spans="1:8" s="31" customFormat="1" x14ac:dyDescent="0.2">
      <c r="A16" s="38" t="s">
        <v>14</v>
      </c>
      <c r="B16" s="32">
        <f>TFam!D17</f>
        <v>157</v>
      </c>
      <c r="C16" s="32">
        <f>'Two-par'!D17</f>
        <v>7</v>
      </c>
      <c r="D16" s="32">
        <f>'One-par'!D17</f>
        <v>42</v>
      </c>
      <c r="E16" s="32">
        <f>'Zero-par'!D17</f>
        <v>108</v>
      </c>
      <c r="F16" s="32">
        <f>TRec!D17</f>
        <v>402</v>
      </c>
      <c r="G16" s="32">
        <f>Adults!D17</f>
        <v>58</v>
      </c>
      <c r="H16" s="32">
        <f>Children!D17</f>
        <v>344</v>
      </c>
    </row>
    <row r="17" spans="1:8" s="31" customFormat="1" x14ac:dyDescent="0.2">
      <c r="A17" s="38" t="s">
        <v>15</v>
      </c>
      <c r="B17" s="30">
        <f>TFam!D18</f>
        <v>3144</v>
      </c>
      <c r="C17" s="30">
        <f>'Two-par'!D18</f>
        <v>517</v>
      </c>
      <c r="D17" s="30">
        <f>'One-par'!D18</f>
        <v>1946</v>
      </c>
      <c r="E17" s="30">
        <f>'Zero-par'!D18</f>
        <v>681</v>
      </c>
      <c r="F17" s="30">
        <f>TRec!D18</f>
        <v>8812</v>
      </c>
      <c r="G17" s="30">
        <f>Adults!D18</f>
        <v>2698</v>
      </c>
      <c r="H17" s="30">
        <f>Children!D18</f>
        <v>6114</v>
      </c>
    </row>
    <row r="18" spans="1:8" s="31" customFormat="1" x14ac:dyDescent="0.2">
      <c r="A18" s="38" t="s">
        <v>16</v>
      </c>
      <c r="B18" s="32">
        <f>TFam!D19</f>
        <v>1477</v>
      </c>
      <c r="C18" s="32">
        <f>'Two-par'!D19</f>
        <v>0</v>
      </c>
      <c r="D18" s="32">
        <f>'One-par'!D19</f>
        <v>19</v>
      </c>
      <c r="E18" s="32">
        <f>'Zero-par'!D19</f>
        <v>1458</v>
      </c>
      <c r="F18" s="32">
        <f>TRec!D19</f>
        <v>2005</v>
      </c>
      <c r="G18" s="32">
        <f>Adults!D19</f>
        <v>18</v>
      </c>
      <c r="H18" s="32">
        <f>Children!D19</f>
        <v>1987</v>
      </c>
    </row>
    <row r="19" spans="1:8" s="31" customFormat="1" x14ac:dyDescent="0.2">
      <c r="A19" s="38" t="s">
        <v>17</v>
      </c>
      <c r="B19" s="30">
        <f>TFam!D20</f>
        <v>9799</v>
      </c>
      <c r="C19" s="30">
        <f>'Two-par'!D20</f>
        <v>0</v>
      </c>
      <c r="D19" s="30">
        <f>'One-par'!D20</f>
        <v>2269</v>
      </c>
      <c r="E19" s="30">
        <f>'Zero-par'!D20</f>
        <v>7530</v>
      </c>
      <c r="F19" s="30">
        <f>TRec!D20</f>
        <v>19954</v>
      </c>
      <c r="G19" s="30">
        <f>Adults!D20</f>
        <v>2430</v>
      </c>
      <c r="H19" s="30">
        <f>Children!D20</f>
        <v>17524</v>
      </c>
    </row>
    <row r="20" spans="1:8" s="31" customFormat="1" x14ac:dyDescent="0.2">
      <c r="A20" s="38" t="s">
        <v>18</v>
      </c>
      <c r="B20" s="30">
        <f>TFam!D21</f>
        <v>5595</v>
      </c>
      <c r="C20" s="30">
        <f>'Two-par'!D21</f>
        <v>957</v>
      </c>
      <c r="D20" s="30">
        <f>'One-par'!D21</f>
        <v>2369</v>
      </c>
      <c r="E20" s="30">
        <f>'Zero-par'!D21</f>
        <v>2269</v>
      </c>
      <c r="F20" s="30">
        <f>TRec!D21</f>
        <v>13431</v>
      </c>
      <c r="G20" s="30">
        <f>Adults!D21</f>
        <v>3549</v>
      </c>
      <c r="H20" s="30">
        <f>Children!D21</f>
        <v>9882</v>
      </c>
    </row>
    <row r="21" spans="1:8" s="31" customFormat="1" x14ac:dyDescent="0.2">
      <c r="A21" s="38" t="s">
        <v>19</v>
      </c>
      <c r="B21" s="30">
        <f>TFam!D22</f>
        <v>4096</v>
      </c>
      <c r="C21" s="30">
        <f>'Two-par'!D22</f>
        <v>191</v>
      </c>
      <c r="D21" s="30">
        <f>'One-par'!D22</f>
        <v>1908</v>
      </c>
      <c r="E21" s="30">
        <f>'Zero-par'!D22</f>
        <v>1997</v>
      </c>
      <c r="F21" s="30">
        <f>TRec!D22</f>
        <v>10144</v>
      </c>
      <c r="G21" s="30">
        <f>Adults!D22</f>
        <v>2317</v>
      </c>
      <c r="H21" s="30">
        <f>Children!D22</f>
        <v>7827</v>
      </c>
    </row>
    <row r="22" spans="1:8" s="31" customFormat="1" x14ac:dyDescent="0.2">
      <c r="A22" s="38" t="s">
        <v>20</v>
      </c>
      <c r="B22" s="32">
        <f>TFam!D23</f>
        <v>2996</v>
      </c>
      <c r="C22" s="32">
        <f>'Two-par'!D23</f>
        <v>232</v>
      </c>
      <c r="D22" s="32">
        <f>'One-par'!D23</f>
        <v>1466</v>
      </c>
      <c r="E22" s="32">
        <f>'Zero-par'!D23</f>
        <v>1298</v>
      </c>
      <c r="F22" s="32">
        <f>TRec!D23</f>
        <v>2996</v>
      </c>
      <c r="G22" s="32">
        <f>Adults!D23</f>
        <v>1524</v>
      </c>
      <c r="H22" s="32">
        <f>Children!D23</f>
        <v>1472</v>
      </c>
    </row>
    <row r="23" spans="1:8" s="31" customFormat="1" x14ac:dyDescent="0.2">
      <c r="A23" s="38" t="s">
        <v>21</v>
      </c>
      <c r="B23" s="32">
        <f>TFam!D24</f>
        <v>13699</v>
      </c>
      <c r="C23" s="32">
        <f>'Two-par'!D24</f>
        <v>729</v>
      </c>
      <c r="D23" s="32">
        <f>'One-par'!D24</f>
        <v>4748</v>
      </c>
      <c r="E23" s="32">
        <f>'Zero-par'!D24</f>
        <v>8222</v>
      </c>
      <c r="F23" s="32">
        <f>TRec!D24</f>
        <v>30704</v>
      </c>
      <c r="G23" s="32">
        <f>Adults!D24</f>
        <v>6384</v>
      </c>
      <c r="H23" s="32">
        <f>Children!D24</f>
        <v>24320</v>
      </c>
    </row>
    <row r="24" spans="1:8" s="31" customFormat="1" x14ac:dyDescent="0.2">
      <c r="A24" s="38" t="s">
        <v>22</v>
      </c>
      <c r="B24" s="32">
        <f>TFam!D25</f>
        <v>4766</v>
      </c>
      <c r="C24" s="32">
        <f>'Two-par'!D25</f>
        <v>0</v>
      </c>
      <c r="D24" s="32">
        <f>'One-par'!D25</f>
        <v>2714</v>
      </c>
      <c r="E24" s="32">
        <f>'Zero-par'!D25</f>
        <v>2052</v>
      </c>
      <c r="F24" s="32">
        <f>TRec!D25</f>
        <v>12784</v>
      </c>
      <c r="G24" s="32">
        <f>Adults!D25</f>
        <v>2453</v>
      </c>
      <c r="H24" s="32">
        <f>Children!D25</f>
        <v>10331</v>
      </c>
    </row>
    <row r="25" spans="1:8" s="31" customFormat="1" x14ac:dyDescent="0.2">
      <c r="A25" s="38" t="s">
        <v>23</v>
      </c>
      <c r="B25" s="30">
        <f>TFam!D26</f>
        <v>3584</v>
      </c>
      <c r="C25" s="30">
        <f>'Two-par'!D26</f>
        <v>457</v>
      </c>
      <c r="D25" s="30">
        <f>'One-par'!D26</f>
        <v>2084</v>
      </c>
      <c r="E25" s="30">
        <f>'Zero-par'!D26</f>
        <v>1043</v>
      </c>
      <c r="F25" s="30">
        <f>TRec!D26</f>
        <v>9186</v>
      </c>
      <c r="G25" s="30">
        <f>Adults!D26</f>
        <v>2890</v>
      </c>
      <c r="H25" s="30">
        <f>Children!D26</f>
        <v>6296</v>
      </c>
    </row>
    <row r="26" spans="1:8" s="31" customFormat="1" x14ac:dyDescent="0.2">
      <c r="A26" s="38" t="s">
        <v>24</v>
      </c>
      <c r="B26" s="30">
        <f>TFam!D27</f>
        <v>11073</v>
      </c>
      <c r="C26" s="30">
        <f>'Two-par'!D27</f>
        <v>0</v>
      </c>
      <c r="D26" s="30">
        <f>'One-par'!D27</f>
        <v>7921</v>
      </c>
      <c r="E26" s="30">
        <f>'Zero-par'!D27</f>
        <v>3152</v>
      </c>
      <c r="F26" s="30">
        <f>TRec!D27</f>
        <v>31161</v>
      </c>
      <c r="G26" s="30">
        <f>Adults!D27</f>
        <v>8738</v>
      </c>
      <c r="H26" s="30">
        <f>Children!D27</f>
        <v>22423</v>
      </c>
    </row>
    <row r="27" spans="1:8" s="31" customFormat="1" x14ac:dyDescent="0.2">
      <c r="A27" s="38" t="s">
        <v>25</v>
      </c>
      <c r="B27" s="30">
        <f>TFam!D28</f>
        <v>36180</v>
      </c>
      <c r="C27" s="30">
        <f>'Two-par'!D28</f>
        <v>1921</v>
      </c>
      <c r="D27" s="30">
        <f>'One-par'!D28</f>
        <v>22693</v>
      </c>
      <c r="E27" s="30">
        <f>'Zero-par'!D28</f>
        <v>11566</v>
      </c>
      <c r="F27" s="30">
        <f>TRec!D28</f>
        <v>85632</v>
      </c>
      <c r="G27" s="30">
        <f>Adults!D28</f>
        <v>25771</v>
      </c>
      <c r="H27" s="30">
        <f>Children!D28</f>
        <v>59861</v>
      </c>
    </row>
    <row r="28" spans="1:8" s="31" customFormat="1" x14ac:dyDescent="0.2">
      <c r="A28" s="38" t="s">
        <v>26</v>
      </c>
      <c r="B28" s="32">
        <f>TFam!D29</f>
        <v>8143</v>
      </c>
      <c r="C28" s="32">
        <f>'Two-par'!D29</f>
        <v>0</v>
      </c>
      <c r="D28" s="32">
        <f>'One-par'!D29</f>
        <v>3975</v>
      </c>
      <c r="E28" s="32">
        <f>'Zero-par'!D29</f>
        <v>4168</v>
      </c>
      <c r="F28" s="32">
        <f>TRec!D29</f>
        <v>21579</v>
      </c>
      <c r="G28" s="32">
        <f>Adults!D29</f>
        <v>4647</v>
      </c>
      <c r="H28" s="32">
        <f>Children!D29</f>
        <v>16932</v>
      </c>
    </row>
    <row r="29" spans="1:8" s="31" customFormat="1" x14ac:dyDescent="0.2">
      <c r="A29" s="38" t="s">
        <v>27</v>
      </c>
      <c r="B29" s="30">
        <f>TFam!D30</f>
        <v>13470</v>
      </c>
      <c r="C29" s="30">
        <f>'Two-par'!D30</f>
        <v>0</v>
      </c>
      <c r="D29" s="30">
        <f>'One-par'!D30</f>
        <v>7916</v>
      </c>
      <c r="E29" s="30">
        <f>'Zero-par'!D30</f>
        <v>5554</v>
      </c>
      <c r="F29" s="30">
        <f>TRec!D30</f>
        <v>31563</v>
      </c>
      <c r="G29" s="30">
        <f>Adults!D30</f>
        <v>7895</v>
      </c>
      <c r="H29" s="30">
        <f>Children!D30</f>
        <v>23668</v>
      </c>
    </row>
    <row r="30" spans="1:8" s="31" customFormat="1" x14ac:dyDescent="0.2">
      <c r="A30" s="38" t="s">
        <v>28</v>
      </c>
      <c r="B30" s="32">
        <f>TFam!D31</f>
        <v>1556</v>
      </c>
      <c r="C30" s="32">
        <f>'Two-par'!D31</f>
        <v>0</v>
      </c>
      <c r="D30" s="32">
        <f>'One-par'!D31</f>
        <v>360</v>
      </c>
      <c r="E30" s="32">
        <f>'Zero-par'!D31</f>
        <v>1196</v>
      </c>
      <c r="F30" s="32">
        <f>TRec!D31</f>
        <v>2368</v>
      </c>
      <c r="G30" s="32">
        <f>Adults!D31</f>
        <v>266</v>
      </c>
      <c r="H30" s="32">
        <f>Children!D31</f>
        <v>2102</v>
      </c>
    </row>
    <row r="31" spans="1:8" s="31" customFormat="1" x14ac:dyDescent="0.2">
      <c r="A31" s="38" t="s">
        <v>29</v>
      </c>
      <c r="B31" s="30">
        <f>TFam!D32</f>
        <v>4904</v>
      </c>
      <c r="C31" s="30">
        <f>'Two-par'!D32</f>
        <v>0</v>
      </c>
      <c r="D31" s="30">
        <f>'One-par'!D32</f>
        <v>2713</v>
      </c>
      <c r="E31" s="30">
        <f>'Zero-par'!D32</f>
        <v>2191</v>
      </c>
      <c r="F31" s="30">
        <f>TRec!D32</f>
        <v>11348</v>
      </c>
      <c r="G31" s="30">
        <f>Adults!D32</f>
        <v>2372</v>
      </c>
      <c r="H31" s="30">
        <f>Children!D32</f>
        <v>8976</v>
      </c>
    </row>
    <row r="32" spans="1:8" s="31" customFormat="1" x14ac:dyDescent="0.2">
      <c r="A32" s="38" t="s">
        <v>30</v>
      </c>
      <c r="B32" s="32">
        <f>TFam!D33</f>
        <v>1608</v>
      </c>
      <c r="C32" s="32">
        <f>'Two-par'!D33</f>
        <v>74</v>
      </c>
      <c r="D32" s="32">
        <f>'One-par'!D33</f>
        <v>635</v>
      </c>
      <c r="E32" s="32">
        <f>'Zero-par'!D33</f>
        <v>899</v>
      </c>
      <c r="F32" s="32">
        <f>TRec!D33</f>
        <v>3628</v>
      </c>
      <c r="G32" s="32">
        <f>Adults!D33</f>
        <v>633</v>
      </c>
      <c r="H32" s="32">
        <f>Children!D33</f>
        <v>2995</v>
      </c>
    </row>
    <row r="33" spans="1:8" s="31" customFormat="1" x14ac:dyDescent="0.2">
      <c r="A33" s="38" t="s">
        <v>31</v>
      </c>
      <c r="B33" s="30">
        <f>TFam!D34</f>
        <v>2553</v>
      </c>
      <c r="C33" s="30">
        <f>'Two-par'!D34</f>
        <v>0</v>
      </c>
      <c r="D33" s="30">
        <f>'One-par'!D34</f>
        <v>682</v>
      </c>
      <c r="E33" s="30">
        <f>'Zero-par'!D34</f>
        <v>1871</v>
      </c>
      <c r="F33" s="30">
        <f>TRec!D34</f>
        <v>5809</v>
      </c>
      <c r="G33" s="30">
        <f>Adults!D34</f>
        <v>675</v>
      </c>
      <c r="H33" s="30">
        <f>Children!D34</f>
        <v>5134</v>
      </c>
    </row>
    <row r="34" spans="1:8" s="31" customFormat="1" x14ac:dyDescent="0.2">
      <c r="A34" s="38" t="s">
        <v>32</v>
      </c>
      <c r="B34" s="30">
        <f>TFam!D35</f>
        <v>5514</v>
      </c>
      <c r="C34" s="30">
        <f>'Two-par'!D35</f>
        <v>459</v>
      </c>
      <c r="D34" s="30">
        <f>'One-par'!D35</f>
        <v>2369</v>
      </c>
      <c r="E34" s="30">
        <f>'Zero-par'!D35</f>
        <v>2686</v>
      </c>
      <c r="F34" s="30">
        <f>TRec!D35</f>
        <v>13868</v>
      </c>
      <c r="G34" s="30">
        <f>Adults!D35</f>
        <v>3491</v>
      </c>
      <c r="H34" s="30">
        <f>Children!D35</f>
        <v>10377</v>
      </c>
    </row>
    <row r="35" spans="1:8" s="31" customFormat="1" x14ac:dyDescent="0.2">
      <c r="A35" s="38" t="s">
        <v>33</v>
      </c>
      <c r="B35" s="30">
        <f>TFam!D36</f>
        <v>2503</v>
      </c>
      <c r="C35" s="30">
        <f>'Two-par'!D36</f>
        <v>3</v>
      </c>
      <c r="D35" s="30">
        <f>'One-par'!D36</f>
        <v>989</v>
      </c>
      <c r="E35" s="30">
        <f>'Zero-par'!D36</f>
        <v>1511</v>
      </c>
      <c r="F35" s="30">
        <f>TRec!D36</f>
        <v>5087</v>
      </c>
      <c r="G35" s="30">
        <f>Adults!D36</f>
        <v>1037</v>
      </c>
      <c r="H35" s="30">
        <f>Children!D36</f>
        <v>4050</v>
      </c>
    </row>
    <row r="36" spans="1:8" s="31" customFormat="1" x14ac:dyDescent="0.2">
      <c r="A36" s="38" t="s">
        <v>34</v>
      </c>
      <c r="B36" s="30">
        <f>TFam!D37</f>
        <v>9546</v>
      </c>
      <c r="C36" s="30">
        <f>'Two-par'!D37</f>
        <v>64</v>
      </c>
      <c r="D36" s="30">
        <f>'One-par'!D37</f>
        <v>7219</v>
      </c>
      <c r="E36" s="30">
        <f>'Zero-par'!D37</f>
        <v>2263</v>
      </c>
      <c r="F36" s="30">
        <f>TRec!D37</f>
        <v>23139</v>
      </c>
      <c r="G36" s="30">
        <f>Adults!D37</f>
        <v>6840</v>
      </c>
      <c r="H36" s="30">
        <f>Children!D37</f>
        <v>16299</v>
      </c>
    </row>
    <row r="37" spans="1:8" s="31" customFormat="1" x14ac:dyDescent="0.2">
      <c r="A37" s="38" t="s">
        <v>35</v>
      </c>
      <c r="B37" s="32">
        <f>TFam!D38</f>
        <v>6234</v>
      </c>
      <c r="C37" s="32">
        <f>'Two-par'!D38</f>
        <v>366</v>
      </c>
      <c r="D37" s="32">
        <f>'One-par'!D38</f>
        <v>2837</v>
      </c>
      <c r="E37" s="32">
        <f>'Zero-par'!D38</f>
        <v>3031</v>
      </c>
      <c r="F37" s="32">
        <f>TRec!D38</f>
        <v>15202</v>
      </c>
      <c r="G37" s="32">
        <f>Adults!D38</f>
        <v>3569</v>
      </c>
      <c r="H37" s="32">
        <f>Children!D38</f>
        <v>11633</v>
      </c>
    </row>
    <row r="38" spans="1:8" s="31" customFormat="1" x14ac:dyDescent="0.2">
      <c r="A38" s="38" t="s">
        <v>36</v>
      </c>
      <c r="B38" s="30">
        <f>TFam!D39</f>
        <v>122898</v>
      </c>
      <c r="C38" s="30">
        <f>'Two-par'!D39</f>
        <v>1466</v>
      </c>
      <c r="D38" s="30">
        <f>'One-par'!D39</f>
        <v>90453</v>
      </c>
      <c r="E38" s="30">
        <f>'Zero-par'!D39</f>
        <v>30979</v>
      </c>
      <c r="F38" s="30">
        <f>TRec!D39</f>
        <v>318761</v>
      </c>
      <c r="G38" s="30">
        <f>Adults!D39</f>
        <v>112839</v>
      </c>
      <c r="H38" s="30">
        <f>Children!D39</f>
        <v>205922</v>
      </c>
    </row>
    <row r="39" spans="1:8" s="31" customFormat="1" x14ac:dyDescent="0.2">
      <c r="A39" s="38" t="s">
        <v>37</v>
      </c>
      <c r="B39" s="32">
        <f>TFam!D40</f>
        <v>7617</v>
      </c>
      <c r="C39" s="32">
        <f>'Two-par'!D40</f>
        <v>85</v>
      </c>
      <c r="D39" s="32">
        <f>'One-par'!D40</f>
        <v>1104</v>
      </c>
      <c r="E39" s="32">
        <f>'Zero-par'!D40</f>
        <v>6428</v>
      </c>
      <c r="F39" s="32">
        <f>TRec!D40</f>
        <v>13050</v>
      </c>
      <c r="G39" s="32">
        <f>Adults!D40</f>
        <v>1310</v>
      </c>
      <c r="H39" s="32">
        <f>Children!D40</f>
        <v>11740</v>
      </c>
    </row>
    <row r="40" spans="1:8" s="31" customFormat="1" x14ac:dyDescent="0.2">
      <c r="A40" s="38" t="s">
        <v>38</v>
      </c>
      <c r="B40" s="32">
        <f>TFam!D41</f>
        <v>589</v>
      </c>
      <c r="C40" s="32">
        <f>'Two-par'!D41</f>
        <v>0</v>
      </c>
      <c r="D40" s="32">
        <f>'One-par'!D41</f>
        <v>291</v>
      </c>
      <c r="E40" s="32">
        <f>'Zero-par'!D41</f>
        <v>298</v>
      </c>
      <c r="F40" s="32">
        <f>TRec!D41</f>
        <v>1460</v>
      </c>
      <c r="G40" s="32">
        <f>Adults!D41</f>
        <v>238</v>
      </c>
      <c r="H40" s="32">
        <f>Children!D41</f>
        <v>1222</v>
      </c>
    </row>
    <row r="41" spans="1:8" s="31" customFormat="1" x14ac:dyDescent="0.2">
      <c r="A41" s="38" t="s">
        <v>39</v>
      </c>
      <c r="B41" s="32">
        <f>TFam!D42</f>
        <v>39994</v>
      </c>
      <c r="C41" s="32">
        <f>'Two-par'!D42</f>
        <v>855</v>
      </c>
      <c r="D41" s="32">
        <f>'One-par'!D42</f>
        <v>5028</v>
      </c>
      <c r="E41" s="32">
        <f>'Zero-par'!D42</f>
        <v>34111</v>
      </c>
      <c r="F41" s="32">
        <f>TRec!D42</f>
        <v>71588</v>
      </c>
      <c r="G41" s="32">
        <f>Adults!D42</f>
        <v>7244</v>
      </c>
      <c r="H41" s="32">
        <f>Children!D42</f>
        <v>64344</v>
      </c>
    </row>
    <row r="42" spans="1:8" s="31" customFormat="1" x14ac:dyDescent="0.2">
      <c r="A42" s="38" t="s">
        <v>40</v>
      </c>
      <c r="B42" s="32">
        <f>TFam!D43</f>
        <v>3585</v>
      </c>
      <c r="C42" s="32">
        <f>'Two-par'!D43</f>
        <v>0</v>
      </c>
      <c r="D42" s="32">
        <f>'One-par'!D43</f>
        <v>813</v>
      </c>
      <c r="E42" s="32">
        <f>'Zero-par'!D43</f>
        <v>2772</v>
      </c>
      <c r="F42" s="32">
        <f>TRec!D43</f>
        <v>7619</v>
      </c>
      <c r="G42" s="32">
        <f>Adults!D43</f>
        <v>813</v>
      </c>
      <c r="H42" s="32">
        <f>Children!D43</f>
        <v>6806</v>
      </c>
    </row>
    <row r="43" spans="1:8" s="31" customFormat="1" x14ac:dyDescent="0.2">
      <c r="A43" s="38" t="s">
        <v>41</v>
      </c>
      <c r="B43" s="32">
        <f>TFam!D44</f>
        <v>17893</v>
      </c>
      <c r="C43" s="32">
        <f>'Two-par'!D44</f>
        <v>0</v>
      </c>
      <c r="D43" s="32">
        <f>'One-par'!D44</f>
        <v>12012</v>
      </c>
      <c r="E43" s="32">
        <f>'Zero-par'!D44</f>
        <v>5881</v>
      </c>
      <c r="F43" s="32">
        <f>TRec!D44</f>
        <v>41220</v>
      </c>
      <c r="G43" s="32">
        <f>Adults!D44</f>
        <v>12167</v>
      </c>
      <c r="H43" s="32">
        <f>Children!D44</f>
        <v>29053</v>
      </c>
    </row>
    <row r="44" spans="1:8" s="31" customFormat="1" x14ac:dyDescent="0.2">
      <c r="A44" s="38" t="s">
        <v>42</v>
      </c>
      <c r="B44" s="32">
        <f>TFam!D45</f>
        <v>25231</v>
      </c>
      <c r="C44" s="32">
        <f>'Two-par'!D45</f>
        <v>323</v>
      </c>
      <c r="D44" s="32">
        <f>'One-par'!D45</f>
        <v>15959</v>
      </c>
      <c r="E44" s="32">
        <f>'Zero-par'!D45</f>
        <v>8949</v>
      </c>
      <c r="F44" s="32">
        <f>TRec!D45</f>
        <v>62832</v>
      </c>
      <c r="G44" s="32">
        <f>Adults!D45</f>
        <v>15270</v>
      </c>
      <c r="H44" s="32">
        <f>Children!D45</f>
        <v>47562</v>
      </c>
    </row>
    <row r="45" spans="1:8" s="31" customFormat="1" x14ac:dyDescent="0.2">
      <c r="A45" s="38" t="s">
        <v>43</v>
      </c>
      <c r="B45" s="32">
        <f>TFam!D46</f>
        <v>2547</v>
      </c>
      <c r="C45" s="32">
        <f>'Two-par'!D46</f>
        <v>115</v>
      </c>
      <c r="D45" s="32">
        <f>'One-par'!D46</f>
        <v>2269</v>
      </c>
      <c r="E45" s="32">
        <f>'Zero-par'!D46</f>
        <v>163</v>
      </c>
      <c r="F45" s="32">
        <f>TRec!D46</f>
        <v>7057</v>
      </c>
      <c r="G45" s="32">
        <f>Adults!D46</f>
        <v>2644</v>
      </c>
      <c r="H45" s="32">
        <f>Children!D46</f>
        <v>4413</v>
      </c>
    </row>
    <row r="46" spans="1:8" s="31" customFormat="1" x14ac:dyDescent="0.2">
      <c r="A46" s="38" t="s">
        <v>44</v>
      </c>
      <c r="B46" s="30">
        <f>TFam!D47</f>
        <v>3339</v>
      </c>
      <c r="C46" s="30">
        <f>'Two-par'!D47</f>
        <v>208</v>
      </c>
      <c r="D46" s="30">
        <f>'One-par'!D47</f>
        <v>2525</v>
      </c>
      <c r="E46" s="30">
        <f>'Zero-par'!D47</f>
        <v>606</v>
      </c>
      <c r="F46" s="30">
        <f>TRec!D47</f>
        <v>8634</v>
      </c>
      <c r="G46" s="30">
        <f>Adults!D47</f>
        <v>2581</v>
      </c>
      <c r="H46" s="30">
        <f>Children!D47</f>
        <v>6053</v>
      </c>
    </row>
    <row r="47" spans="1:8" s="31" customFormat="1" x14ac:dyDescent="0.2">
      <c r="A47" s="38" t="s">
        <v>45</v>
      </c>
      <c r="B47" s="30">
        <f>TFam!D48</f>
        <v>5688</v>
      </c>
      <c r="C47" s="30">
        <f>'Two-par'!D48</f>
        <v>0</v>
      </c>
      <c r="D47" s="30">
        <f>'One-par'!D48</f>
        <v>2506</v>
      </c>
      <c r="E47" s="30">
        <f>'Zero-par'!D48</f>
        <v>3182</v>
      </c>
      <c r="F47" s="30">
        <f>TRec!D48</f>
        <v>13087</v>
      </c>
      <c r="G47" s="30">
        <f>Adults!D48</f>
        <v>2506</v>
      </c>
      <c r="H47" s="30">
        <f>Children!D48</f>
        <v>10581</v>
      </c>
    </row>
    <row r="48" spans="1:8" s="31" customFormat="1" x14ac:dyDescent="0.2">
      <c r="A48" s="38" t="s">
        <v>46</v>
      </c>
      <c r="B48" s="32">
        <f>TFam!D49</f>
        <v>2457</v>
      </c>
      <c r="C48" s="32">
        <f>'Two-par'!D49</f>
        <v>0</v>
      </c>
      <c r="D48" s="32">
        <f>'One-par'!D49</f>
        <v>363</v>
      </c>
      <c r="E48" s="32">
        <f>'Zero-par'!D49</f>
        <v>2094</v>
      </c>
      <c r="F48" s="32">
        <f>TRec!D49</f>
        <v>4913</v>
      </c>
      <c r="G48" s="32">
        <f>Adults!D49</f>
        <v>363</v>
      </c>
      <c r="H48" s="32">
        <f>Children!D49</f>
        <v>4550</v>
      </c>
    </row>
    <row r="49" spans="1:18" s="31" customFormat="1" x14ac:dyDescent="0.2">
      <c r="A49" s="38" t="s">
        <v>47</v>
      </c>
      <c r="B49" s="30">
        <f>TFam!D50</f>
        <v>11955</v>
      </c>
      <c r="C49" s="30">
        <f>'Two-par'!D50</f>
        <v>102</v>
      </c>
      <c r="D49" s="30">
        <f>'One-par'!D50</f>
        <v>3041</v>
      </c>
      <c r="E49" s="30">
        <f>'Zero-par'!D50</f>
        <v>8812</v>
      </c>
      <c r="F49" s="30">
        <f>TRec!D50</f>
        <v>25822</v>
      </c>
      <c r="G49" s="30">
        <f>Adults!D50</f>
        <v>5094</v>
      </c>
      <c r="H49" s="30">
        <f>Children!D50</f>
        <v>20728</v>
      </c>
    </row>
    <row r="50" spans="1:18" s="31" customFormat="1" x14ac:dyDescent="0.2">
      <c r="A50" s="38" t="s">
        <v>48</v>
      </c>
      <c r="B50" s="30">
        <f>TFam!D51</f>
        <v>9421</v>
      </c>
      <c r="C50" s="30">
        <f>'Two-par'!D51</f>
        <v>0</v>
      </c>
      <c r="D50" s="30">
        <f>'One-par'!D51</f>
        <v>2507</v>
      </c>
      <c r="E50" s="30">
        <f>'Zero-par'!D51</f>
        <v>6914</v>
      </c>
      <c r="F50" s="30">
        <f>TRec!D51</f>
        <v>18801</v>
      </c>
      <c r="G50" s="30">
        <f>Adults!D51</f>
        <v>2507</v>
      </c>
      <c r="H50" s="30">
        <f>Children!D51</f>
        <v>16294</v>
      </c>
    </row>
    <row r="51" spans="1:18" s="31" customFormat="1" x14ac:dyDescent="0.2">
      <c r="A51" s="38" t="s">
        <v>49</v>
      </c>
      <c r="B51" s="30">
        <f>TFam!D52</f>
        <v>1875</v>
      </c>
      <c r="C51" s="30">
        <f>'Two-par'!D52</f>
        <v>0</v>
      </c>
      <c r="D51" s="30">
        <f>'One-par'!D52</f>
        <v>780</v>
      </c>
      <c r="E51" s="30">
        <f>'Zero-par'!D52</f>
        <v>1095</v>
      </c>
      <c r="F51" s="30">
        <f>TRec!D52</f>
        <v>4297</v>
      </c>
      <c r="G51" s="30">
        <f>Adults!D52</f>
        <v>1112</v>
      </c>
      <c r="H51" s="30">
        <f>Children!D52</f>
        <v>3185</v>
      </c>
    </row>
    <row r="52" spans="1:18" s="31" customFormat="1" x14ac:dyDescent="0.2">
      <c r="A52" s="38" t="s">
        <v>50</v>
      </c>
      <c r="B52" s="30">
        <f>TFam!D53</f>
        <v>1630</v>
      </c>
      <c r="C52" s="30">
        <f>'Two-par'!D53</f>
        <v>112</v>
      </c>
      <c r="D52" s="30">
        <f>'One-par'!D53</f>
        <v>558</v>
      </c>
      <c r="E52" s="30">
        <f>'Zero-par'!D53</f>
        <v>960</v>
      </c>
      <c r="F52" s="30">
        <f>TRec!D53</f>
        <v>3352</v>
      </c>
      <c r="G52" s="30">
        <f>Adults!D53</f>
        <v>785</v>
      </c>
      <c r="H52" s="30">
        <f>Children!D53</f>
        <v>2567</v>
      </c>
    </row>
    <row r="53" spans="1:18" s="31" customFormat="1" x14ac:dyDescent="0.2">
      <c r="A53" s="38" t="s">
        <v>51</v>
      </c>
      <c r="B53" s="32">
        <f>TFam!D54</f>
        <v>57</v>
      </c>
      <c r="C53" s="32">
        <f>'Two-par'!D54</f>
        <v>0</v>
      </c>
      <c r="D53" s="32">
        <f>'One-par'!D54</f>
        <v>46</v>
      </c>
      <c r="E53" s="32">
        <f>'Zero-par'!D54</f>
        <v>11</v>
      </c>
      <c r="F53" s="32">
        <f>TRec!D54</f>
        <v>198</v>
      </c>
      <c r="G53" s="32">
        <f>Adults!D54</f>
        <v>57</v>
      </c>
      <c r="H53" s="32">
        <f>Children!D54</f>
        <v>141</v>
      </c>
    </row>
    <row r="54" spans="1:18" s="31" customFormat="1" x14ac:dyDescent="0.2">
      <c r="A54" s="38" t="s">
        <v>52</v>
      </c>
      <c r="B54" s="30">
        <f>TFam!D55</f>
        <v>13509</v>
      </c>
      <c r="C54" s="30">
        <f>'Two-par'!D55</f>
        <v>0</v>
      </c>
      <c r="D54" s="30">
        <f>'One-par'!D55</f>
        <v>7051</v>
      </c>
      <c r="E54" s="30">
        <f>'Zero-par'!D55</f>
        <v>6458</v>
      </c>
      <c r="F54" s="30">
        <f>TRec!D55</f>
        <v>30587</v>
      </c>
      <c r="G54" s="30">
        <f>Adults!D55</f>
        <v>6997</v>
      </c>
      <c r="H54" s="30">
        <f>Children!D55</f>
        <v>23590</v>
      </c>
    </row>
    <row r="55" spans="1:18" s="31" customFormat="1" x14ac:dyDescent="0.2">
      <c r="A55" s="38" t="s">
        <v>53</v>
      </c>
      <c r="B55" s="30">
        <f>TFam!D56</f>
        <v>31993</v>
      </c>
      <c r="C55" s="30">
        <f>'Two-par'!D56</f>
        <v>4081</v>
      </c>
      <c r="D55" s="30">
        <f>'One-par'!D56</f>
        <v>17428</v>
      </c>
      <c r="E55" s="30">
        <f>'Zero-par'!D56</f>
        <v>10484</v>
      </c>
      <c r="F55" s="30">
        <f>TRec!D56</f>
        <v>80112</v>
      </c>
      <c r="G55" s="30">
        <f>Adults!D56</f>
        <v>26058</v>
      </c>
      <c r="H55" s="30">
        <f>Children!D56</f>
        <v>54054</v>
      </c>
    </row>
    <row r="56" spans="1:18" s="31" customFormat="1" x14ac:dyDescent="0.2">
      <c r="A56" s="38" t="s">
        <v>54</v>
      </c>
      <c r="B56" s="32">
        <f>TFam!D57</f>
        <v>4911</v>
      </c>
      <c r="C56" s="32">
        <f>'Two-par'!D57</f>
        <v>0</v>
      </c>
      <c r="D56" s="32">
        <f>'One-par'!D57</f>
        <v>1197</v>
      </c>
      <c r="E56" s="32">
        <f>'Zero-par'!D57</f>
        <v>3714</v>
      </c>
      <c r="F56" s="32">
        <f>TRec!D57</f>
        <v>9619</v>
      </c>
      <c r="G56" s="32">
        <f>Adults!D57</f>
        <v>1562</v>
      </c>
      <c r="H56" s="32">
        <f>Children!D57</f>
        <v>8057</v>
      </c>
    </row>
    <row r="57" spans="1:18" s="31" customFormat="1" x14ac:dyDescent="0.2">
      <c r="A57" s="38" t="s">
        <v>55</v>
      </c>
      <c r="B57" s="30">
        <f>TFam!D58</f>
        <v>11326</v>
      </c>
      <c r="C57" s="30">
        <f>'Two-par'!D58</f>
        <v>88</v>
      </c>
      <c r="D57" s="30">
        <f>'One-par'!D58</f>
        <v>3095</v>
      </c>
      <c r="E57" s="30">
        <f>'Zero-par'!D58</f>
        <v>8143</v>
      </c>
      <c r="F57" s="30">
        <f>TRec!D58</f>
        <v>23744</v>
      </c>
      <c r="G57" s="30">
        <f>Adults!D58</f>
        <v>3465</v>
      </c>
      <c r="H57" s="30">
        <f>Children!D58</f>
        <v>20279</v>
      </c>
    </row>
    <row r="58" spans="1:18" s="31" customFormat="1" x14ac:dyDescent="0.2">
      <c r="A58" s="39" t="s">
        <v>56</v>
      </c>
      <c r="B58" s="33">
        <f>TFam!D59</f>
        <v>485</v>
      </c>
      <c r="C58" s="33">
        <f>'Two-par'!D59</f>
        <v>11</v>
      </c>
      <c r="D58" s="33">
        <f>'One-par'!D59</f>
        <v>261</v>
      </c>
      <c r="E58" s="33">
        <f>'Zero-par'!D59</f>
        <v>213</v>
      </c>
      <c r="F58" s="33">
        <f>TRec!D59</f>
        <v>1201</v>
      </c>
      <c r="G58" s="33">
        <f>Adults!D59</f>
        <v>283</v>
      </c>
      <c r="H58" s="33">
        <f>Children!D59</f>
        <v>918</v>
      </c>
    </row>
    <row r="59" spans="1:18" x14ac:dyDescent="0.2">
      <c r="A59" s="82">
        <f>TFam!$A$3</f>
        <v>45687</v>
      </c>
      <c r="B59" s="72"/>
      <c r="C59" s="72"/>
      <c r="D59" s="72"/>
      <c r="E59" s="72"/>
      <c r="F59" s="72"/>
      <c r="G59" s="72"/>
      <c r="H59" s="72"/>
      <c r="I59" s="58"/>
      <c r="J59" s="58"/>
      <c r="K59" s="58"/>
      <c r="L59" s="58"/>
      <c r="M59" s="58"/>
      <c r="N59" s="58"/>
      <c r="O59" s="58"/>
      <c r="P59" s="58"/>
      <c r="Q59" s="58"/>
      <c r="R59" s="58"/>
    </row>
    <row r="60" spans="1:18" x14ac:dyDescent="0.2">
      <c r="A60" s="63" t="str">
        <f>'Oct23'!A60</f>
        <v xml:space="preserve">    </v>
      </c>
      <c r="B60" s="63"/>
      <c r="C60" s="63"/>
      <c r="D60" s="63"/>
      <c r="E60" s="63"/>
      <c r="F60" s="63"/>
      <c r="G60" s="63"/>
      <c r="H60" s="63"/>
    </row>
    <row r="61" spans="1:18" x14ac:dyDescent="0.2">
      <c r="A61" s="73" t="str">
        <f>'Oct23'!A61</f>
        <v xml:space="preserve">Notes: </v>
      </c>
      <c r="B61" s="73"/>
      <c r="C61" s="73"/>
      <c r="D61" s="73"/>
      <c r="E61" s="73"/>
      <c r="F61" s="73"/>
      <c r="G61" s="73"/>
      <c r="H61" s="73"/>
    </row>
    <row r="62" spans="1:18" x14ac:dyDescent="0.2">
      <c r="A62" s="73" t="str">
        <f>'Oct23'!A62</f>
        <v>"-" - data inapplicable</v>
      </c>
      <c r="B62" s="73"/>
      <c r="C62" s="73"/>
      <c r="D62" s="73"/>
      <c r="E62" s="73"/>
      <c r="F62" s="73"/>
      <c r="G62" s="73"/>
      <c r="H62" s="73"/>
    </row>
    <row r="63" spans="1:18" x14ac:dyDescent="0.2">
      <c r="A63" s="40"/>
      <c r="B63" s="36"/>
      <c r="D63" s="36"/>
      <c r="F63" s="37"/>
      <c r="G63" s="36"/>
      <c r="H63" s="37"/>
    </row>
    <row r="64" spans="1:18" x14ac:dyDescent="0.2">
      <c r="A64" s="40"/>
      <c r="B64" s="36"/>
      <c r="D64" s="36"/>
      <c r="F64" s="37"/>
      <c r="G64" s="36"/>
    </row>
    <row r="65" spans="1:7" x14ac:dyDescent="0.2">
      <c r="A65" s="40"/>
      <c r="B65" s="36"/>
      <c r="D65" s="36"/>
      <c r="F65" s="37"/>
      <c r="G65" s="36"/>
    </row>
    <row r="66" spans="1:7" x14ac:dyDescent="0.2">
      <c r="A66" s="40"/>
      <c r="B66" s="36"/>
      <c r="D66" s="36"/>
      <c r="F66" s="37"/>
      <c r="G66" s="36"/>
    </row>
    <row r="67" spans="1:7" x14ac:dyDescent="0.2">
      <c r="A67" s="40"/>
      <c r="B67" s="36"/>
      <c r="D67" s="36"/>
      <c r="F67" s="37"/>
      <c r="G67" s="36"/>
    </row>
    <row r="68" spans="1:7" x14ac:dyDescent="0.2">
      <c r="A68" s="40"/>
      <c r="B68" s="36"/>
      <c r="D68" s="36"/>
    </row>
    <row r="69" spans="1:7" x14ac:dyDescent="0.2">
      <c r="A69" s="40"/>
      <c r="B69" s="36"/>
      <c r="D69" s="36"/>
    </row>
    <row r="70" spans="1:7" x14ac:dyDescent="0.2">
      <c r="A70" s="40"/>
      <c r="B70" s="36"/>
      <c r="D70" s="36"/>
    </row>
    <row r="71" spans="1:7" x14ac:dyDescent="0.2">
      <c r="A71" s="40"/>
      <c r="B71" s="36"/>
      <c r="D71" s="36"/>
    </row>
    <row r="72" spans="1:7" x14ac:dyDescent="0.2">
      <c r="A72" s="40"/>
      <c r="B72" s="36"/>
      <c r="D72" s="36"/>
    </row>
    <row r="73" spans="1:7" x14ac:dyDescent="0.2">
      <c r="A73" s="40"/>
      <c r="B73" s="36"/>
      <c r="D73" s="36"/>
    </row>
    <row r="74" spans="1:7" x14ac:dyDescent="0.2">
      <c r="A74" s="40"/>
      <c r="B74" s="36"/>
      <c r="D74" s="36"/>
    </row>
    <row r="75" spans="1:7" x14ac:dyDescent="0.2">
      <c r="A75" s="40"/>
      <c r="B75" s="36"/>
      <c r="D75" s="36"/>
    </row>
    <row r="76" spans="1:7" x14ac:dyDescent="0.2">
      <c r="A76" s="40"/>
      <c r="B76" s="36"/>
      <c r="D76" s="36"/>
    </row>
    <row r="77" spans="1:7" x14ac:dyDescent="0.2">
      <c r="A77" s="40"/>
      <c r="B77" s="36"/>
      <c r="D77" s="36"/>
    </row>
    <row r="78" spans="1:7" x14ac:dyDescent="0.2">
      <c r="A78" s="40"/>
      <c r="B78" s="36"/>
      <c r="D78" s="36"/>
    </row>
    <row r="79" spans="1:7" x14ac:dyDescent="0.2">
      <c r="A79" s="40"/>
      <c r="B79" s="36"/>
      <c r="D79" s="36"/>
    </row>
    <row r="80" spans="1:7" x14ac:dyDescent="0.2">
      <c r="A80" s="40"/>
      <c r="B80" s="36"/>
      <c r="D80" s="36"/>
    </row>
    <row r="81" spans="1:4" x14ac:dyDescent="0.2">
      <c r="A81" s="40"/>
      <c r="B81" s="36"/>
      <c r="D81" s="36"/>
    </row>
    <row r="82" spans="1:4" x14ac:dyDescent="0.2">
      <c r="A82" s="40"/>
      <c r="B82" s="36"/>
      <c r="D82" s="36"/>
    </row>
    <row r="83" spans="1:4" x14ac:dyDescent="0.2">
      <c r="A83" s="40"/>
      <c r="B83" s="36"/>
      <c r="D83" s="36"/>
    </row>
    <row r="84" spans="1:4" x14ac:dyDescent="0.2">
      <c r="A84" s="40"/>
      <c r="B84" s="36"/>
      <c r="D84" s="36"/>
    </row>
    <row r="85" spans="1:4" x14ac:dyDescent="0.2">
      <c r="A85" s="40"/>
      <c r="B85" s="36"/>
      <c r="D85" s="36"/>
    </row>
    <row r="86" spans="1:4" x14ac:dyDescent="0.2">
      <c r="A86" s="40"/>
      <c r="B86" s="36"/>
      <c r="D86" s="36"/>
    </row>
    <row r="87" spans="1:4" x14ac:dyDescent="0.2">
      <c r="A87" s="40"/>
      <c r="B87" s="36"/>
      <c r="D87" s="36"/>
    </row>
    <row r="88" spans="1:4" x14ac:dyDescent="0.2">
      <c r="A88" s="40"/>
      <c r="B88" s="36"/>
      <c r="D88" s="36"/>
    </row>
    <row r="89" spans="1:4" x14ac:dyDescent="0.2">
      <c r="A89" s="40"/>
      <c r="B89" s="36"/>
      <c r="D89" s="36"/>
    </row>
    <row r="90" spans="1:4" x14ac:dyDescent="0.2">
      <c r="A90" s="40"/>
      <c r="B90" s="36"/>
      <c r="D90" s="36"/>
    </row>
    <row r="91" spans="1:4" x14ac:dyDescent="0.2">
      <c r="A91" s="40"/>
      <c r="B91" s="36"/>
      <c r="D91" s="36"/>
    </row>
    <row r="92" spans="1:4" x14ac:dyDescent="0.2">
      <c r="A92" s="40"/>
      <c r="B92" s="36"/>
      <c r="D92" s="36"/>
    </row>
    <row r="93" spans="1:4" x14ac:dyDescent="0.2">
      <c r="A93" s="40"/>
      <c r="B93" s="36"/>
      <c r="D93" s="36"/>
    </row>
    <row r="94" spans="1:4" x14ac:dyDescent="0.2">
      <c r="A94" s="40"/>
      <c r="B94" s="36"/>
      <c r="D94" s="36"/>
    </row>
    <row r="95" spans="1:4" x14ac:dyDescent="0.2">
      <c r="A95" s="40"/>
      <c r="B95" s="36"/>
      <c r="D95" s="36"/>
    </row>
    <row r="96" spans="1:4" x14ac:dyDescent="0.2">
      <c r="A96" s="40"/>
      <c r="B96" s="36"/>
      <c r="D96" s="36"/>
    </row>
    <row r="97" spans="1:4" x14ac:dyDescent="0.2">
      <c r="A97" s="40"/>
      <c r="B97" s="36"/>
      <c r="D97" s="36"/>
    </row>
    <row r="98" spans="1:4" x14ac:dyDescent="0.2">
      <c r="A98" s="40"/>
      <c r="B98" s="36"/>
      <c r="D98" s="36"/>
    </row>
    <row r="99" spans="1:4" x14ac:dyDescent="0.2">
      <c r="A99" s="40"/>
      <c r="B99" s="36"/>
      <c r="D99" s="36"/>
    </row>
    <row r="100" spans="1:4" x14ac:dyDescent="0.2">
      <c r="A100" s="40"/>
      <c r="B100" s="36"/>
      <c r="D100" s="36"/>
    </row>
    <row r="101" spans="1:4" x14ac:dyDescent="0.2">
      <c r="A101" s="40"/>
      <c r="B101" s="36"/>
      <c r="D101" s="36"/>
    </row>
    <row r="102" spans="1:4" x14ac:dyDescent="0.2">
      <c r="A102" s="40"/>
      <c r="B102" s="36"/>
      <c r="D102" s="36"/>
    </row>
    <row r="103" spans="1:4" x14ac:dyDescent="0.2">
      <c r="A103" s="40"/>
      <c r="B103" s="36"/>
      <c r="D103" s="36"/>
    </row>
    <row r="104" spans="1:4" x14ac:dyDescent="0.2">
      <c r="A104" s="40"/>
      <c r="B104" s="36"/>
      <c r="D104" s="36"/>
    </row>
    <row r="105" spans="1:4" x14ac:dyDescent="0.2">
      <c r="A105" s="40"/>
      <c r="B105" s="36"/>
      <c r="D105" s="36"/>
    </row>
    <row r="106" spans="1:4" x14ac:dyDescent="0.2">
      <c r="A106" s="40"/>
      <c r="B106" s="36"/>
      <c r="D106" s="36"/>
    </row>
    <row r="107" spans="1:4" x14ac:dyDescent="0.2">
      <c r="A107" s="40"/>
      <c r="B107" s="36"/>
      <c r="D107" s="36"/>
    </row>
    <row r="108" spans="1:4" x14ac:dyDescent="0.2">
      <c r="A108" s="40"/>
      <c r="B108" s="36"/>
      <c r="D108" s="36"/>
    </row>
    <row r="109" spans="1:4" x14ac:dyDescent="0.2">
      <c r="A109" s="40"/>
      <c r="B109" s="36"/>
      <c r="D109" s="36"/>
    </row>
    <row r="110" spans="1:4" x14ac:dyDescent="0.2">
      <c r="A110" s="40"/>
      <c r="B110" s="36"/>
      <c r="D110" s="36"/>
    </row>
    <row r="111" spans="1:4" x14ac:dyDescent="0.2">
      <c r="A111" s="40"/>
      <c r="B111" s="36"/>
      <c r="D111" s="36"/>
    </row>
    <row r="112" spans="1:4" x14ac:dyDescent="0.2">
      <c r="A112" s="40"/>
      <c r="B112" s="36"/>
      <c r="D112" s="36"/>
    </row>
    <row r="113" spans="1:4" x14ac:dyDescent="0.2">
      <c r="A113" s="40"/>
      <c r="B113" s="36"/>
      <c r="D113" s="36"/>
    </row>
    <row r="114" spans="1:4" x14ac:dyDescent="0.2">
      <c r="A114" s="40"/>
      <c r="B114" s="36"/>
      <c r="D114" s="36"/>
    </row>
    <row r="115" spans="1:4" x14ac:dyDescent="0.2">
      <c r="A115" s="40"/>
      <c r="B115" s="36"/>
      <c r="D115" s="36"/>
    </row>
    <row r="116" spans="1:4" x14ac:dyDescent="0.2">
      <c r="A116" s="40"/>
      <c r="B116" s="36"/>
      <c r="D116" s="36"/>
    </row>
    <row r="117" spans="1:4" x14ac:dyDescent="0.2">
      <c r="A117" s="40"/>
      <c r="B117" s="36"/>
      <c r="D117" s="36"/>
    </row>
    <row r="118" spans="1:4" x14ac:dyDescent="0.2">
      <c r="A118" s="40"/>
      <c r="B118" s="36"/>
      <c r="D118" s="36"/>
    </row>
    <row r="119" spans="1:4" x14ac:dyDescent="0.2">
      <c r="A119" s="40"/>
      <c r="B119" s="36"/>
      <c r="D119" s="36"/>
    </row>
    <row r="120" spans="1:4" x14ac:dyDescent="0.2">
      <c r="A120" s="40"/>
      <c r="B120" s="36"/>
      <c r="D120" s="36"/>
    </row>
    <row r="121" spans="1:4" x14ac:dyDescent="0.2">
      <c r="A121" s="40"/>
      <c r="B121" s="36"/>
      <c r="D121" s="36"/>
    </row>
    <row r="122" spans="1:4" x14ac:dyDescent="0.2">
      <c r="A122" s="40"/>
      <c r="B122" s="36"/>
      <c r="D122" s="36"/>
    </row>
    <row r="123" spans="1:4" x14ac:dyDescent="0.2">
      <c r="A123" s="40"/>
      <c r="B123" s="36"/>
      <c r="D123" s="36"/>
    </row>
    <row r="124" spans="1:4" x14ac:dyDescent="0.2">
      <c r="A124" s="40"/>
      <c r="B124" s="36"/>
      <c r="D124" s="36"/>
    </row>
    <row r="125" spans="1:4" x14ac:dyDescent="0.2">
      <c r="A125" s="40"/>
      <c r="B125" s="36"/>
      <c r="D125" s="36"/>
    </row>
    <row r="126" spans="1:4" x14ac:dyDescent="0.2">
      <c r="A126" s="40"/>
      <c r="B126" s="36"/>
      <c r="D126" s="36"/>
    </row>
    <row r="127" spans="1:4" x14ac:dyDescent="0.2">
      <c r="A127" s="40"/>
      <c r="B127" s="36"/>
      <c r="D127" s="36"/>
    </row>
    <row r="128" spans="1:4" x14ac:dyDescent="0.2">
      <c r="A128" s="40"/>
      <c r="B128" s="36"/>
      <c r="D128" s="36"/>
    </row>
    <row r="129" spans="1:4" x14ac:dyDescent="0.2">
      <c r="A129" s="40"/>
      <c r="B129" s="36"/>
      <c r="D129" s="36"/>
    </row>
    <row r="130" spans="1:4" x14ac:dyDescent="0.2">
      <c r="A130" s="40"/>
      <c r="B130" s="36"/>
      <c r="D130" s="36"/>
    </row>
    <row r="131" spans="1:4" x14ac:dyDescent="0.2">
      <c r="A131" s="40"/>
      <c r="B131" s="36"/>
      <c r="D131" s="36"/>
    </row>
    <row r="132" spans="1:4" x14ac:dyDescent="0.2">
      <c r="A132" s="40"/>
      <c r="B132" s="36"/>
      <c r="D132" s="36"/>
    </row>
    <row r="133" spans="1:4" x14ac:dyDescent="0.2">
      <c r="A133" s="40"/>
      <c r="B133" s="36"/>
      <c r="D133" s="36"/>
    </row>
    <row r="134" spans="1:4" x14ac:dyDescent="0.2">
      <c r="A134" s="40"/>
      <c r="B134" s="36"/>
      <c r="D134" s="36"/>
    </row>
    <row r="135" spans="1:4" x14ac:dyDescent="0.2">
      <c r="A135" s="40"/>
      <c r="B135" s="36"/>
      <c r="D135" s="36"/>
    </row>
    <row r="136" spans="1:4" x14ac:dyDescent="0.2">
      <c r="A136" s="40"/>
      <c r="B136" s="36"/>
      <c r="D136" s="36"/>
    </row>
    <row r="137" spans="1:4" x14ac:dyDescent="0.2">
      <c r="A137" s="40"/>
      <c r="B137" s="36"/>
      <c r="D137" s="36"/>
    </row>
    <row r="138" spans="1:4" x14ac:dyDescent="0.2">
      <c r="A138" s="40"/>
      <c r="B138" s="36"/>
      <c r="D138" s="36"/>
    </row>
    <row r="139" spans="1:4" x14ac:dyDescent="0.2">
      <c r="A139" s="40"/>
      <c r="B139" s="36"/>
      <c r="D139" s="36"/>
    </row>
    <row r="140" spans="1:4" x14ac:dyDescent="0.2">
      <c r="A140" s="40"/>
      <c r="B140" s="36"/>
      <c r="D140" s="36"/>
    </row>
    <row r="141" spans="1:4" x14ac:dyDescent="0.2">
      <c r="A141" s="40"/>
      <c r="B141" s="36"/>
      <c r="D141" s="36"/>
    </row>
    <row r="142" spans="1:4" x14ac:dyDescent="0.2">
      <c r="A142" s="40"/>
      <c r="B142" s="36"/>
      <c r="D142" s="36"/>
    </row>
    <row r="143" spans="1:4" x14ac:dyDescent="0.2">
      <c r="A143" s="40"/>
      <c r="B143" s="36"/>
      <c r="D143" s="36"/>
    </row>
    <row r="144" spans="1:4" x14ac:dyDescent="0.2">
      <c r="A144" s="40"/>
      <c r="B144" s="36"/>
      <c r="D144" s="36"/>
    </row>
    <row r="145" spans="1:4" x14ac:dyDescent="0.2">
      <c r="A145" s="40"/>
      <c r="B145" s="36"/>
      <c r="D145" s="36"/>
    </row>
    <row r="146" spans="1:4" x14ac:dyDescent="0.2">
      <c r="A146" s="40"/>
      <c r="B146" s="36"/>
      <c r="D146" s="36"/>
    </row>
    <row r="147" spans="1:4" x14ac:dyDescent="0.2">
      <c r="A147" s="40"/>
      <c r="B147" s="36"/>
      <c r="D147" s="36"/>
    </row>
    <row r="148" spans="1:4" x14ac:dyDescent="0.2">
      <c r="A148" s="40"/>
      <c r="B148" s="36"/>
      <c r="D148" s="36"/>
    </row>
    <row r="149" spans="1:4" x14ac:dyDescent="0.2">
      <c r="A149" s="40"/>
      <c r="B149" s="36"/>
      <c r="D149" s="36"/>
    </row>
    <row r="150" spans="1:4" x14ac:dyDescent="0.2">
      <c r="A150" s="40"/>
      <c r="B150" s="36"/>
      <c r="D150" s="36"/>
    </row>
    <row r="151" spans="1:4" x14ac:dyDescent="0.2">
      <c r="A151" s="40"/>
      <c r="B151" s="36"/>
      <c r="D151" s="36"/>
    </row>
    <row r="152" spans="1:4" x14ac:dyDescent="0.2">
      <c r="A152" s="40"/>
      <c r="B152" s="36"/>
      <c r="D152" s="36"/>
    </row>
    <row r="153" spans="1:4" x14ac:dyDescent="0.2">
      <c r="A153" s="40"/>
      <c r="B153" s="36"/>
      <c r="D153" s="36"/>
    </row>
    <row r="154" spans="1:4" x14ac:dyDescent="0.2">
      <c r="A154" s="40"/>
      <c r="B154" s="36"/>
      <c r="D154" s="36"/>
    </row>
    <row r="155" spans="1:4" x14ac:dyDescent="0.2">
      <c r="A155" s="40"/>
      <c r="B155" s="36"/>
      <c r="D155" s="36"/>
    </row>
    <row r="156" spans="1:4" x14ac:dyDescent="0.2">
      <c r="A156" s="40"/>
      <c r="B156" s="36"/>
      <c r="D156" s="36"/>
    </row>
    <row r="157" spans="1:4" x14ac:dyDescent="0.2">
      <c r="A157" s="40"/>
      <c r="B157" s="36"/>
      <c r="D157" s="36"/>
    </row>
    <row r="158" spans="1:4" x14ac:dyDescent="0.2">
      <c r="A158" s="40"/>
      <c r="B158" s="36"/>
      <c r="D158" s="36"/>
    </row>
    <row r="159" spans="1:4" x14ac:dyDescent="0.2">
      <c r="A159" s="40"/>
      <c r="B159" s="36"/>
      <c r="D159" s="36"/>
    </row>
    <row r="160" spans="1:4" x14ac:dyDescent="0.2">
      <c r="A160" s="40"/>
      <c r="B160" s="36"/>
      <c r="D160" s="36"/>
    </row>
    <row r="161" spans="1:4" x14ac:dyDescent="0.2">
      <c r="A161" s="40"/>
      <c r="B161" s="36"/>
      <c r="D161" s="36"/>
    </row>
    <row r="162" spans="1:4" x14ac:dyDescent="0.2">
      <c r="A162" s="40"/>
      <c r="B162" s="36"/>
      <c r="D162" s="36"/>
    </row>
    <row r="163" spans="1:4" x14ac:dyDescent="0.2">
      <c r="A163" s="40"/>
      <c r="B163" s="36"/>
      <c r="D163" s="36"/>
    </row>
    <row r="164" spans="1:4" x14ac:dyDescent="0.2">
      <c r="A164" s="40"/>
      <c r="B164" s="36"/>
      <c r="D164" s="36"/>
    </row>
    <row r="165" spans="1:4" x14ac:dyDescent="0.2">
      <c r="A165" s="40"/>
      <c r="B165" s="36"/>
      <c r="D165" s="36"/>
    </row>
    <row r="166" spans="1:4" x14ac:dyDescent="0.2">
      <c r="A166" s="40"/>
      <c r="B166" s="36"/>
      <c r="D166" s="36"/>
    </row>
    <row r="167" spans="1:4" x14ac:dyDescent="0.2">
      <c r="A167" s="40"/>
      <c r="B167" s="36"/>
      <c r="D167" s="36"/>
    </row>
    <row r="168" spans="1:4" x14ac:dyDescent="0.2">
      <c r="A168" s="40"/>
      <c r="B168" s="36"/>
      <c r="D168" s="36"/>
    </row>
    <row r="169" spans="1:4" x14ac:dyDescent="0.2">
      <c r="A169" s="40"/>
      <c r="B169" s="36"/>
      <c r="D169" s="36"/>
    </row>
    <row r="170" spans="1:4" x14ac:dyDescent="0.2">
      <c r="A170" s="40"/>
      <c r="B170" s="36"/>
      <c r="D170" s="36"/>
    </row>
    <row r="171" spans="1:4" x14ac:dyDescent="0.2">
      <c r="A171" s="40"/>
      <c r="B171" s="36"/>
      <c r="D171" s="36"/>
    </row>
    <row r="172" spans="1:4" x14ac:dyDescent="0.2">
      <c r="A172" s="40"/>
      <c r="B172" s="36"/>
      <c r="D172" s="36"/>
    </row>
    <row r="173" spans="1:4" x14ac:dyDescent="0.2">
      <c r="A173" s="40"/>
      <c r="B173" s="36"/>
      <c r="D173" s="36"/>
    </row>
    <row r="174" spans="1:4" x14ac:dyDescent="0.2">
      <c r="A174" s="40"/>
      <c r="B174" s="36"/>
      <c r="D174" s="36"/>
    </row>
    <row r="175" spans="1:4" x14ac:dyDescent="0.2">
      <c r="A175" s="40"/>
      <c r="B175" s="36"/>
      <c r="D175" s="36"/>
    </row>
    <row r="176" spans="1:4" x14ac:dyDescent="0.2">
      <c r="A176" s="40"/>
      <c r="B176" s="36"/>
      <c r="D176" s="36"/>
    </row>
    <row r="177" spans="1:4" x14ac:dyDescent="0.2">
      <c r="A177" s="40"/>
      <c r="B177" s="36"/>
      <c r="D177" s="36"/>
    </row>
    <row r="178" spans="1:4" x14ac:dyDescent="0.2">
      <c r="A178" s="40"/>
      <c r="B178" s="36"/>
      <c r="D178" s="36"/>
    </row>
    <row r="179" spans="1:4" x14ac:dyDescent="0.2">
      <c r="A179" s="40"/>
      <c r="B179" s="36"/>
      <c r="D179" s="36"/>
    </row>
    <row r="180" spans="1:4" x14ac:dyDescent="0.2">
      <c r="A180" s="40"/>
      <c r="B180" s="36"/>
      <c r="D180" s="36"/>
    </row>
    <row r="181" spans="1:4" x14ac:dyDescent="0.2">
      <c r="A181" s="40"/>
      <c r="B181" s="36"/>
      <c r="D181" s="36"/>
    </row>
    <row r="182" spans="1:4" x14ac:dyDescent="0.2">
      <c r="A182" s="40"/>
      <c r="B182" s="36"/>
      <c r="D182" s="36"/>
    </row>
    <row r="183" spans="1:4" x14ac:dyDescent="0.2">
      <c r="A183" s="40"/>
      <c r="B183" s="36"/>
      <c r="D183" s="36"/>
    </row>
    <row r="184" spans="1:4" x14ac:dyDescent="0.2">
      <c r="A184" s="40"/>
      <c r="B184" s="36"/>
      <c r="D184" s="36"/>
    </row>
    <row r="185" spans="1:4" x14ac:dyDescent="0.2">
      <c r="A185" s="40"/>
      <c r="B185" s="36"/>
      <c r="D185" s="36"/>
    </row>
    <row r="186" spans="1:4" x14ac:dyDescent="0.2">
      <c r="A186" s="40"/>
      <c r="B186" s="36"/>
      <c r="D186" s="36"/>
    </row>
    <row r="187" spans="1:4" x14ac:dyDescent="0.2">
      <c r="A187" s="40"/>
      <c r="B187" s="36"/>
      <c r="D187" s="36"/>
    </row>
    <row r="188" spans="1:4" x14ac:dyDescent="0.2">
      <c r="A188" s="40"/>
      <c r="B188" s="36"/>
      <c r="D188" s="36"/>
    </row>
    <row r="189" spans="1:4" x14ac:dyDescent="0.2">
      <c r="A189" s="40"/>
      <c r="B189" s="36"/>
      <c r="D189" s="36"/>
    </row>
    <row r="190" spans="1:4" x14ac:dyDescent="0.2">
      <c r="A190" s="40"/>
      <c r="B190" s="36"/>
      <c r="D190" s="36"/>
    </row>
    <row r="191" spans="1:4" x14ac:dyDescent="0.2">
      <c r="A191" s="40"/>
      <c r="B191" s="36"/>
      <c r="D191" s="36"/>
    </row>
    <row r="192" spans="1:4" x14ac:dyDescent="0.2">
      <c r="A192" s="40"/>
      <c r="B192" s="36"/>
      <c r="D192" s="36"/>
    </row>
    <row r="193" spans="1:4" x14ac:dyDescent="0.2">
      <c r="A193" s="40"/>
      <c r="B193" s="36"/>
      <c r="D193" s="36"/>
    </row>
    <row r="194" spans="1:4" x14ac:dyDescent="0.2">
      <c r="A194" s="40"/>
      <c r="B194" s="36"/>
      <c r="D194" s="36"/>
    </row>
    <row r="195" spans="1:4" x14ac:dyDescent="0.2">
      <c r="A195" s="40"/>
      <c r="B195" s="36"/>
      <c r="D195" s="36"/>
    </row>
    <row r="196" spans="1:4" x14ac:dyDescent="0.2">
      <c r="A196" s="40"/>
      <c r="B196" s="36"/>
      <c r="D196" s="36"/>
    </row>
    <row r="197" spans="1:4" x14ac:dyDescent="0.2">
      <c r="A197" s="40"/>
      <c r="B197" s="36"/>
      <c r="D197" s="36"/>
    </row>
    <row r="198" spans="1:4" x14ac:dyDescent="0.2">
      <c r="A198" s="40"/>
      <c r="B198" s="36"/>
      <c r="D198" s="36"/>
    </row>
    <row r="199" spans="1:4" x14ac:dyDescent="0.2">
      <c r="A199" s="40"/>
      <c r="B199" s="36"/>
      <c r="D199" s="36"/>
    </row>
    <row r="200" spans="1:4" x14ac:dyDescent="0.2">
      <c r="A200" s="40"/>
      <c r="B200" s="36"/>
      <c r="D200" s="36"/>
    </row>
    <row r="201" spans="1:4" x14ac:dyDescent="0.2">
      <c r="A201" s="40"/>
      <c r="B201" s="36"/>
      <c r="D201" s="36"/>
    </row>
    <row r="202" spans="1:4" x14ac:dyDescent="0.2">
      <c r="A202" s="40"/>
      <c r="B202" s="36"/>
      <c r="D202" s="36"/>
    </row>
    <row r="203" spans="1:4" x14ac:dyDescent="0.2">
      <c r="A203" s="40"/>
      <c r="B203" s="36"/>
      <c r="D203" s="36"/>
    </row>
    <row r="204" spans="1:4" x14ac:dyDescent="0.2">
      <c r="A204" s="40"/>
      <c r="B204" s="36"/>
      <c r="D204" s="36"/>
    </row>
    <row r="205" spans="1:4" x14ac:dyDescent="0.2">
      <c r="A205" s="40"/>
      <c r="B205" s="36"/>
      <c r="D205" s="36"/>
    </row>
    <row r="206" spans="1:4" x14ac:dyDescent="0.2">
      <c r="A206" s="40"/>
      <c r="B206" s="36"/>
      <c r="D206" s="36"/>
    </row>
    <row r="207" spans="1:4" x14ac:dyDescent="0.2">
      <c r="A207" s="40"/>
      <c r="B207" s="36"/>
      <c r="D207" s="36"/>
    </row>
    <row r="208" spans="1:4" x14ac:dyDescent="0.2">
      <c r="A208" s="40"/>
      <c r="B208" s="36"/>
      <c r="D208" s="36"/>
    </row>
    <row r="209" spans="1:4" x14ac:dyDescent="0.2">
      <c r="A209" s="40"/>
      <c r="B209" s="36"/>
      <c r="D209" s="36"/>
    </row>
    <row r="210" spans="1:4" x14ac:dyDescent="0.2">
      <c r="A210" s="40"/>
      <c r="B210" s="36"/>
      <c r="D210" s="36"/>
    </row>
    <row r="211" spans="1:4" x14ac:dyDescent="0.2">
      <c r="A211" s="40"/>
      <c r="B211" s="36"/>
      <c r="D211" s="36"/>
    </row>
    <row r="212" spans="1:4" x14ac:dyDescent="0.2">
      <c r="A212" s="40"/>
      <c r="B212" s="36"/>
      <c r="D212" s="36"/>
    </row>
    <row r="213" spans="1:4" x14ac:dyDescent="0.2">
      <c r="A213" s="40"/>
      <c r="B213" s="36"/>
      <c r="D213" s="36"/>
    </row>
    <row r="214" spans="1:4" x14ac:dyDescent="0.2">
      <c r="A214" s="40"/>
      <c r="B214" s="36"/>
      <c r="D214" s="36"/>
    </row>
    <row r="215" spans="1:4" x14ac:dyDescent="0.2">
      <c r="A215" s="40"/>
      <c r="B215" s="36"/>
      <c r="D215" s="36"/>
    </row>
    <row r="216" spans="1:4" x14ac:dyDescent="0.2">
      <c r="A216" s="40"/>
      <c r="B216" s="36"/>
      <c r="D216" s="36"/>
    </row>
    <row r="217" spans="1:4" x14ac:dyDescent="0.2">
      <c r="A217" s="40"/>
      <c r="B217" s="36"/>
      <c r="D217" s="36"/>
    </row>
    <row r="218" spans="1:4" x14ac:dyDescent="0.2">
      <c r="A218" s="40"/>
      <c r="B218" s="36"/>
      <c r="D218" s="36"/>
    </row>
    <row r="219" spans="1:4" x14ac:dyDescent="0.2">
      <c r="A219" s="40"/>
      <c r="B219" s="36"/>
      <c r="D219" s="36"/>
    </row>
    <row r="220" spans="1:4" x14ac:dyDescent="0.2">
      <c r="A220" s="40"/>
      <c r="B220" s="36"/>
      <c r="D220" s="36"/>
    </row>
    <row r="221" spans="1:4" x14ac:dyDescent="0.2">
      <c r="A221" s="40"/>
      <c r="B221" s="36"/>
      <c r="D221" s="36"/>
    </row>
    <row r="222" spans="1:4" x14ac:dyDescent="0.2">
      <c r="A222" s="40"/>
      <c r="B222" s="36"/>
      <c r="D222" s="36"/>
    </row>
    <row r="223" spans="1:4" x14ac:dyDescent="0.2">
      <c r="A223" s="40"/>
      <c r="B223" s="36"/>
      <c r="D223" s="36"/>
    </row>
    <row r="224" spans="1:4" x14ac:dyDescent="0.2">
      <c r="A224" s="40"/>
      <c r="B224" s="36"/>
      <c r="D224" s="36"/>
    </row>
    <row r="225" spans="1:4" x14ac:dyDescent="0.2">
      <c r="A225" s="40"/>
      <c r="B225" s="36"/>
      <c r="D225" s="36"/>
    </row>
    <row r="226" spans="1:4" x14ac:dyDescent="0.2">
      <c r="A226" s="40"/>
      <c r="B226" s="36"/>
      <c r="D226" s="36"/>
    </row>
    <row r="227" spans="1:4" x14ac:dyDescent="0.2">
      <c r="A227" s="40"/>
      <c r="B227" s="36"/>
      <c r="D227" s="36"/>
    </row>
    <row r="228" spans="1:4" x14ac:dyDescent="0.2">
      <c r="A228" s="40"/>
      <c r="B228" s="36"/>
      <c r="D228" s="36"/>
    </row>
    <row r="229" spans="1:4" x14ac:dyDescent="0.2">
      <c r="A229" s="40"/>
      <c r="B229" s="36"/>
      <c r="D229" s="36"/>
    </row>
    <row r="230" spans="1:4" x14ac:dyDescent="0.2">
      <c r="A230" s="40"/>
      <c r="B230" s="36"/>
      <c r="D230" s="36"/>
    </row>
    <row r="231" spans="1:4" x14ac:dyDescent="0.2">
      <c r="A231" s="40"/>
      <c r="B231" s="36"/>
      <c r="D231" s="36"/>
    </row>
    <row r="232" spans="1:4" x14ac:dyDescent="0.2">
      <c r="A232" s="40"/>
      <c r="B232" s="36"/>
      <c r="D232" s="36"/>
    </row>
    <row r="233" spans="1:4" x14ac:dyDescent="0.2">
      <c r="A233" s="40"/>
      <c r="B233" s="36"/>
      <c r="D233" s="36"/>
    </row>
    <row r="234" spans="1:4" x14ac:dyDescent="0.2">
      <c r="A234" s="40"/>
      <c r="B234" s="36"/>
      <c r="D234" s="36"/>
    </row>
    <row r="235" spans="1:4" x14ac:dyDescent="0.2">
      <c r="A235" s="40"/>
      <c r="B235" s="36"/>
      <c r="D235" s="36"/>
    </row>
    <row r="236" spans="1:4" x14ac:dyDescent="0.2">
      <c r="A236" s="40"/>
      <c r="B236" s="36"/>
      <c r="D236" s="36"/>
    </row>
    <row r="237" spans="1:4" x14ac:dyDescent="0.2">
      <c r="A237" s="40"/>
      <c r="B237" s="36"/>
      <c r="D237" s="36"/>
    </row>
    <row r="238" spans="1:4" x14ac:dyDescent="0.2">
      <c r="A238" s="40"/>
      <c r="B238" s="36"/>
      <c r="D238" s="36"/>
    </row>
    <row r="239" spans="1:4" x14ac:dyDescent="0.2">
      <c r="A239" s="40"/>
      <c r="B239" s="36"/>
      <c r="D239" s="36"/>
    </row>
    <row r="240" spans="1:4" x14ac:dyDescent="0.2">
      <c r="A240" s="40"/>
      <c r="B240" s="36"/>
      <c r="D240" s="36"/>
    </row>
    <row r="241" spans="1:4" x14ac:dyDescent="0.2">
      <c r="A241" s="40"/>
      <c r="B241" s="36"/>
      <c r="D241" s="36"/>
    </row>
    <row r="242" spans="1:4" x14ac:dyDescent="0.2">
      <c r="A242" s="40"/>
      <c r="B242" s="36"/>
      <c r="D242" s="36"/>
    </row>
    <row r="243" spans="1:4" x14ac:dyDescent="0.2">
      <c r="A243" s="40"/>
      <c r="B243" s="36"/>
      <c r="D243" s="36"/>
    </row>
    <row r="244" spans="1:4" x14ac:dyDescent="0.2">
      <c r="A244" s="40"/>
      <c r="B244" s="36"/>
      <c r="D244" s="36"/>
    </row>
    <row r="245" spans="1:4" x14ac:dyDescent="0.2">
      <c r="A245" s="40"/>
      <c r="B245" s="36"/>
      <c r="D245" s="36"/>
    </row>
    <row r="246" spans="1:4" x14ac:dyDescent="0.2">
      <c r="A246" s="40"/>
      <c r="B246" s="36"/>
      <c r="D246" s="36"/>
    </row>
    <row r="247" spans="1:4" x14ac:dyDescent="0.2">
      <c r="A247" s="40"/>
      <c r="B247" s="36"/>
      <c r="D247" s="36"/>
    </row>
    <row r="248" spans="1:4" x14ac:dyDescent="0.2">
      <c r="A248" s="40"/>
      <c r="B248" s="36"/>
      <c r="D248" s="36"/>
    </row>
    <row r="249" spans="1:4" x14ac:dyDescent="0.2">
      <c r="A249" s="40"/>
      <c r="B249" s="36"/>
      <c r="D249" s="36"/>
    </row>
    <row r="250" spans="1:4" x14ac:dyDescent="0.2">
      <c r="A250" s="40"/>
      <c r="B250" s="36"/>
      <c r="D250" s="36"/>
    </row>
    <row r="251" spans="1:4" x14ac:dyDescent="0.2">
      <c r="A251" s="40"/>
      <c r="B251" s="36"/>
      <c r="D251" s="36"/>
    </row>
    <row r="252" spans="1:4" x14ac:dyDescent="0.2">
      <c r="A252" s="40"/>
      <c r="B252" s="36"/>
      <c r="D252" s="36"/>
    </row>
    <row r="253" spans="1:4" x14ac:dyDescent="0.2">
      <c r="A253" s="40"/>
      <c r="B253" s="36"/>
      <c r="D253" s="36"/>
    </row>
    <row r="254" spans="1:4" x14ac:dyDescent="0.2">
      <c r="A254" s="40"/>
      <c r="B254" s="36"/>
      <c r="D254" s="36"/>
    </row>
    <row r="255" spans="1:4" x14ac:dyDescent="0.2">
      <c r="A255" s="40"/>
      <c r="B255" s="36"/>
      <c r="D255" s="36"/>
    </row>
    <row r="256" spans="1:4" x14ac:dyDescent="0.2">
      <c r="A256" s="40"/>
      <c r="B256" s="36"/>
      <c r="D256" s="36"/>
    </row>
    <row r="257" spans="1:4" x14ac:dyDescent="0.2">
      <c r="A257" s="40"/>
      <c r="B257" s="36"/>
      <c r="D257" s="36"/>
    </row>
    <row r="258" spans="1:4" x14ac:dyDescent="0.2">
      <c r="A258" s="40"/>
      <c r="B258" s="36"/>
      <c r="D258" s="36"/>
    </row>
    <row r="259" spans="1:4" x14ac:dyDescent="0.2">
      <c r="A259" s="40"/>
      <c r="B259" s="36"/>
      <c r="D259" s="36"/>
    </row>
    <row r="260" spans="1:4" x14ac:dyDescent="0.2">
      <c r="A260" s="40"/>
      <c r="B260" s="36"/>
      <c r="D260" s="36"/>
    </row>
    <row r="261" spans="1:4" x14ac:dyDescent="0.2">
      <c r="A261" s="40"/>
      <c r="B261" s="36"/>
      <c r="D261" s="36"/>
    </row>
    <row r="262" spans="1:4" x14ac:dyDescent="0.2">
      <c r="A262" s="40"/>
      <c r="B262" s="36"/>
      <c r="D262" s="36"/>
    </row>
    <row r="263" spans="1:4" x14ac:dyDescent="0.2">
      <c r="A263" s="40"/>
      <c r="B263" s="36"/>
      <c r="D263" s="36"/>
    </row>
    <row r="264" spans="1:4" x14ac:dyDescent="0.2">
      <c r="A264" s="40"/>
      <c r="B264" s="36"/>
      <c r="D264" s="36"/>
    </row>
    <row r="265" spans="1:4" x14ac:dyDescent="0.2">
      <c r="A265" s="40"/>
      <c r="B265" s="36"/>
      <c r="D265" s="36"/>
    </row>
    <row r="266" spans="1:4" x14ac:dyDescent="0.2">
      <c r="A266" s="40"/>
      <c r="B266" s="36"/>
      <c r="D266" s="36"/>
    </row>
    <row r="267" spans="1:4" x14ac:dyDescent="0.2">
      <c r="A267" s="40"/>
      <c r="B267" s="36"/>
      <c r="D267" s="36"/>
    </row>
    <row r="268" spans="1:4" x14ac:dyDescent="0.2">
      <c r="A268" s="40"/>
      <c r="B268" s="36"/>
      <c r="D268" s="36"/>
    </row>
    <row r="269" spans="1:4" x14ac:dyDescent="0.2">
      <c r="A269" s="40"/>
      <c r="B269" s="36"/>
      <c r="D269" s="36"/>
    </row>
    <row r="270" spans="1:4" x14ac:dyDescent="0.2">
      <c r="A270" s="40"/>
      <c r="B270" s="36"/>
      <c r="D270" s="36"/>
    </row>
    <row r="271" spans="1:4" x14ac:dyDescent="0.2">
      <c r="A271" s="40"/>
      <c r="B271" s="36"/>
      <c r="D271" s="36"/>
    </row>
    <row r="272" spans="1:4" x14ac:dyDescent="0.2">
      <c r="A272" s="40"/>
      <c r="B272" s="36"/>
      <c r="D272" s="36"/>
    </row>
    <row r="273" spans="1:4" x14ac:dyDescent="0.2">
      <c r="A273" s="40"/>
      <c r="B273" s="36"/>
      <c r="D273" s="36"/>
    </row>
    <row r="274" spans="1:4" x14ac:dyDescent="0.2">
      <c r="A274" s="40"/>
      <c r="B274" s="36"/>
      <c r="D274" s="36"/>
    </row>
    <row r="275" spans="1:4" x14ac:dyDescent="0.2">
      <c r="A275" s="40"/>
      <c r="B275" s="36"/>
      <c r="D275" s="36"/>
    </row>
    <row r="276" spans="1:4" x14ac:dyDescent="0.2">
      <c r="A276" s="40"/>
      <c r="B276" s="36"/>
      <c r="D276" s="36"/>
    </row>
    <row r="277" spans="1:4" x14ac:dyDescent="0.2">
      <c r="A277" s="40"/>
      <c r="B277" s="36"/>
      <c r="D277" s="36"/>
    </row>
    <row r="278" spans="1:4" x14ac:dyDescent="0.2">
      <c r="A278" s="40"/>
      <c r="B278" s="36"/>
      <c r="D278" s="36"/>
    </row>
    <row r="279" spans="1:4" x14ac:dyDescent="0.2">
      <c r="A279" s="40"/>
      <c r="B279" s="36"/>
      <c r="D279" s="36"/>
    </row>
    <row r="280" spans="1:4" x14ac:dyDescent="0.2">
      <c r="A280" s="40"/>
      <c r="B280" s="36"/>
      <c r="D280" s="36"/>
    </row>
    <row r="281" spans="1:4" x14ac:dyDescent="0.2">
      <c r="A281" s="40"/>
      <c r="B281" s="36"/>
      <c r="D281" s="36"/>
    </row>
    <row r="282" spans="1:4" x14ac:dyDescent="0.2">
      <c r="A282" s="40"/>
      <c r="B282" s="36"/>
      <c r="D282" s="36"/>
    </row>
    <row r="283" spans="1:4" x14ac:dyDescent="0.2">
      <c r="A283" s="40"/>
      <c r="B283" s="36"/>
      <c r="D283" s="36"/>
    </row>
    <row r="284" spans="1:4" x14ac:dyDescent="0.2">
      <c r="A284" s="40"/>
      <c r="B284" s="36"/>
      <c r="D284" s="36"/>
    </row>
    <row r="285" spans="1:4" x14ac:dyDescent="0.2">
      <c r="A285" s="40"/>
      <c r="B285" s="36"/>
      <c r="D285" s="36"/>
    </row>
    <row r="286" spans="1:4" x14ac:dyDescent="0.2">
      <c r="A286" s="40"/>
      <c r="B286" s="36"/>
      <c r="D286" s="36"/>
    </row>
    <row r="287" spans="1:4" x14ac:dyDescent="0.2">
      <c r="A287" s="40"/>
      <c r="B287" s="36"/>
      <c r="D287" s="36"/>
    </row>
    <row r="288" spans="1:4" x14ac:dyDescent="0.2">
      <c r="A288" s="40"/>
      <c r="B288" s="36"/>
      <c r="D288" s="36"/>
    </row>
    <row r="289" spans="1:4" x14ac:dyDescent="0.2">
      <c r="A289" s="40"/>
      <c r="B289" s="36"/>
      <c r="D289" s="36"/>
    </row>
    <row r="290" spans="1:4" x14ac:dyDescent="0.2">
      <c r="A290" s="40"/>
      <c r="B290" s="36"/>
      <c r="D290" s="36"/>
    </row>
    <row r="291" spans="1:4" x14ac:dyDescent="0.2">
      <c r="A291" s="40"/>
      <c r="B291" s="36"/>
      <c r="D291" s="36"/>
    </row>
    <row r="292" spans="1:4" x14ac:dyDescent="0.2">
      <c r="A292" s="40"/>
      <c r="B292" s="36"/>
      <c r="D292" s="36"/>
    </row>
    <row r="293" spans="1:4" x14ac:dyDescent="0.2">
      <c r="A293" s="40"/>
      <c r="B293" s="36"/>
      <c r="D293" s="36"/>
    </row>
    <row r="294" spans="1:4" x14ac:dyDescent="0.2">
      <c r="A294" s="40"/>
      <c r="B294" s="36"/>
      <c r="D294" s="36"/>
    </row>
    <row r="295" spans="1:4" x14ac:dyDescent="0.2">
      <c r="A295" s="40"/>
      <c r="B295" s="36"/>
      <c r="D295" s="36"/>
    </row>
    <row r="296" spans="1:4" x14ac:dyDescent="0.2">
      <c r="A296" s="40"/>
      <c r="B296" s="36"/>
      <c r="D296" s="36"/>
    </row>
    <row r="297" spans="1:4" x14ac:dyDescent="0.2">
      <c r="A297" s="40"/>
      <c r="B297" s="36"/>
      <c r="D297" s="36"/>
    </row>
    <row r="298" spans="1:4" x14ac:dyDescent="0.2">
      <c r="A298" s="40"/>
      <c r="B298" s="36"/>
      <c r="D298" s="36"/>
    </row>
    <row r="299" spans="1:4" x14ac:dyDescent="0.2">
      <c r="A299" s="40"/>
      <c r="B299" s="36"/>
      <c r="D299" s="36"/>
    </row>
    <row r="300" spans="1:4" x14ac:dyDescent="0.2">
      <c r="A300" s="40"/>
      <c r="B300" s="36"/>
      <c r="D300" s="36"/>
    </row>
    <row r="301" spans="1:4" x14ac:dyDescent="0.2">
      <c r="A301" s="40"/>
      <c r="B301" s="36"/>
      <c r="D301" s="36"/>
    </row>
    <row r="302" spans="1:4" x14ac:dyDescent="0.2">
      <c r="A302" s="40"/>
      <c r="B302" s="36"/>
      <c r="D302" s="36"/>
    </row>
    <row r="303" spans="1:4" x14ac:dyDescent="0.2">
      <c r="A303" s="40"/>
      <c r="B303" s="36"/>
      <c r="D303" s="36"/>
    </row>
    <row r="304" spans="1:4" x14ac:dyDescent="0.2">
      <c r="A304" s="40"/>
      <c r="B304" s="36"/>
      <c r="D304" s="36"/>
    </row>
    <row r="305" spans="1:4" x14ac:dyDescent="0.2">
      <c r="A305" s="40"/>
      <c r="B305" s="36"/>
      <c r="D305" s="36"/>
    </row>
    <row r="306" spans="1:4" x14ac:dyDescent="0.2">
      <c r="A306" s="40"/>
      <c r="B306" s="36"/>
      <c r="D306" s="36"/>
    </row>
    <row r="307" spans="1:4" x14ac:dyDescent="0.2">
      <c r="A307" s="40"/>
      <c r="B307" s="36"/>
      <c r="D307" s="36"/>
    </row>
    <row r="308" spans="1:4" x14ac:dyDescent="0.2">
      <c r="A308" s="40"/>
      <c r="B308" s="36"/>
      <c r="D308" s="36"/>
    </row>
    <row r="309" spans="1:4" x14ac:dyDescent="0.2">
      <c r="A309" s="40"/>
      <c r="B309" s="36"/>
      <c r="D309" s="36"/>
    </row>
    <row r="310" spans="1:4" x14ac:dyDescent="0.2">
      <c r="A310" s="40"/>
      <c r="B310" s="36"/>
      <c r="D310" s="36"/>
    </row>
    <row r="311" spans="1:4" x14ac:dyDescent="0.2">
      <c r="A311" s="40"/>
      <c r="B311" s="36"/>
      <c r="D311" s="36"/>
    </row>
    <row r="312" spans="1:4" x14ac:dyDescent="0.2">
      <c r="A312" s="40"/>
      <c r="B312" s="36"/>
      <c r="D312" s="36"/>
    </row>
    <row r="313" spans="1:4" x14ac:dyDescent="0.2">
      <c r="A313" s="40"/>
      <c r="B313" s="36"/>
      <c r="D313" s="36"/>
    </row>
    <row r="314" spans="1:4" x14ac:dyDescent="0.2">
      <c r="A314" s="40"/>
      <c r="B314" s="36"/>
      <c r="D314" s="36"/>
    </row>
    <row r="315" spans="1:4" x14ac:dyDescent="0.2">
      <c r="A315" s="40"/>
      <c r="B315" s="36"/>
      <c r="D315" s="36"/>
    </row>
    <row r="316" spans="1:4" x14ac:dyDescent="0.2">
      <c r="A316" s="40"/>
      <c r="B316" s="36"/>
      <c r="D316" s="36"/>
    </row>
    <row r="317" spans="1:4" x14ac:dyDescent="0.2">
      <c r="A317" s="40"/>
      <c r="B317" s="36"/>
      <c r="D317" s="36"/>
    </row>
    <row r="318" spans="1:4" x14ac:dyDescent="0.2">
      <c r="A318" s="40"/>
      <c r="B318" s="36"/>
      <c r="D318" s="36"/>
    </row>
    <row r="319" spans="1:4" x14ac:dyDescent="0.2">
      <c r="A319" s="40"/>
      <c r="B319" s="36"/>
      <c r="D319" s="36"/>
    </row>
    <row r="320" spans="1:4" x14ac:dyDescent="0.2">
      <c r="A320" s="40"/>
      <c r="B320" s="36"/>
      <c r="D320" s="36"/>
    </row>
    <row r="321" spans="1:4" x14ac:dyDescent="0.2">
      <c r="A321" s="40"/>
      <c r="B321" s="36"/>
      <c r="D321" s="36"/>
    </row>
    <row r="322" spans="1:4" x14ac:dyDescent="0.2">
      <c r="A322" s="40"/>
      <c r="B322" s="36"/>
      <c r="D322" s="36"/>
    </row>
    <row r="323" spans="1:4" x14ac:dyDescent="0.2">
      <c r="A323" s="40"/>
      <c r="B323" s="36"/>
      <c r="D323" s="36"/>
    </row>
    <row r="324" spans="1:4" x14ac:dyDescent="0.2">
      <c r="A324" s="40"/>
      <c r="B324" s="36"/>
      <c r="D324" s="36"/>
    </row>
    <row r="325" spans="1:4" x14ac:dyDescent="0.2">
      <c r="A325" s="40"/>
      <c r="B325" s="36"/>
      <c r="D325" s="36"/>
    </row>
    <row r="326" spans="1:4" x14ac:dyDescent="0.2">
      <c r="A326" s="40"/>
      <c r="B326" s="36"/>
      <c r="D326" s="36"/>
    </row>
    <row r="327" spans="1:4" x14ac:dyDescent="0.2">
      <c r="A327" s="40"/>
      <c r="B327" s="36"/>
      <c r="D327" s="36"/>
    </row>
    <row r="328" spans="1:4" x14ac:dyDescent="0.2">
      <c r="A328" s="40"/>
      <c r="B328" s="36"/>
      <c r="D328" s="36"/>
    </row>
    <row r="329" spans="1:4" x14ac:dyDescent="0.2">
      <c r="A329" s="40"/>
      <c r="B329" s="36"/>
      <c r="D329" s="36"/>
    </row>
    <row r="330" spans="1:4" x14ac:dyDescent="0.2">
      <c r="A330" s="40"/>
      <c r="B330" s="36"/>
      <c r="D330" s="36"/>
    </row>
    <row r="331" spans="1:4" x14ac:dyDescent="0.2">
      <c r="A331" s="40"/>
      <c r="B331" s="36"/>
      <c r="D331" s="36"/>
    </row>
    <row r="332" spans="1:4" x14ac:dyDescent="0.2">
      <c r="A332" s="40"/>
      <c r="B332" s="36"/>
      <c r="D332" s="36"/>
    </row>
    <row r="333" spans="1:4" x14ac:dyDescent="0.2">
      <c r="A333" s="40"/>
      <c r="B333" s="36"/>
      <c r="D333" s="36"/>
    </row>
    <row r="334" spans="1:4" x14ac:dyDescent="0.2">
      <c r="A334" s="40"/>
      <c r="B334" s="36"/>
      <c r="D334" s="36"/>
    </row>
    <row r="335" spans="1:4" x14ac:dyDescent="0.2">
      <c r="A335" s="40"/>
      <c r="B335" s="36"/>
      <c r="D335" s="36"/>
    </row>
    <row r="336" spans="1:4" x14ac:dyDescent="0.2">
      <c r="A336" s="40"/>
      <c r="B336" s="36"/>
      <c r="D336" s="36"/>
    </row>
    <row r="337" spans="1:4" x14ac:dyDescent="0.2">
      <c r="A337" s="40"/>
      <c r="B337" s="36"/>
      <c r="D337" s="36"/>
    </row>
    <row r="338" spans="1:4" x14ac:dyDescent="0.2">
      <c r="A338" s="40"/>
      <c r="B338" s="36"/>
      <c r="D338" s="36"/>
    </row>
    <row r="339" spans="1:4" x14ac:dyDescent="0.2">
      <c r="A339" s="40"/>
      <c r="B339" s="36"/>
      <c r="D339" s="36"/>
    </row>
    <row r="340" spans="1:4" x14ac:dyDescent="0.2">
      <c r="A340" s="40"/>
      <c r="B340" s="36"/>
      <c r="D340" s="36"/>
    </row>
    <row r="341" spans="1:4" x14ac:dyDescent="0.2">
      <c r="A341" s="40"/>
      <c r="B341" s="36"/>
      <c r="D341" s="36"/>
    </row>
    <row r="342" spans="1:4" x14ac:dyDescent="0.2">
      <c r="A342" s="40"/>
      <c r="B342" s="36"/>
      <c r="D342" s="36"/>
    </row>
    <row r="343" spans="1:4" x14ac:dyDescent="0.2">
      <c r="A343" s="40"/>
      <c r="B343" s="36"/>
      <c r="D343" s="36"/>
    </row>
    <row r="344" spans="1:4" x14ac:dyDescent="0.2">
      <c r="A344" s="40"/>
      <c r="B344" s="36"/>
      <c r="D344" s="36"/>
    </row>
    <row r="345" spans="1:4" x14ac:dyDescent="0.2">
      <c r="A345" s="40"/>
      <c r="B345" s="36"/>
      <c r="D345" s="36"/>
    </row>
    <row r="346" spans="1:4" x14ac:dyDescent="0.2">
      <c r="A346" s="40"/>
      <c r="B346" s="36"/>
      <c r="D346" s="36"/>
    </row>
    <row r="347" spans="1:4" x14ac:dyDescent="0.2">
      <c r="A347" s="40"/>
      <c r="B347" s="36"/>
      <c r="D347" s="36"/>
    </row>
    <row r="348" spans="1:4" x14ac:dyDescent="0.2">
      <c r="A348" s="40"/>
      <c r="B348" s="36"/>
      <c r="D348" s="36"/>
    </row>
    <row r="349" spans="1:4" x14ac:dyDescent="0.2">
      <c r="A349" s="40"/>
      <c r="B349" s="36"/>
      <c r="D349" s="36"/>
    </row>
    <row r="350" spans="1:4" x14ac:dyDescent="0.2">
      <c r="A350" s="40"/>
      <c r="B350" s="36"/>
      <c r="D350" s="36"/>
    </row>
    <row r="351" spans="1:4" x14ac:dyDescent="0.2">
      <c r="A351" s="40"/>
      <c r="B351" s="36"/>
      <c r="D351" s="36"/>
    </row>
    <row r="352" spans="1:4" x14ac:dyDescent="0.2">
      <c r="A352" s="40"/>
      <c r="B352" s="36"/>
      <c r="D352" s="36"/>
    </row>
    <row r="353" spans="1:4" x14ac:dyDescent="0.2">
      <c r="A353" s="40"/>
      <c r="B353" s="36"/>
      <c r="D353" s="36"/>
    </row>
    <row r="354" spans="1:4" x14ac:dyDescent="0.2">
      <c r="A354" s="40"/>
      <c r="B354" s="36"/>
      <c r="D354" s="36"/>
    </row>
    <row r="355" spans="1:4" x14ac:dyDescent="0.2">
      <c r="A355" s="40"/>
      <c r="B355" s="36"/>
      <c r="D355" s="36"/>
    </row>
    <row r="356" spans="1:4" x14ac:dyDescent="0.2">
      <c r="A356" s="40"/>
      <c r="B356" s="36"/>
      <c r="D356" s="36"/>
    </row>
    <row r="357" spans="1:4" x14ac:dyDescent="0.2">
      <c r="A357" s="40"/>
      <c r="B357" s="36"/>
      <c r="D357" s="36"/>
    </row>
    <row r="358" spans="1:4" x14ac:dyDescent="0.2">
      <c r="A358" s="40"/>
      <c r="B358" s="36"/>
      <c r="D358" s="36"/>
    </row>
    <row r="359" spans="1:4" x14ac:dyDescent="0.2">
      <c r="A359" s="40"/>
      <c r="B359" s="36"/>
      <c r="D359" s="36"/>
    </row>
    <row r="360" spans="1:4" x14ac:dyDescent="0.2">
      <c r="A360" s="40"/>
      <c r="B360" s="36"/>
      <c r="D360" s="36"/>
    </row>
    <row r="361" spans="1:4" x14ac:dyDescent="0.2">
      <c r="A361" s="40"/>
      <c r="B361" s="36"/>
      <c r="D361" s="36"/>
    </row>
    <row r="362" spans="1:4" x14ac:dyDescent="0.2">
      <c r="A362" s="40"/>
      <c r="B362" s="36"/>
      <c r="D362" s="36"/>
    </row>
    <row r="363" spans="1:4" x14ac:dyDescent="0.2">
      <c r="A363" s="40"/>
      <c r="B363" s="36"/>
      <c r="D363" s="36"/>
    </row>
    <row r="364" spans="1:4" x14ac:dyDescent="0.2">
      <c r="A364" s="40"/>
      <c r="B364" s="36"/>
      <c r="D364" s="36"/>
    </row>
    <row r="365" spans="1:4" x14ac:dyDescent="0.2">
      <c r="A365" s="40"/>
      <c r="B365" s="36"/>
      <c r="D365" s="36"/>
    </row>
    <row r="366" spans="1:4" x14ac:dyDescent="0.2">
      <c r="A366" s="40"/>
      <c r="B366" s="36"/>
      <c r="D366" s="36"/>
    </row>
    <row r="367" spans="1:4" x14ac:dyDescent="0.2">
      <c r="A367" s="40"/>
      <c r="B367" s="36"/>
      <c r="D367" s="36"/>
    </row>
    <row r="368" spans="1:4" x14ac:dyDescent="0.2">
      <c r="A368" s="40"/>
      <c r="B368" s="36"/>
      <c r="D368" s="36"/>
    </row>
    <row r="369" spans="1:4" x14ac:dyDescent="0.2">
      <c r="A369" s="40"/>
      <c r="B369" s="36"/>
      <c r="D369" s="36"/>
    </row>
    <row r="370" spans="1:4" x14ac:dyDescent="0.2">
      <c r="A370" s="40"/>
      <c r="B370" s="36"/>
      <c r="D370" s="36"/>
    </row>
    <row r="371" spans="1:4" x14ac:dyDescent="0.2">
      <c r="A371" s="40"/>
      <c r="B371" s="36"/>
      <c r="D371" s="36"/>
    </row>
    <row r="372" spans="1:4" x14ac:dyDescent="0.2">
      <c r="A372" s="40"/>
      <c r="B372" s="36"/>
      <c r="D372" s="36"/>
    </row>
    <row r="373" spans="1:4" x14ac:dyDescent="0.2">
      <c r="A373" s="40"/>
      <c r="B373" s="36"/>
      <c r="D373" s="36"/>
    </row>
    <row r="374" spans="1:4" x14ac:dyDescent="0.2">
      <c r="A374" s="40"/>
      <c r="B374" s="36"/>
      <c r="D374" s="36"/>
    </row>
    <row r="375" spans="1:4" x14ac:dyDescent="0.2">
      <c r="A375" s="40"/>
      <c r="B375" s="36"/>
      <c r="D375" s="36"/>
    </row>
    <row r="376" spans="1:4" x14ac:dyDescent="0.2">
      <c r="A376" s="40"/>
      <c r="B376" s="36"/>
      <c r="D376" s="36"/>
    </row>
    <row r="377" spans="1:4" x14ac:dyDescent="0.2">
      <c r="A377" s="40"/>
      <c r="B377" s="36"/>
      <c r="D377" s="36"/>
    </row>
    <row r="378" spans="1:4" x14ac:dyDescent="0.2">
      <c r="B378" s="36"/>
      <c r="D378" s="36"/>
    </row>
    <row r="379" spans="1:4" x14ac:dyDescent="0.2">
      <c r="B379" s="36"/>
      <c r="D379" s="36"/>
    </row>
    <row r="380" spans="1:4" x14ac:dyDescent="0.2">
      <c r="B380" s="36"/>
      <c r="D380" s="36"/>
    </row>
    <row r="381" spans="1:4" x14ac:dyDescent="0.2">
      <c r="B381" s="36"/>
      <c r="D381" s="36"/>
    </row>
    <row r="382" spans="1:4" x14ac:dyDescent="0.2">
      <c r="B382" s="36"/>
      <c r="D382" s="36"/>
    </row>
    <row r="383" spans="1:4" x14ac:dyDescent="0.2">
      <c r="B383" s="36"/>
      <c r="D383" s="36"/>
    </row>
    <row r="384" spans="1:4" x14ac:dyDescent="0.2">
      <c r="B384" s="36"/>
      <c r="D384" s="36"/>
    </row>
    <row r="385" spans="2:4" s="34" customFormat="1" x14ac:dyDescent="0.2">
      <c r="B385" s="36"/>
      <c r="D385" s="36"/>
    </row>
    <row r="386" spans="2:4" s="34" customFormat="1" x14ac:dyDescent="0.2">
      <c r="B386" s="36"/>
      <c r="D386" s="36"/>
    </row>
    <row r="387" spans="2:4" s="34" customFormat="1" x14ac:dyDescent="0.2">
      <c r="B387" s="36"/>
      <c r="D387" s="36"/>
    </row>
    <row r="388" spans="2:4" s="34" customFormat="1" x14ac:dyDescent="0.2">
      <c r="B388" s="36"/>
      <c r="D388" s="36"/>
    </row>
    <row r="389" spans="2:4" s="34" customFormat="1" x14ac:dyDescent="0.2">
      <c r="B389" s="36"/>
      <c r="D389" s="36"/>
    </row>
    <row r="390" spans="2:4" s="34" customFormat="1" x14ac:dyDescent="0.2">
      <c r="B390" s="36"/>
      <c r="D390" s="36"/>
    </row>
    <row r="391" spans="2:4" s="34" customFormat="1" x14ac:dyDescent="0.2">
      <c r="B391" s="36"/>
      <c r="D391" s="36"/>
    </row>
    <row r="392" spans="2:4" s="34" customFormat="1" x14ac:dyDescent="0.2">
      <c r="B392" s="36"/>
      <c r="D392" s="36"/>
    </row>
    <row r="393" spans="2:4" s="34" customFormat="1" x14ac:dyDescent="0.2">
      <c r="B393" s="36"/>
      <c r="D393" s="36"/>
    </row>
    <row r="394" spans="2:4" s="34" customFormat="1" x14ac:dyDescent="0.2">
      <c r="B394" s="36"/>
      <c r="D394" s="36"/>
    </row>
    <row r="395" spans="2:4" s="34" customFormat="1" x14ac:dyDescent="0.2">
      <c r="B395" s="36"/>
      <c r="D395" s="36"/>
    </row>
    <row r="396" spans="2:4" s="34" customFormat="1" x14ac:dyDescent="0.2">
      <c r="B396" s="36"/>
      <c r="D396" s="36"/>
    </row>
    <row r="397" spans="2:4" s="34" customFormat="1" x14ac:dyDescent="0.2">
      <c r="B397" s="36"/>
      <c r="D397" s="36"/>
    </row>
    <row r="398" spans="2:4" s="34" customFormat="1" x14ac:dyDescent="0.2">
      <c r="B398" s="36"/>
      <c r="D398" s="36"/>
    </row>
    <row r="399" spans="2:4" s="34" customFormat="1" x14ac:dyDescent="0.2">
      <c r="B399" s="36"/>
      <c r="D399" s="36"/>
    </row>
    <row r="400" spans="2:4" s="34" customFormat="1" x14ac:dyDescent="0.2">
      <c r="B400" s="36"/>
      <c r="D400" s="36"/>
    </row>
    <row r="401" spans="2:4" s="34" customFormat="1" x14ac:dyDescent="0.2">
      <c r="B401" s="36"/>
      <c r="D401" s="36"/>
    </row>
    <row r="402" spans="2:4" s="34" customFormat="1" x14ac:dyDescent="0.2">
      <c r="B402" s="36"/>
      <c r="D402" s="36"/>
    </row>
    <row r="403" spans="2:4" s="34" customFormat="1" x14ac:dyDescent="0.2">
      <c r="B403" s="36"/>
      <c r="D403" s="36"/>
    </row>
    <row r="404" spans="2:4" s="34" customFormat="1" x14ac:dyDescent="0.2">
      <c r="B404" s="36"/>
      <c r="D404" s="36"/>
    </row>
    <row r="405" spans="2:4" s="34" customFormat="1" x14ac:dyDescent="0.2">
      <c r="B405" s="36"/>
      <c r="D405" s="36"/>
    </row>
    <row r="406" spans="2:4" s="34" customFormat="1" x14ac:dyDescent="0.2">
      <c r="B406" s="36"/>
      <c r="D406" s="36"/>
    </row>
    <row r="407" spans="2:4" s="34" customFormat="1" x14ac:dyDescent="0.2">
      <c r="B407" s="36"/>
      <c r="D407" s="36"/>
    </row>
    <row r="408" spans="2:4" s="34" customFormat="1" x14ac:dyDescent="0.2">
      <c r="B408" s="36"/>
      <c r="D408" s="36"/>
    </row>
    <row r="409" spans="2:4" s="34" customFormat="1" x14ac:dyDescent="0.2">
      <c r="B409" s="36"/>
      <c r="D409" s="36"/>
    </row>
    <row r="410" spans="2:4" s="34" customFormat="1" x14ac:dyDescent="0.2">
      <c r="B410" s="36"/>
      <c r="D410" s="36"/>
    </row>
    <row r="411" spans="2:4" s="34" customFormat="1" x14ac:dyDescent="0.2">
      <c r="B411" s="36"/>
      <c r="D411" s="36"/>
    </row>
    <row r="412" spans="2:4" s="34" customFormat="1" x14ac:dyDescent="0.2">
      <c r="B412" s="36"/>
      <c r="D412" s="36"/>
    </row>
    <row r="413" spans="2:4" s="34" customFormat="1" x14ac:dyDescent="0.2">
      <c r="B413" s="36"/>
      <c r="D413" s="36"/>
    </row>
    <row r="414" spans="2:4" s="34" customFormat="1" x14ac:dyDescent="0.2">
      <c r="B414" s="36"/>
      <c r="D414" s="36"/>
    </row>
    <row r="415" spans="2:4" s="34" customFormat="1" x14ac:dyDescent="0.2">
      <c r="B415" s="36"/>
      <c r="D415" s="36"/>
    </row>
    <row r="416" spans="2:4" s="34" customFormat="1" x14ac:dyDescent="0.2">
      <c r="B416" s="36"/>
      <c r="D416" s="36"/>
    </row>
    <row r="417" spans="2:4" s="34" customFormat="1" x14ac:dyDescent="0.2">
      <c r="B417" s="36"/>
      <c r="D417" s="36"/>
    </row>
    <row r="418" spans="2:4" s="34" customFormat="1" x14ac:dyDescent="0.2">
      <c r="B418" s="36"/>
      <c r="D418" s="36"/>
    </row>
    <row r="419" spans="2:4" s="34" customFormat="1" x14ac:dyDescent="0.2">
      <c r="B419" s="36"/>
      <c r="D419" s="36"/>
    </row>
    <row r="420" spans="2:4" s="34" customFormat="1" x14ac:dyDescent="0.2">
      <c r="B420" s="36"/>
      <c r="D420" s="36"/>
    </row>
    <row r="421" spans="2:4" s="34" customFormat="1" x14ac:dyDescent="0.2">
      <c r="B421" s="36"/>
      <c r="D421" s="36"/>
    </row>
    <row r="422" spans="2:4" s="34" customFormat="1" x14ac:dyDescent="0.2">
      <c r="B422" s="36"/>
      <c r="D422" s="36"/>
    </row>
    <row r="423" spans="2:4" s="34" customFormat="1" x14ac:dyDescent="0.2">
      <c r="B423" s="36"/>
      <c r="D423" s="36"/>
    </row>
    <row r="424" spans="2:4" s="34" customFormat="1" x14ac:dyDescent="0.2">
      <c r="B424" s="36"/>
      <c r="D424" s="36"/>
    </row>
    <row r="425" spans="2:4" s="34" customFormat="1" x14ac:dyDescent="0.2">
      <c r="B425" s="36"/>
      <c r="D425" s="36"/>
    </row>
    <row r="426" spans="2:4" s="34" customFormat="1" x14ac:dyDescent="0.2">
      <c r="B426" s="36"/>
      <c r="D426" s="36"/>
    </row>
    <row r="427" spans="2:4" s="34" customFormat="1" x14ac:dyDescent="0.2">
      <c r="B427" s="36"/>
      <c r="D427" s="36"/>
    </row>
    <row r="428" spans="2:4" s="34" customFormat="1" x14ac:dyDescent="0.2">
      <c r="B428" s="36"/>
      <c r="D428" s="36"/>
    </row>
    <row r="429" spans="2:4" s="34" customFormat="1" x14ac:dyDescent="0.2">
      <c r="B429" s="36"/>
      <c r="D429" s="36"/>
    </row>
    <row r="430" spans="2:4" s="34" customFormat="1" x14ac:dyDescent="0.2">
      <c r="B430" s="36"/>
      <c r="D430" s="36"/>
    </row>
    <row r="431" spans="2:4" s="34" customFormat="1" x14ac:dyDescent="0.2">
      <c r="B431" s="36"/>
      <c r="D431" s="36"/>
    </row>
    <row r="432" spans="2:4" s="34" customFormat="1" x14ac:dyDescent="0.2">
      <c r="B432" s="36"/>
      <c r="D432" s="36"/>
    </row>
    <row r="433" spans="2:4" s="34" customFormat="1" x14ac:dyDescent="0.2">
      <c r="B433" s="36"/>
      <c r="D433" s="36"/>
    </row>
    <row r="434" spans="2:4" s="34" customFormat="1" x14ac:dyDescent="0.2">
      <c r="B434" s="36"/>
      <c r="D434" s="36"/>
    </row>
    <row r="435" spans="2:4" s="34" customFormat="1" x14ac:dyDescent="0.2">
      <c r="B435" s="36"/>
      <c r="D435" s="36"/>
    </row>
    <row r="436" spans="2:4" s="34" customFormat="1" x14ac:dyDescent="0.2">
      <c r="B436" s="36"/>
      <c r="D436" s="36"/>
    </row>
    <row r="437" spans="2:4" s="34" customFormat="1" x14ac:dyDescent="0.2">
      <c r="B437" s="36"/>
      <c r="D437" s="36"/>
    </row>
    <row r="438" spans="2:4" s="34" customFormat="1" x14ac:dyDescent="0.2">
      <c r="B438" s="36"/>
      <c r="D438" s="36"/>
    </row>
    <row r="439" spans="2:4" s="34" customFormat="1" x14ac:dyDescent="0.2">
      <c r="B439" s="36"/>
      <c r="D439" s="36"/>
    </row>
    <row r="440" spans="2:4" s="34" customFormat="1" x14ac:dyDescent="0.2">
      <c r="B440" s="36"/>
      <c r="D440" s="36"/>
    </row>
    <row r="441" spans="2:4" s="34" customFormat="1" x14ac:dyDescent="0.2">
      <c r="B441" s="36"/>
      <c r="D441" s="36"/>
    </row>
    <row r="442" spans="2:4" s="34" customFormat="1" x14ac:dyDescent="0.2">
      <c r="B442" s="36"/>
      <c r="D442" s="36"/>
    </row>
    <row r="443" spans="2:4" s="34" customFormat="1" x14ac:dyDescent="0.2">
      <c r="B443" s="36"/>
      <c r="D443" s="36"/>
    </row>
    <row r="444" spans="2:4" s="34" customFormat="1" x14ac:dyDescent="0.2">
      <c r="B444" s="36"/>
      <c r="D444" s="36"/>
    </row>
    <row r="445" spans="2:4" s="34" customFormat="1" x14ac:dyDescent="0.2">
      <c r="B445" s="36"/>
      <c r="D445" s="36"/>
    </row>
    <row r="446" spans="2:4" s="34" customFormat="1" x14ac:dyDescent="0.2">
      <c r="B446" s="36"/>
      <c r="D446" s="36"/>
    </row>
    <row r="447" spans="2:4" s="34" customFormat="1" x14ac:dyDescent="0.2">
      <c r="B447" s="36"/>
      <c r="D447" s="36"/>
    </row>
    <row r="448" spans="2:4" s="34" customFormat="1" x14ac:dyDescent="0.2">
      <c r="B448" s="36"/>
      <c r="D448" s="36"/>
    </row>
    <row r="449" spans="2:4" s="34" customFormat="1" x14ac:dyDescent="0.2">
      <c r="B449" s="36"/>
      <c r="D449" s="36"/>
    </row>
    <row r="450" spans="2:4" s="34" customFormat="1" x14ac:dyDescent="0.2">
      <c r="B450" s="36"/>
      <c r="D450" s="36"/>
    </row>
    <row r="451" spans="2:4" s="34" customFormat="1" x14ac:dyDescent="0.2">
      <c r="B451" s="36"/>
      <c r="D451" s="36"/>
    </row>
    <row r="452" spans="2:4" s="34" customFormat="1" x14ac:dyDescent="0.2">
      <c r="B452" s="36"/>
      <c r="D452" s="36"/>
    </row>
    <row r="453" spans="2:4" s="34" customFormat="1" x14ac:dyDescent="0.2">
      <c r="B453" s="36"/>
      <c r="D453" s="36"/>
    </row>
    <row r="454" spans="2:4" s="34" customFormat="1" x14ac:dyDescent="0.2">
      <c r="B454" s="36"/>
      <c r="D454" s="36"/>
    </row>
    <row r="455" spans="2:4" s="34" customFormat="1" x14ac:dyDescent="0.2">
      <c r="B455" s="36"/>
      <c r="D455" s="36"/>
    </row>
    <row r="456" spans="2:4" s="34" customFormat="1" x14ac:dyDescent="0.2">
      <c r="B456" s="36"/>
      <c r="D456" s="36"/>
    </row>
    <row r="457" spans="2:4" s="34" customFormat="1" x14ac:dyDescent="0.2">
      <c r="B457" s="36"/>
      <c r="D457" s="36"/>
    </row>
    <row r="458" spans="2:4" s="34" customFormat="1" x14ac:dyDescent="0.2">
      <c r="B458" s="36"/>
      <c r="D458" s="36"/>
    </row>
    <row r="459" spans="2:4" s="34" customFormat="1" x14ac:dyDescent="0.2">
      <c r="B459" s="36"/>
      <c r="D459" s="36"/>
    </row>
    <row r="460" spans="2:4" s="34" customFormat="1" x14ac:dyDescent="0.2">
      <c r="B460" s="36"/>
      <c r="D460" s="36"/>
    </row>
    <row r="461" spans="2:4" s="34" customFormat="1" x14ac:dyDescent="0.2">
      <c r="B461" s="36"/>
      <c r="D461" s="36"/>
    </row>
    <row r="462" spans="2:4" s="34" customFormat="1" x14ac:dyDescent="0.2">
      <c r="B462" s="36"/>
      <c r="D462" s="36"/>
    </row>
    <row r="463" spans="2:4" s="34" customFormat="1" x14ac:dyDescent="0.2">
      <c r="B463" s="36"/>
      <c r="D463" s="36"/>
    </row>
    <row r="464" spans="2:4" s="34" customFormat="1" x14ac:dyDescent="0.2">
      <c r="B464" s="36"/>
      <c r="D464" s="36"/>
    </row>
    <row r="465" spans="2:4" s="34" customFormat="1" x14ac:dyDescent="0.2">
      <c r="B465" s="36"/>
      <c r="D465" s="36"/>
    </row>
    <row r="466" spans="2:4" s="34" customFormat="1" x14ac:dyDescent="0.2">
      <c r="B466" s="36"/>
      <c r="D466" s="36"/>
    </row>
    <row r="467" spans="2:4" s="34" customFormat="1" x14ac:dyDescent="0.2">
      <c r="B467" s="36"/>
      <c r="D467" s="36"/>
    </row>
    <row r="468" spans="2:4" s="34" customFormat="1" x14ac:dyDescent="0.2">
      <c r="B468" s="36"/>
      <c r="D468" s="36"/>
    </row>
    <row r="469" spans="2:4" s="34" customFormat="1" x14ac:dyDescent="0.2">
      <c r="B469" s="36"/>
      <c r="D469" s="36"/>
    </row>
    <row r="470" spans="2:4" s="34" customFormat="1" x14ac:dyDescent="0.2">
      <c r="B470" s="36"/>
      <c r="D470" s="36"/>
    </row>
    <row r="471" spans="2:4" s="34" customFormat="1" x14ac:dyDescent="0.2">
      <c r="B471" s="36"/>
      <c r="D471" s="36"/>
    </row>
    <row r="472" spans="2:4" s="34" customFormat="1" x14ac:dyDescent="0.2">
      <c r="B472" s="36"/>
      <c r="D472" s="36"/>
    </row>
    <row r="473" spans="2:4" s="34" customFormat="1" x14ac:dyDescent="0.2">
      <c r="B473" s="36"/>
      <c r="D473" s="36"/>
    </row>
    <row r="474" spans="2:4" s="34" customFormat="1" x14ac:dyDescent="0.2">
      <c r="B474" s="36"/>
      <c r="D474" s="36"/>
    </row>
    <row r="475" spans="2:4" s="34" customFormat="1" x14ac:dyDescent="0.2">
      <c r="B475" s="36"/>
      <c r="D475" s="36"/>
    </row>
    <row r="476" spans="2:4" s="34" customFormat="1" x14ac:dyDescent="0.2">
      <c r="B476" s="36"/>
      <c r="D476" s="36"/>
    </row>
    <row r="477" spans="2:4" s="34" customFormat="1" x14ac:dyDescent="0.2">
      <c r="B477" s="36"/>
      <c r="D477" s="36"/>
    </row>
    <row r="478" spans="2:4" s="34" customFormat="1" x14ac:dyDescent="0.2">
      <c r="B478" s="36"/>
      <c r="D478" s="36"/>
    </row>
    <row r="479" spans="2:4" s="34" customFormat="1" x14ac:dyDescent="0.2">
      <c r="B479" s="36"/>
      <c r="D479" s="36"/>
    </row>
    <row r="480" spans="2:4" s="34" customFormat="1" x14ac:dyDescent="0.2">
      <c r="B480" s="36"/>
      <c r="D480" s="36"/>
    </row>
    <row r="481" spans="2:4" s="34" customFormat="1" x14ac:dyDescent="0.2">
      <c r="B481" s="36"/>
      <c r="D481" s="36"/>
    </row>
    <row r="482" spans="2:4" s="34" customFormat="1" x14ac:dyDescent="0.2">
      <c r="B482" s="36"/>
      <c r="D482" s="36"/>
    </row>
    <row r="483" spans="2:4" s="34" customFormat="1" x14ac:dyDescent="0.2">
      <c r="B483" s="36"/>
      <c r="D483" s="36"/>
    </row>
    <row r="484" spans="2:4" s="34" customFormat="1" x14ac:dyDescent="0.2">
      <c r="B484" s="36"/>
      <c r="D484" s="36"/>
    </row>
    <row r="485" spans="2:4" s="34" customFormat="1" x14ac:dyDescent="0.2">
      <c r="B485" s="36"/>
      <c r="D485" s="36"/>
    </row>
    <row r="486" spans="2:4" s="34" customFormat="1" x14ac:dyDescent="0.2">
      <c r="B486" s="36"/>
      <c r="D486" s="36"/>
    </row>
    <row r="487" spans="2:4" s="34" customFormat="1" x14ac:dyDescent="0.2">
      <c r="B487" s="36"/>
      <c r="D487" s="36"/>
    </row>
    <row r="488" spans="2:4" s="34" customFormat="1" x14ac:dyDescent="0.2">
      <c r="B488" s="36"/>
      <c r="D488" s="36"/>
    </row>
    <row r="489" spans="2:4" s="34" customFormat="1" x14ac:dyDescent="0.2">
      <c r="B489" s="36"/>
      <c r="D489" s="36"/>
    </row>
    <row r="490" spans="2:4" s="34" customFormat="1" x14ac:dyDescent="0.2">
      <c r="B490" s="36"/>
      <c r="D490" s="36"/>
    </row>
    <row r="491" spans="2:4" s="34" customFormat="1" x14ac:dyDescent="0.2">
      <c r="B491" s="36"/>
      <c r="D491" s="36"/>
    </row>
    <row r="492" spans="2:4" s="34" customFormat="1" x14ac:dyDescent="0.2">
      <c r="B492" s="36"/>
      <c r="D492" s="36"/>
    </row>
    <row r="493" spans="2:4" s="34" customFormat="1" x14ac:dyDescent="0.2">
      <c r="B493" s="36"/>
      <c r="D493" s="36"/>
    </row>
    <row r="494" spans="2:4" s="34" customFormat="1" x14ac:dyDescent="0.2">
      <c r="B494" s="36"/>
      <c r="D494" s="36"/>
    </row>
    <row r="495" spans="2:4" s="34" customFormat="1" x14ac:dyDescent="0.2">
      <c r="B495" s="36"/>
      <c r="D495" s="36"/>
    </row>
    <row r="496" spans="2:4" s="34" customFormat="1" x14ac:dyDescent="0.2">
      <c r="B496" s="36"/>
      <c r="D496" s="36"/>
    </row>
    <row r="497" spans="2:4" s="34" customFormat="1" x14ac:dyDescent="0.2">
      <c r="B497" s="36"/>
      <c r="D497" s="36"/>
    </row>
    <row r="498" spans="2:4" s="34" customFormat="1" x14ac:dyDescent="0.2">
      <c r="B498" s="36"/>
      <c r="D498" s="36"/>
    </row>
    <row r="499" spans="2:4" s="34" customFormat="1" x14ac:dyDescent="0.2">
      <c r="B499" s="36"/>
      <c r="D499" s="36"/>
    </row>
    <row r="500" spans="2:4" s="34" customFormat="1" x14ac:dyDescent="0.2">
      <c r="B500" s="36"/>
      <c r="D500" s="36"/>
    </row>
    <row r="501" spans="2:4" s="34" customFormat="1" x14ac:dyDescent="0.2">
      <c r="B501" s="36"/>
      <c r="D501" s="36"/>
    </row>
    <row r="502" spans="2:4" s="34" customFormat="1" x14ac:dyDescent="0.2">
      <c r="B502" s="36"/>
      <c r="D502" s="36"/>
    </row>
    <row r="503" spans="2:4" s="34" customFormat="1" x14ac:dyDescent="0.2">
      <c r="B503" s="36"/>
      <c r="D503" s="36"/>
    </row>
    <row r="504" spans="2:4" s="34" customFormat="1" x14ac:dyDescent="0.2">
      <c r="B504" s="36"/>
      <c r="D504" s="36"/>
    </row>
    <row r="505" spans="2:4" s="34" customFormat="1" x14ac:dyDescent="0.2">
      <c r="B505" s="36"/>
      <c r="D505" s="36"/>
    </row>
    <row r="506" spans="2:4" s="34" customFormat="1" x14ac:dyDescent="0.2">
      <c r="B506" s="36"/>
      <c r="D506" s="36"/>
    </row>
    <row r="507" spans="2:4" s="34" customFormat="1" x14ac:dyDescent="0.2">
      <c r="B507" s="36"/>
      <c r="D507" s="36"/>
    </row>
    <row r="508" spans="2:4" s="34" customFormat="1" x14ac:dyDescent="0.2">
      <c r="B508" s="36"/>
      <c r="D508" s="36"/>
    </row>
    <row r="509" spans="2:4" s="34" customFormat="1" x14ac:dyDescent="0.2">
      <c r="B509" s="36"/>
      <c r="D509" s="36"/>
    </row>
    <row r="510" spans="2:4" s="34" customFormat="1" x14ac:dyDescent="0.2">
      <c r="B510" s="36"/>
      <c r="D510" s="36"/>
    </row>
    <row r="511" spans="2:4" s="34" customFormat="1" x14ac:dyDescent="0.2">
      <c r="B511" s="36"/>
      <c r="D511" s="36"/>
    </row>
    <row r="512" spans="2:4" s="34" customFormat="1" x14ac:dyDescent="0.2">
      <c r="B512" s="36"/>
      <c r="D512" s="36"/>
    </row>
    <row r="513" spans="2:4" s="34" customFormat="1" x14ac:dyDescent="0.2">
      <c r="B513" s="36"/>
      <c r="D513" s="36"/>
    </row>
    <row r="514" spans="2:4" s="34" customFormat="1" x14ac:dyDescent="0.2">
      <c r="B514" s="36"/>
      <c r="D514" s="36"/>
    </row>
    <row r="515" spans="2:4" s="34" customFormat="1" x14ac:dyDescent="0.2">
      <c r="B515" s="36"/>
      <c r="D515" s="36"/>
    </row>
    <row r="516" spans="2:4" s="34" customFormat="1" x14ac:dyDescent="0.2">
      <c r="B516" s="36"/>
      <c r="D516" s="36"/>
    </row>
    <row r="517" spans="2:4" s="34" customFormat="1" x14ac:dyDescent="0.2">
      <c r="B517" s="36"/>
      <c r="D517" s="36"/>
    </row>
    <row r="518" spans="2:4" s="34" customFormat="1" x14ac:dyDescent="0.2">
      <c r="B518" s="36"/>
      <c r="D518" s="36"/>
    </row>
    <row r="519" spans="2:4" s="34" customFormat="1" x14ac:dyDescent="0.2">
      <c r="B519" s="36"/>
      <c r="D519" s="36"/>
    </row>
    <row r="520" spans="2:4" s="34" customFormat="1" x14ac:dyDescent="0.2">
      <c r="B520" s="36"/>
      <c r="D520" s="36"/>
    </row>
    <row r="521" spans="2:4" s="34" customFormat="1" x14ac:dyDescent="0.2">
      <c r="B521" s="36"/>
      <c r="D521" s="36"/>
    </row>
    <row r="522" spans="2:4" s="34" customFormat="1" x14ac:dyDescent="0.2">
      <c r="B522" s="36"/>
      <c r="D522" s="36"/>
    </row>
    <row r="523" spans="2:4" s="34" customFormat="1" x14ac:dyDescent="0.2">
      <c r="B523" s="36"/>
      <c r="D523" s="36"/>
    </row>
    <row r="524" spans="2:4" s="34" customFormat="1" x14ac:dyDescent="0.2">
      <c r="B524" s="36"/>
      <c r="D524" s="36"/>
    </row>
    <row r="525" spans="2:4" s="34" customFormat="1" x14ac:dyDescent="0.2">
      <c r="B525" s="36"/>
      <c r="D525" s="36"/>
    </row>
    <row r="526" spans="2:4" s="34" customFormat="1" x14ac:dyDescent="0.2">
      <c r="B526" s="36"/>
      <c r="D526" s="36"/>
    </row>
    <row r="527" spans="2:4" s="34" customFormat="1" x14ac:dyDescent="0.2">
      <c r="B527" s="36"/>
      <c r="D527" s="36"/>
    </row>
    <row r="528" spans="2:4" s="34" customFormat="1" x14ac:dyDescent="0.2">
      <c r="B528" s="36"/>
      <c r="D528" s="36"/>
    </row>
    <row r="529" spans="2:4" s="34" customFormat="1" x14ac:dyDescent="0.2">
      <c r="B529" s="36"/>
      <c r="D529" s="36"/>
    </row>
    <row r="530" spans="2:4" s="34" customFormat="1" x14ac:dyDescent="0.2">
      <c r="B530" s="36"/>
      <c r="D530" s="36"/>
    </row>
    <row r="531" spans="2:4" s="34" customFormat="1" x14ac:dyDescent="0.2">
      <c r="B531" s="36"/>
      <c r="D531" s="36"/>
    </row>
    <row r="532" spans="2:4" s="34" customFormat="1" x14ac:dyDescent="0.2">
      <c r="B532" s="36"/>
      <c r="D532" s="36"/>
    </row>
    <row r="533" spans="2:4" s="34" customFormat="1" x14ac:dyDescent="0.2">
      <c r="B533" s="36"/>
      <c r="D533" s="36"/>
    </row>
    <row r="534" spans="2:4" s="34" customFormat="1" x14ac:dyDescent="0.2">
      <c r="B534" s="36"/>
      <c r="D534" s="36"/>
    </row>
    <row r="535" spans="2:4" s="34" customFormat="1" x14ac:dyDescent="0.2">
      <c r="B535" s="36"/>
      <c r="D535" s="36"/>
    </row>
    <row r="536" spans="2:4" s="34" customFormat="1" x14ac:dyDescent="0.2">
      <c r="B536" s="36"/>
      <c r="D536" s="36"/>
    </row>
    <row r="537" spans="2:4" s="34" customFormat="1" x14ac:dyDescent="0.2">
      <c r="B537" s="36"/>
      <c r="D537" s="36"/>
    </row>
    <row r="538" spans="2:4" s="34" customFormat="1" x14ac:dyDescent="0.2">
      <c r="B538" s="36"/>
      <c r="D538" s="36"/>
    </row>
    <row r="539" spans="2:4" s="34" customFormat="1" x14ac:dyDescent="0.2">
      <c r="B539" s="36"/>
      <c r="D539" s="36"/>
    </row>
    <row r="540" spans="2:4" s="34" customFormat="1" x14ac:dyDescent="0.2">
      <c r="B540" s="36"/>
      <c r="D540" s="36"/>
    </row>
    <row r="541" spans="2:4" s="34" customFormat="1" x14ac:dyDescent="0.2">
      <c r="B541" s="36"/>
      <c r="D541" s="36"/>
    </row>
    <row r="542" spans="2:4" s="34" customFormat="1" x14ac:dyDescent="0.2">
      <c r="B542" s="36"/>
      <c r="D542" s="36"/>
    </row>
    <row r="543" spans="2:4" s="34" customFormat="1" x14ac:dyDescent="0.2">
      <c r="B543" s="36"/>
      <c r="D543" s="36"/>
    </row>
    <row r="544" spans="2:4" s="34" customFormat="1" x14ac:dyDescent="0.2">
      <c r="B544" s="36"/>
      <c r="D544" s="36"/>
    </row>
    <row r="545" spans="2:4" s="34" customFormat="1" x14ac:dyDescent="0.2">
      <c r="B545" s="36"/>
      <c r="D545" s="36"/>
    </row>
    <row r="546" spans="2:4" s="34" customFormat="1" x14ac:dyDescent="0.2">
      <c r="B546" s="36"/>
      <c r="D546" s="36"/>
    </row>
    <row r="547" spans="2:4" s="34" customFormat="1" x14ac:dyDescent="0.2">
      <c r="B547" s="36"/>
      <c r="D547" s="36"/>
    </row>
    <row r="548" spans="2:4" s="34" customFormat="1" x14ac:dyDescent="0.2">
      <c r="B548" s="36"/>
      <c r="D548" s="36"/>
    </row>
    <row r="549" spans="2:4" s="34" customFormat="1" x14ac:dyDescent="0.2">
      <c r="B549" s="36"/>
      <c r="D549" s="36"/>
    </row>
    <row r="550" spans="2:4" s="34" customFormat="1" x14ac:dyDescent="0.2">
      <c r="B550" s="36"/>
      <c r="D550" s="36"/>
    </row>
    <row r="551" spans="2:4" s="34" customFormat="1" x14ac:dyDescent="0.2">
      <c r="B551" s="36"/>
      <c r="D551" s="36"/>
    </row>
    <row r="552" spans="2:4" s="34" customFormat="1" x14ac:dyDescent="0.2">
      <c r="B552" s="36"/>
      <c r="D552" s="36"/>
    </row>
    <row r="553" spans="2:4" s="34" customFormat="1" x14ac:dyDescent="0.2">
      <c r="B553" s="36"/>
      <c r="D553" s="36"/>
    </row>
    <row r="554" spans="2:4" s="34" customFormat="1" x14ac:dyDescent="0.2">
      <c r="B554" s="36"/>
      <c r="D554" s="36"/>
    </row>
    <row r="555" spans="2:4" s="34" customFormat="1" x14ac:dyDescent="0.2">
      <c r="B555" s="36"/>
      <c r="D555" s="36"/>
    </row>
    <row r="556" spans="2:4" s="34" customFormat="1" x14ac:dyDescent="0.2">
      <c r="B556" s="36"/>
      <c r="D556" s="36"/>
    </row>
    <row r="557" spans="2:4" s="34" customFormat="1" x14ac:dyDescent="0.2">
      <c r="B557" s="36"/>
      <c r="D557" s="36"/>
    </row>
    <row r="558" spans="2:4" s="34" customFormat="1" x14ac:dyDescent="0.2">
      <c r="B558" s="36"/>
      <c r="D558" s="36"/>
    </row>
    <row r="559" spans="2:4" s="34" customFormat="1" x14ac:dyDescent="0.2">
      <c r="B559" s="36"/>
      <c r="D559" s="36"/>
    </row>
    <row r="560" spans="2:4" s="34" customFormat="1" x14ac:dyDescent="0.2">
      <c r="B560" s="36"/>
      <c r="D560" s="36"/>
    </row>
    <row r="561" spans="2:4" s="34" customFormat="1" x14ac:dyDescent="0.2">
      <c r="B561" s="36"/>
      <c r="D561" s="36"/>
    </row>
    <row r="562" spans="2:4" s="34" customFormat="1" x14ac:dyDescent="0.2">
      <c r="B562" s="36"/>
      <c r="D562" s="36"/>
    </row>
    <row r="563" spans="2:4" s="34" customFormat="1" x14ac:dyDescent="0.2">
      <c r="B563" s="36"/>
      <c r="D563" s="36"/>
    </row>
    <row r="564" spans="2:4" s="34" customFormat="1" x14ac:dyDescent="0.2">
      <c r="B564" s="36"/>
      <c r="D564" s="36"/>
    </row>
    <row r="565" spans="2:4" s="34" customFormat="1" x14ac:dyDescent="0.2">
      <c r="B565" s="36"/>
      <c r="D565" s="36"/>
    </row>
    <row r="566" spans="2:4" s="34" customFormat="1" x14ac:dyDescent="0.2">
      <c r="B566" s="36"/>
      <c r="D566" s="36"/>
    </row>
    <row r="567" spans="2:4" s="34" customFormat="1" x14ac:dyDescent="0.2">
      <c r="B567" s="36"/>
      <c r="D567" s="36"/>
    </row>
    <row r="568" spans="2:4" s="34" customFormat="1" x14ac:dyDescent="0.2">
      <c r="B568" s="36"/>
      <c r="D568" s="36"/>
    </row>
    <row r="569" spans="2:4" s="34" customFormat="1" x14ac:dyDescent="0.2">
      <c r="B569" s="36"/>
      <c r="D569" s="36"/>
    </row>
    <row r="570" spans="2:4" s="34" customFormat="1" x14ac:dyDescent="0.2">
      <c r="B570" s="36"/>
      <c r="D570" s="36"/>
    </row>
    <row r="571" spans="2:4" s="34" customFormat="1" x14ac:dyDescent="0.2">
      <c r="B571" s="36"/>
      <c r="D571" s="36"/>
    </row>
    <row r="572" spans="2:4" s="34" customFormat="1" x14ac:dyDescent="0.2">
      <c r="B572" s="36"/>
      <c r="D572" s="36"/>
    </row>
    <row r="573" spans="2:4" s="34" customFormat="1" x14ac:dyDescent="0.2">
      <c r="B573" s="36"/>
      <c r="D573" s="36"/>
    </row>
    <row r="574" spans="2:4" s="34" customFormat="1" x14ac:dyDescent="0.2">
      <c r="B574" s="36"/>
      <c r="D574" s="36"/>
    </row>
    <row r="575" spans="2:4" s="34" customFormat="1" x14ac:dyDescent="0.2">
      <c r="B575" s="36"/>
      <c r="D575" s="36"/>
    </row>
    <row r="576" spans="2:4" s="34" customFormat="1" x14ac:dyDescent="0.2">
      <c r="B576" s="36"/>
      <c r="D576" s="36"/>
    </row>
    <row r="577" spans="2:4" s="34" customFormat="1" x14ac:dyDescent="0.2">
      <c r="B577" s="36"/>
      <c r="D577" s="36"/>
    </row>
    <row r="578" spans="2:4" s="34" customFormat="1" x14ac:dyDescent="0.2">
      <c r="B578" s="36"/>
      <c r="D578" s="36"/>
    </row>
    <row r="579" spans="2:4" s="34" customFormat="1" x14ac:dyDescent="0.2">
      <c r="B579" s="36"/>
      <c r="D579" s="36"/>
    </row>
    <row r="580" spans="2:4" s="34" customFormat="1" x14ac:dyDescent="0.2">
      <c r="B580" s="36"/>
      <c r="D580" s="36"/>
    </row>
    <row r="581" spans="2:4" s="34" customFormat="1" x14ac:dyDescent="0.2">
      <c r="B581" s="36"/>
      <c r="D581" s="36"/>
    </row>
    <row r="582" spans="2:4" s="34" customFormat="1" x14ac:dyDescent="0.2">
      <c r="B582" s="36"/>
      <c r="D582" s="36"/>
    </row>
    <row r="583" spans="2:4" s="34" customFormat="1" x14ac:dyDescent="0.2">
      <c r="B583" s="36"/>
      <c r="D583" s="36"/>
    </row>
    <row r="584" spans="2:4" s="34" customFormat="1" x14ac:dyDescent="0.2">
      <c r="B584" s="36"/>
      <c r="D584" s="36"/>
    </row>
    <row r="585" spans="2:4" s="34" customFormat="1" x14ac:dyDescent="0.2">
      <c r="B585" s="36"/>
      <c r="D585" s="36"/>
    </row>
    <row r="586" spans="2:4" s="34" customFormat="1" x14ac:dyDescent="0.2">
      <c r="B586" s="36"/>
      <c r="D586" s="36"/>
    </row>
    <row r="587" spans="2:4" s="34" customFormat="1" x14ac:dyDescent="0.2">
      <c r="B587" s="36"/>
      <c r="D587" s="36"/>
    </row>
    <row r="588" spans="2:4" s="34" customFormat="1" x14ac:dyDescent="0.2">
      <c r="B588" s="36"/>
      <c r="D588" s="36"/>
    </row>
    <row r="589" spans="2:4" s="34" customFormat="1" x14ac:dyDescent="0.2">
      <c r="B589" s="36"/>
      <c r="D589" s="36"/>
    </row>
    <row r="590" spans="2:4" s="34" customFormat="1" x14ac:dyDescent="0.2">
      <c r="B590" s="36"/>
      <c r="D590" s="36"/>
    </row>
    <row r="591" spans="2:4" s="34" customFormat="1" x14ac:dyDescent="0.2">
      <c r="B591" s="36"/>
      <c r="D591" s="36"/>
    </row>
    <row r="592" spans="2:4" s="34" customFormat="1" x14ac:dyDescent="0.2">
      <c r="B592" s="36"/>
      <c r="D592" s="36"/>
    </row>
    <row r="593" spans="2:4" s="34" customFormat="1" x14ac:dyDescent="0.2">
      <c r="B593" s="36"/>
      <c r="D593" s="36"/>
    </row>
    <row r="594" spans="2:4" s="34" customFormat="1" x14ac:dyDescent="0.2">
      <c r="B594" s="36"/>
      <c r="D594" s="36"/>
    </row>
    <row r="595" spans="2:4" s="34" customFormat="1" x14ac:dyDescent="0.2">
      <c r="B595" s="36"/>
      <c r="D595" s="36"/>
    </row>
    <row r="596" spans="2:4" s="34" customFormat="1" x14ac:dyDescent="0.2">
      <c r="B596" s="36"/>
      <c r="D596" s="36"/>
    </row>
    <row r="597" spans="2:4" s="34" customFormat="1" x14ac:dyDescent="0.2">
      <c r="B597" s="36"/>
      <c r="D597" s="36"/>
    </row>
    <row r="598" spans="2:4" s="34" customFormat="1" x14ac:dyDescent="0.2">
      <c r="B598" s="36"/>
      <c r="D598" s="36"/>
    </row>
    <row r="599" spans="2:4" s="34" customFormat="1" x14ac:dyDescent="0.2">
      <c r="B599" s="36"/>
      <c r="D599" s="36"/>
    </row>
    <row r="600" spans="2:4" s="34" customFormat="1" x14ac:dyDescent="0.2">
      <c r="B600" s="36"/>
      <c r="D600" s="36"/>
    </row>
    <row r="601" spans="2:4" s="34" customFormat="1" x14ac:dyDescent="0.2">
      <c r="B601" s="36"/>
      <c r="D601" s="36"/>
    </row>
    <row r="602" spans="2:4" s="34" customFormat="1" x14ac:dyDescent="0.2">
      <c r="B602" s="36"/>
      <c r="D602" s="36"/>
    </row>
    <row r="603" spans="2:4" s="34" customFormat="1" x14ac:dyDescent="0.2">
      <c r="B603" s="36"/>
      <c r="D603" s="36"/>
    </row>
    <row r="604" spans="2:4" s="34" customFormat="1" x14ac:dyDescent="0.2">
      <c r="B604" s="36"/>
      <c r="D604" s="36"/>
    </row>
    <row r="605" spans="2:4" s="34" customFormat="1" x14ac:dyDescent="0.2">
      <c r="B605" s="36"/>
      <c r="D605" s="36"/>
    </row>
    <row r="606" spans="2:4" s="34" customFormat="1" x14ac:dyDescent="0.2">
      <c r="B606" s="36"/>
      <c r="D606" s="36"/>
    </row>
    <row r="607" spans="2:4" s="34" customFormat="1" x14ac:dyDescent="0.2">
      <c r="B607" s="36"/>
      <c r="D607" s="36"/>
    </row>
    <row r="608" spans="2:4" s="34" customFormat="1" x14ac:dyDescent="0.2">
      <c r="B608" s="36"/>
      <c r="D608" s="36"/>
    </row>
    <row r="609" spans="2:4" s="34" customFormat="1" x14ac:dyDescent="0.2">
      <c r="B609" s="36"/>
      <c r="D609" s="36"/>
    </row>
    <row r="610" spans="2:4" s="34" customFormat="1" x14ac:dyDescent="0.2">
      <c r="B610" s="36"/>
      <c r="D610" s="36"/>
    </row>
    <row r="611" spans="2:4" s="34" customFormat="1" x14ac:dyDescent="0.2">
      <c r="B611" s="36"/>
      <c r="D611" s="36"/>
    </row>
    <row r="612" spans="2:4" s="34" customFormat="1" x14ac:dyDescent="0.2">
      <c r="B612" s="36"/>
      <c r="D612" s="36"/>
    </row>
    <row r="613" spans="2:4" s="34" customFormat="1" x14ac:dyDescent="0.2">
      <c r="B613" s="36"/>
      <c r="D613" s="36"/>
    </row>
    <row r="614" spans="2:4" s="34" customFormat="1" x14ac:dyDescent="0.2">
      <c r="B614" s="36"/>
      <c r="D614" s="36"/>
    </row>
    <row r="615" spans="2:4" s="34" customFormat="1" x14ac:dyDescent="0.2">
      <c r="B615" s="36"/>
      <c r="D615" s="36"/>
    </row>
    <row r="616" spans="2:4" s="34" customFormat="1" x14ac:dyDescent="0.2">
      <c r="B616" s="36"/>
      <c r="D616" s="36"/>
    </row>
    <row r="617" spans="2:4" s="34" customFormat="1" x14ac:dyDescent="0.2">
      <c r="B617" s="36"/>
      <c r="D617" s="36"/>
    </row>
    <row r="618" spans="2:4" s="34" customFormat="1" x14ac:dyDescent="0.2">
      <c r="B618" s="36"/>
      <c r="D618" s="36"/>
    </row>
    <row r="619" spans="2:4" s="34" customFormat="1" x14ac:dyDescent="0.2">
      <c r="B619" s="36"/>
      <c r="D619" s="36"/>
    </row>
    <row r="620" spans="2:4" s="34" customFormat="1" x14ac:dyDescent="0.2">
      <c r="B620" s="36"/>
      <c r="D620" s="36"/>
    </row>
    <row r="621" spans="2:4" s="34" customFormat="1" x14ac:dyDescent="0.2">
      <c r="B621" s="36"/>
      <c r="D621" s="36"/>
    </row>
    <row r="622" spans="2:4" s="34" customFormat="1" x14ac:dyDescent="0.2">
      <c r="B622" s="36"/>
      <c r="D622" s="36"/>
    </row>
    <row r="623" spans="2:4" s="34" customFormat="1" x14ac:dyDescent="0.2">
      <c r="B623" s="36"/>
      <c r="D623" s="36"/>
    </row>
    <row r="624" spans="2:4" s="34" customFormat="1" x14ac:dyDescent="0.2">
      <c r="B624" s="36"/>
      <c r="D624" s="36"/>
    </row>
    <row r="625" spans="2:4" s="34" customFormat="1" x14ac:dyDescent="0.2">
      <c r="B625" s="36"/>
      <c r="D625" s="36"/>
    </row>
    <row r="626" spans="2:4" s="34" customFormat="1" x14ac:dyDescent="0.2">
      <c r="B626" s="36"/>
      <c r="D626" s="36"/>
    </row>
    <row r="627" spans="2:4" s="34" customFormat="1" x14ac:dyDescent="0.2">
      <c r="B627" s="36"/>
      <c r="D627" s="36"/>
    </row>
    <row r="628" spans="2:4" s="34" customFormat="1" x14ac:dyDescent="0.2">
      <c r="B628" s="36"/>
      <c r="D628" s="36"/>
    </row>
    <row r="629" spans="2:4" s="34" customFormat="1" x14ac:dyDescent="0.2">
      <c r="B629" s="36"/>
      <c r="D629" s="36"/>
    </row>
    <row r="630" spans="2:4" s="34" customFormat="1" x14ac:dyDescent="0.2">
      <c r="B630" s="36"/>
      <c r="D630" s="36"/>
    </row>
    <row r="631" spans="2:4" s="34" customFormat="1" x14ac:dyDescent="0.2">
      <c r="B631" s="36"/>
      <c r="D631" s="36"/>
    </row>
    <row r="632" spans="2:4" s="34" customFormat="1" x14ac:dyDescent="0.2">
      <c r="B632" s="36"/>
      <c r="D632" s="36"/>
    </row>
    <row r="633" spans="2:4" s="34" customFormat="1" x14ac:dyDescent="0.2">
      <c r="B633" s="36"/>
      <c r="D633" s="36"/>
    </row>
    <row r="634" spans="2:4" s="34" customFormat="1" x14ac:dyDescent="0.2">
      <c r="B634" s="36"/>
      <c r="D634" s="36"/>
    </row>
    <row r="635" spans="2:4" s="34" customFormat="1" x14ac:dyDescent="0.2">
      <c r="B635" s="36"/>
      <c r="D635" s="36"/>
    </row>
    <row r="636" spans="2:4" s="34" customFormat="1" x14ac:dyDescent="0.2">
      <c r="B636" s="36"/>
      <c r="D636" s="36"/>
    </row>
    <row r="637" spans="2:4" s="34" customFormat="1" x14ac:dyDescent="0.2">
      <c r="B637" s="36"/>
      <c r="D637" s="36"/>
    </row>
    <row r="638" spans="2:4" s="34" customFormat="1" x14ac:dyDescent="0.2">
      <c r="B638" s="36"/>
      <c r="D638" s="36"/>
    </row>
    <row r="639" spans="2:4" s="34" customFormat="1" x14ac:dyDescent="0.2">
      <c r="B639" s="36"/>
      <c r="D639" s="36"/>
    </row>
    <row r="640" spans="2:4" s="34" customFormat="1" x14ac:dyDescent="0.2">
      <c r="B640" s="36"/>
      <c r="D640" s="36"/>
    </row>
    <row r="641" spans="2:4" s="34" customFormat="1" x14ac:dyDescent="0.2">
      <c r="B641" s="36"/>
      <c r="D641" s="36"/>
    </row>
    <row r="642" spans="2:4" s="34" customFormat="1" x14ac:dyDescent="0.2">
      <c r="B642" s="36"/>
      <c r="D642" s="36"/>
    </row>
    <row r="643" spans="2:4" s="34" customFormat="1" x14ac:dyDescent="0.2">
      <c r="B643" s="36"/>
      <c r="D643" s="36"/>
    </row>
    <row r="644" spans="2:4" s="34" customFormat="1" x14ac:dyDescent="0.2">
      <c r="B644" s="36"/>
      <c r="D644" s="36"/>
    </row>
    <row r="645" spans="2:4" s="34" customFormat="1" x14ac:dyDescent="0.2">
      <c r="B645" s="36"/>
      <c r="D645" s="36"/>
    </row>
    <row r="646" spans="2:4" s="34" customFormat="1" x14ac:dyDescent="0.2">
      <c r="B646" s="36"/>
      <c r="D646" s="36"/>
    </row>
    <row r="647" spans="2:4" s="34" customFormat="1" x14ac:dyDescent="0.2">
      <c r="B647" s="36"/>
      <c r="D647" s="36"/>
    </row>
    <row r="648" spans="2:4" s="34" customFormat="1" x14ac:dyDescent="0.2">
      <c r="B648" s="36"/>
      <c r="D648" s="36"/>
    </row>
    <row r="649" spans="2:4" s="34" customFormat="1" x14ac:dyDescent="0.2">
      <c r="B649" s="36"/>
      <c r="D649" s="36"/>
    </row>
    <row r="650" spans="2:4" s="34" customFormat="1" x14ac:dyDescent="0.2">
      <c r="B650" s="36"/>
      <c r="D650" s="36"/>
    </row>
    <row r="651" spans="2:4" s="34" customFormat="1" x14ac:dyDescent="0.2">
      <c r="B651" s="36"/>
      <c r="D651" s="36"/>
    </row>
    <row r="652" spans="2:4" s="34" customFormat="1" x14ac:dyDescent="0.2">
      <c r="B652" s="36"/>
      <c r="D652" s="36"/>
    </row>
    <row r="653" spans="2:4" s="34" customFormat="1" x14ac:dyDescent="0.2">
      <c r="B653" s="36"/>
      <c r="D653" s="36"/>
    </row>
    <row r="654" spans="2:4" s="34" customFormat="1" x14ac:dyDescent="0.2">
      <c r="B654" s="36"/>
      <c r="D654" s="36"/>
    </row>
    <row r="655" spans="2:4" s="34" customFormat="1" x14ac:dyDescent="0.2">
      <c r="B655" s="36"/>
      <c r="D655" s="36"/>
    </row>
    <row r="656" spans="2:4" s="34" customFormat="1" x14ac:dyDescent="0.2">
      <c r="B656" s="36"/>
      <c r="D656" s="36"/>
    </row>
    <row r="657" spans="2:4" s="34" customFormat="1" x14ac:dyDescent="0.2">
      <c r="B657" s="36"/>
      <c r="D657" s="36"/>
    </row>
    <row r="658" spans="2:4" s="34" customFormat="1" x14ac:dyDescent="0.2">
      <c r="B658" s="36"/>
      <c r="D658" s="36"/>
    </row>
    <row r="659" spans="2:4" s="34" customFormat="1" x14ac:dyDescent="0.2">
      <c r="B659" s="36"/>
      <c r="D659" s="36"/>
    </row>
    <row r="660" spans="2:4" s="34" customFormat="1" x14ac:dyDescent="0.2">
      <c r="B660" s="36"/>
      <c r="D660" s="36"/>
    </row>
    <row r="661" spans="2:4" s="34" customFormat="1" x14ac:dyDescent="0.2">
      <c r="B661" s="36"/>
      <c r="D661" s="36"/>
    </row>
    <row r="662" spans="2:4" s="34" customFormat="1" x14ac:dyDescent="0.2">
      <c r="B662" s="36"/>
      <c r="D662" s="36"/>
    </row>
    <row r="663" spans="2:4" s="34" customFormat="1" x14ac:dyDescent="0.2">
      <c r="B663" s="36"/>
      <c r="D663" s="36"/>
    </row>
    <row r="664" spans="2:4" s="34" customFormat="1" x14ac:dyDescent="0.2">
      <c r="B664" s="36"/>
      <c r="D664" s="36"/>
    </row>
    <row r="665" spans="2:4" s="34" customFormat="1" x14ac:dyDescent="0.2">
      <c r="B665" s="36"/>
      <c r="D665" s="36"/>
    </row>
    <row r="666" spans="2:4" s="34" customFormat="1" x14ac:dyDescent="0.2">
      <c r="B666" s="36"/>
      <c r="D666" s="36"/>
    </row>
    <row r="667" spans="2:4" s="34" customFormat="1" x14ac:dyDescent="0.2">
      <c r="B667" s="36"/>
      <c r="D667" s="36"/>
    </row>
    <row r="668" spans="2:4" s="34" customFormat="1" x14ac:dyDescent="0.2">
      <c r="B668" s="36"/>
      <c r="D668" s="36"/>
    </row>
    <row r="669" spans="2:4" s="34" customFormat="1" x14ac:dyDescent="0.2">
      <c r="B669" s="36"/>
      <c r="D669" s="36"/>
    </row>
    <row r="670" spans="2:4" s="34" customFormat="1" x14ac:dyDescent="0.2">
      <c r="B670" s="36"/>
      <c r="D670" s="36"/>
    </row>
    <row r="671" spans="2:4" s="34" customFormat="1" x14ac:dyDescent="0.2">
      <c r="B671" s="36"/>
      <c r="D671" s="36"/>
    </row>
    <row r="672" spans="2:4" s="34" customFormat="1" x14ac:dyDescent="0.2">
      <c r="B672" s="36"/>
      <c r="D672" s="36"/>
    </row>
    <row r="673" spans="2:4" s="34" customFormat="1" x14ac:dyDescent="0.2">
      <c r="B673" s="36"/>
      <c r="D673" s="36"/>
    </row>
    <row r="674" spans="2:4" s="34" customFormat="1" x14ac:dyDescent="0.2">
      <c r="B674" s="36"/>
      <c r="D674" s="36"/>
    </row>
    <row r="675" spans="2:4" s="34" customFormat="1" x14ac:dyDescent="0.2">
      <c r="B675" s="36"/>
      <c r="D675" s="36"/>
    </row>
    <row r="676" spans="2:4" s="34" customFormat="1" x14ac:dyDescent="0.2">
      <c r="B676" s="36"/>
      <c r="D676" s="36"/>
    </row>
    <row r="677" spans="2:4" s="34" customFormat="1" x14ac:dyDescent="0.2">
      <c r="B677" s="36"/>
      <c r="D677" s="36"/>
    </row>
    <row r="678" spans="2:4" s="34" customFormat="1" x14ac:dyDescent="0.2">
      <c r="B678" s="36"/>
      <c r="D678" s="36"/>
    </row>
    <row r="679" spans="2:4" s="34" customFormat="1" x14ac:dyDescent="0.2">
      <c r="B679" s="36"/>
      <c r="D679" s="36"/>
    </row>
    <row r="680" spans="2:4" s="34" customFormat="1" x14ac:dyDescent="0.2">
      <c r="B680" s="36"/>
      <c r="D680" s="36"/>
    </row>
    <row r="681" spans="2:4" s="34" customFormat="1" x14ac:dyDescent="0.2">
      <c r="B681" s="36"/>
      <c r="D681" s="36"/>
    </row>
    <row r="682" spans="2:4" s="34" customFormat="1" x14ac:dyDescent="0.2">
      <c r="B682" s="36"/>
      <c r="D682" s="36"/>
    </row>
    <row r="683" spans="2:4" s="34" customFormat="1" x14ac:dyDescent="0.2">
      <c r="B683" s="36"/>
      <c r="D683" s="36"/>
    </row>
    <row r="684" spans="2:4" s="34" customFormat="1" x14ac:dyDescent="0.2">
      <c r="B684" s="36"/>
      <c r="D684" s="36"/>
    </row>
    <row r="685" spans="2:4" s="34" customFormat="1" x14ac:dyDescent="0.2">
      <c r="B685" s="36"/>
      <c r="D685" s="36"/>
    </row>
    <row r="686" spans="2:4" s="34" customFormat="1" x14ac:dyDescent="0.2">
      <c r="B686" s="36"/>
      <c r="D686" s="36"/>
    </row>
    <row r="687" spans="2:4" s="34" customFormat="1" x14ac:dyDescent="0.2">
      <c r="B687" s="36"/>
      <c r="D687" s="36"/>
    </row>
    <row r="688" spans="2:4" s="34" customFormat="1" x14ac:dyDescent="0.2">
      <c r="B688" s="36"/>
      <c r="D688" s="36"/>
    </row>
    <row r="689" spans="2:4" s="34" customFormat="1" x14ac:dyDescent="0.2">
      <c r="B689" s="36"/>
      <c r="D689" s="36"/>
    </row>
    <row r="690" spans="2:4" s="34" customFormat="1" x14ac:dyDescent="0.2">
      <c r="B690" s="36"/>
      <c r="D690" s="36"/>
    </row>
    <row r="691" spans="2:4" s="34" customFormat="1" x14ac:dyDescent="0.2">
      <c r="B691" s="36"/>
      <c r="D691" s="36"/>
    </row>
    <row r="692" spans="2:4" s="34" customFormat="1" x14ac:dyDescent="0.2">
      <c r="B692" s="36"/>
      <c r="D692" s="36"/>
    </row>
    <row r="693" spans="2:4" s="34" customFormat="1" x14ac:dyDescent="0.2">
      <c r="B693" s="36"/>
      <c r="D693" s="36"/>
    </row>
    <row r="694" spans="2:4" s="34" customFormat="1" x14ac:dyDescent="0.2">
      <c r="B694" s="36"/>
      <c r="D694" s="36"/>
    </row>
    <row r="695" spans="2:4" s="34" customFormat="1" x14ac:dyDescent="0.2">
      <c r="B695" s="36"/>
      <c r="D695" s="36"/>
    </row>
    <row r="696" spans="2:4" s="34" customFormat="1" x14ac:dyDescent="0.2">
      <c r="B696" s="36"/>
      <c r="D696" s="36"/>
    </row>
    <row r="697" spans="2:4" s="34" customFormat="1" x14ac:dyDescent="0.2">
      <c r="B697" s="36"/>
      <c r="D697" s="36"/>
    </row>
    <row r="698" spans="2:4" s="34" customFormat="1" x14ac:dyDescent="0.2">
      <c r="B698" s="36"/>
      <c r="D698" s="36"/>
    </row>
    <row r="699" spans="2:4" s="34" customFormat="1" x14ac:dyDescent="0.2">
      <c r="B699" s="36"/>
      <c r="D699" s="36"/>
    </row>
    <row r="700" spans="2:4" s="34" customFormat="1" x14ac:dyDescent="0.2">
      <c r="B700" s="36"/>
      <c r="D700" s="36"/>
    </row>
    <row r="701" spans="2:4" s="34" customFormat="1" x14ac:dyDescent="0.2">
      <c r="B701" s="36"/>
      <c r="D701" s="36"/>
    </row>
    <row r="702" spans="2:4" s="34" customFormat="1" x14ac:dyDescent="0.2">
      <c r="B702" s="36"/>
      <c r="D702" s="36"/>
    </row>
    <row r="703" spans="2:4" s="34" customFormat="1" x14ac:dyDescent="0.2">
      <c r="B703" s="36"/>
      <c r="D703" s="36"/>
    </row>
    <row r="704" spans="2:4" s="34" customFormat="1" x14ac:dyDescent="0.2">
      <c r="B704" s="36"/>
      <c r="D704" s="36"/>
    </row>
    <row r="705" spans="2:4" s="34" customFormat="1" x14ac:dyDescent="0.2">
      <c r="B705" s="36"/>
      <c r="D705" s="36"/>
    </row>
    <row r="706" spans="2:4" s="34" customFormat="1" x14ac:dyDescent="0.2">
      <c r="B706" s="36"/>
      <c r="D706" s="36"/>
    </row>
    <row r="707" spans="2:4" s="34" customFormat="1" x14ac:dyDescent="0.2">
      <c r="B707" s="36"/>
      <c r="D707" s="36"/>
    </row>
    <row r="708" spans="2:4" s="34" customFormat="1" x14ac:dyDescent="0.2">
      <c r="B708" s="36"/>
      <c r="D708" s="36"/>
    </row>
    <row r="709" spans="2:4" s="34" customFormat="1" x14ac:dyDescent="0.2">
      <c r="B709" s="36"/>
      <c r="D709" s="36"/>
    </row>
    <row r="710" spans="2:4" s="34" customFormat="1" x14ac:dyDescent="0.2">
      <c r="B710" s="36"/>
      <c r="D710" s="36"/>
    </row>
    <row r="711" spans="2:4" s="34" customFormat="1" x14ac:dyDescent="0.2">
      <c r="B711" s="36"/>
      <c r="D711" s="36"/>
    </row>
    <row r="712" spans="2:4" s="34" customFormat="1" x14ac:dyDescent="0.2">
      <c r="B712" s="36"/>
      <c r="D712" s="36"/>
    </row>
    <row r="713" spans="2:4" s="34" customFormat="1" x14ac:dyDescent="0.2">
      <c r="B713" s="36"/>
      <c r="D713" s="36"/>
    </row>
    <row r="714" spans="2:4" s="34" customFormat="1" x14ac:dyDescent="0.2">
      <c r="B714" s="36"/>
      <c r="D714" s="36"/>
    </row>
    <row r="715" spans="2:4" s="34" customFormat="1" x14ac:dyDescent="0.2">
      <c r="B715" s="36"/>
      <c r="D715" s="36"/>
    </row>
    <row r="716" spans="2:4" s="34" customFormat="1" x14ac:dyDescent="0.2">
      <c r="B716" s="36"/>
      <c r="D716" s="36"/>
    </row>
    <row r="717" spans="2:4" s="34" customFormat="1" x14ac:dyDescent="0.2">
      <c r="B717" s="36"/>
      <c r="D717" s="36"/>
    </row>
    <row r="718" spans="2:4" s="34" customFormat="1" x14ac:dyDescent="0.2">
      <c r="B718" s="36"/>
      <c r="D718" s="36"/>
    </row>
    <row r="719" spans="2:4" s="34" customFormat="1" x14ac:dyDescent="0.2">
      <c r="B719" s="36"/>
      <c r="D719" s="36"/>
    </row>
    <row r="720" spans="2:4" s="34" customFormat="1" x14ac:dyDescent="0.2">
      <c r="B720" s="36"/>
      <c r="D720" s="36"/>
    </row>
    <row r="721" spans="2:4" s="34" customFormat="1" x14ac:dyDescent="0.2">
      <c r="B721" s="36"/>
      <c r="D721" s="36"/>
    </row>
    <row r="722" spans="2:4" s="34" customFormat="1" x14ac:dyDescent="0.2">
      <c r="B722" s="36"/>
      <c r="D722" s="36"/>
    </row>
    <row r="723" spans="2:4" s="34" customFormat="1" x14ac:dyDescent="0.2">
      <c r="B723" s="36"/>
      <c r="D723" s="36"/>
    </row>
    <row r="724" spans="2:4" s="34" customFormat="1" x14ac:dyDescent="0.2">
      <c r="B724" s="36"/>
      <c r="D724" s="36"/>
    </row>
    <row r="725" spans="2:4" s="34" customFormat="1" x14ac:dyDescent="0.2">
      <c r="B725" s="36"/>
      <c r="D725" s="36"/>
    </row>
    <row r="726" spans="2:4" s="34" customFormat="1" x14ac:dyDescent="0.2">
      <c r="B726" s="36"/>
      <c r="D726" s="36"/>
    </row>
    <row r="727" spans="2:4" s="34" customFormat="1" x14ac:dyDescent="0.2">
      <c r="B727" s="36"/>
      <c r="D727" s="36"/>
    </row>
    <row r="728" spans="2:4" s="34" customFormat="1" x14ac:dyDescent="0.2">
      <c r="B728" s="36"/>
      <c r="D728" s="36"/>
    </row>
    <row r="729" spans="2:4" s="34" customFormat="1" x14ac:dyDescent="0.2">
      <c r="B729" s="36"/>
    </row>
    <row r="730" spans="2:4" s="34" customFormat="1" x14ac:dyDescent="0.2">
      <c r="B730" s="36"/>
    </row>
    <row r="731" spans="2:4" s="34" customFormat="1" x14ac:dyDescent="0.2">
      <c r="B731" s="36"/>
    </row>
    <row r="732" spans="2:4" s="34" customFormat="1" x14ac:dyDescent="0.2">
      <c r="B732" s="36"/>
    </row>
    <row r="733" spans="2:4" s="34" customFormat="1" x14ac:dyDescent="0.2">
      <c r="B733" s="36"/>
    </row>
    <row r="734" spans="2:4" s="34" customFormat="1" x14ac:dyDescent="0.2">
      <c r="B734" s="36"/>
    </row>
    <row r="735" spans="2:4" s="34" customFormat="1" x14ac:dyDescent="0.2">
      <c r="B735" s="36"/>
    </row>
    <row r="736" spans="2:4" s="34" customFormat="1" x14ac:dyDescent="0.2">
      <c r="B736" s="36"/>
    </row>
    <row r="737" spans="2:2" s="34" customFormat="1" x14ac:dyDescent="0.2">
      <c r="B737" s="36"/>
    </row>
    <row r="738" spans="2:2" s="34" customFormat="1" x14ac:dyDescent="0.2">
      <c r="B738" s="36"/>
    </row>
    <row r="739" spans="2:2" s="34" customFormat="1" x14ac:dyDescent="0.2">
      <c r="B739" s="36"/>
    </row>
    <row r="740" spans="2:2" s="34" customFormat="1" x14ac:dyDescent="0.2">
      <c r="B740" s="36"/>
    </row>
    <row r="741" spans="2:2" s="34" customFormat="1" x14ac:dyDescent="0.2">
      <c r="B741" s="36"/>
    </row>
    <row r="742" spans="2:2" s="34" customFormat="1" x14ac:dyDescent="0.2">
      <c r="B742" s="36"/>
    </row>
    <row r="743" spans="2:2" s="34" customFormat="1" x14ac:dyDescent="0.2">
      <c r="B743" s="36"/>
    </row>
    <row r="744" spans="2:2" s="34" customFormat="1" x14ac:dyDescent="0.2">
      <c r="B744" s="36"/>
    </row>
    <row r="745" spans="2:2" s="34" customFormat="1" x14ac:dyDescent="0.2">
      <c r="B745" s="36"/>
    </row>
    <row r="746" spans="2:2" s="34" customFormat="1" x14ac:dyDescent="0.2">
      <c r="B746" s="36"/>
    </row>
    <row r="747" spans="2:2" s="34" customFormat="1" x14ac:dyDescent="0.2">
      <c r="B747" s="36"/>
    </row>
    <row r="748" spans="2:2" s="34" customFormat="1" x14ac:dyDescent="0.2">
      <c r="B748" s="36"/>
    </row>
    <row r="749" spans="2:2" s="34" customFormat="1" x14ac:dyDescent="0.2">
      <c r="B749" s="36"/>
    </row>
    <row r="750" spans="2:2" s="34" customFormat="1" x14ac:dyDescent="0.2">
      <c r="B750" s="36"/>
    </row>
    <row r="751" spans="2:2" s="34" customFormat="1" x14ac:dyDescent="0.2">
      <c r="B751" s="36"/>
    </row>
    <row r="752" spans="2:2" s="34" customFormat="1" x14ac:dyDescent="0.2">
      <c r="B752" s="36"/>
    </row>
    <row r="753" spans="2:2" s="34" customFormat="1" x14ac:dyDescent="0.2">
      <c r="B753" s="36"/>
    </row>
    <row r="754" spans="2:2" s="34" customFormat="1" x14ac:dyDescent="0.2">
      <c r="B754" s="36"/>
    </row>
    <row r="755" spans="2:2" s="34" customFormat="1" x14ac:dyDescent="0.2">
      <c r="B755" s="36"/>
    </row>
    <row r="756" spans="2:2" s="34" customFormat="1" x14ac:dyDescent="0.2">
      <c r="B756" s="36"/>
    </row>
    <row r="757" spans="2:2" s="34" customFormat="1" x14ac:dyDescent="0.2">
      <c r="B757" s="36"/>
    </row>
    <row r="758" spans="2:2" s="34" customFormat="1" x14ac:dyDescent="0.2">
      <c r="B758" s="36"/>
    </row>
    <row r="759" spans="2:2" s="34" customFormat="1" x14ac:dyDescent="0.2">
      <c r="B759" s="36"/>
    </row>
    <row r="760" spans="2:2" s="34" customFormat="1" x14ac:dyDescent="0.2">
      <c r="B760" s="36"/>
    </row>
    <row r="761" spans="2:2" s="34" customFormat="1" x14ac:dyDescent="0.2">
      <c r="B761" s="36"/>
    </row>
    <row r="762" spans="2:2" s="34" customFormat="1" x14ac:dyDescent="0.2">
      <c r="B762" s="36"/>
    </row>
    <row r="763" spans="2:2" s="34" customFormat="1" x14ac:dyDescent="0.2">
      <c r="B763" s="36"/>
    </row>
    <row r="764" spans="2:2" s="34" customFormat="1" x14ac:dyDescent="0.2">
      <c r="B764" s="36"/>
    </row>
    <row r="765" spans="2:2" s="34" customFormat="1" x14ac:dyDescent="0.2">
      <c r="B765" s="36"/>
    </row>
    <row r="766" spans="2:2" s="34" customFormat="1" x14ac:dyDescent="0.2">
      <c r="B766" s="36"/>
    </row>
    <row r="767" spans="2:2" s="34" customFormat="1" x14ac:dyDescent="0.2">
      <c r="B767" s="36"/>
    </row>
    <row r="768" spans="2:2" s="34" customFormat="1" x14ac:dyDescent="0.2">
      <c r="B768" s="36"/>
    </row>
    <row r="769" spans="2:2" s="34" customFormat="1" x14ac:dyDescent="0.2">
      <c r="B769" s="36"/>
    </row>
    <row r="770" spans="2:2" s="34" customFormat="1" x14ac:dyDescent="0.2">
      <c r="B770" s="36"/>
    </row>
    <row r="771" spans="2:2" s="34" customFormat="1" x14ac:dyDescent="0.2">
      <c r="B771" s="36"/>
    </row>
    <row r="772" spans="2:2" s="34" customFormat="1" x14ac:dyDescent="0.2">
      <c r="B772" s="36"/>
    </row>
    <row r="773" spans="2:2" s="34" customFormat="1" x14ac:dyDescent="0.2">
      <c r="B773" s="36"/>
    </row>
    <row r="774" spans="2:2" s="34" customFormat="1" x14ac:dyDescent="0.2">
      <c r="B774" s="36"/>
    </row>
    <row r="775" spans="2:2" s="34" customFormat="1" x14ac:dyDescent="0.2">
      <c r="B775" s="36"/>
    </row>
    <row r="776" spans="2:2" s="34" customFormat="1" x14ac:dyDescent="0.2">
      <c r="B776" s="36"/>
    </row>
    <row r="777" spans="2:2" s="34" customFormat="1" x14ac:dyDescent="0.2">
      <c r="B777" s="36"/>
    </row>
    <row r="778" spans="2:2" s="34" customFormat="1" x14ac:dyDescent="0.2">
      <c r="B778" s="36"/>
    </row>
    <row r="779" spans="2:2" s="34" customFormat="1" x14ac:dyDescent="0.2">
      <c r="B779" s="36"/>
    </row>
    <row r="780" spans="2:2" s="34" customFormat="1" x14ac:dyDescent="0.2">
      <c r="B780" s="36"/>
    </row>
    <row r="781" spans="2:2" s="34" customFormat="1" x14ac:dyDescent="0.2">
      <c r="B781" s="36"/>
    </row>
    <row r="782" spans="2:2" s="34" customFormat="1" x14ac:dyDescent="0.2">
      <c r="B782" s="36"/>
    </row>
    <row r="783" spans="2:2" s="34" customFormat="1" x14ac:dyDescent="0.2">
      <c r="B783" s="36"/>
    </row>
    <row r="784" spans="2:2" s="34" customFormat="1" x14ac:dyDescent="0.2">
      <c r="B784" s="36"/>
    </row>
    <row r="785" spans="2:2" s="34" customFormat="1" x14ac:dyDescent="0.2">
      <c r="B785" s="36"/>
    </row>
    <row r="786" spans="2:2" s="34" customFormat="1" x14ac:dyDescent="0.2">
      <c r="B786" s="36"/>
    </row>
    <row r="787" spans="2:2" s="34" customFormat="1" x14ac:dyDescent="0.2">
      <c r="B787" s="36"/>
    </row>
    <row r="788" spans="2:2" s="34" customFormat="1" x14ac:dyDescent="0.2">
      <c r="B788" s="36"/>
    </row>
    <row r="789" spans="2:2" s="34" customFormat="1" x14ac:dyDescent="0.2">
      <c r="B789" s="36"/>
    </row>
    <row r="790" spans="2:2" s="34" customFormat="1" x14ac:dyDescent="0.2">
      <c r="B790" s="36"/>
    </row>
    <row r="791" spans="2:2" s="34" customFormat="1" x14ac:dyDescent="0.2">
      <c r="B791" s="36"/>
    </row>
    <row r="792" spans="2:2" s="34" customFormat="1" x14ac:dyDescent="0.2">
      <c r="B792" s="36"/>
    </row>
    <row r="793" spans="2:2" s="34" customFormat="1" x14ac:dyDescent="0.2">
      <c r="B793" s="36"/>
    </row>
    <row r="794" spans="2:2" s="34" customFormat="1" x14ac:dyDescent="0.2">
      <c r="B794" s="36"/>
    </row>
    <row r="795" spans="2:2" s="34" customFormat="1" x14ac:dyDescent="0.2">
      <c r="B795" s="36"/>
    </row>
    <row r="796" spans="2:2" s="34" customFormat="1" x14ac:dyDescent="0.2">
      <c r="B796" s="36"/>
    </row>
    <row r="797" spans="2:2" s="34" customFormat="1" x14ac:dyDescent="0.2">
      <c r="B797" s="36"/>
    </row>
    <row r="798" spans="2:2" s="34" customFormat="1" x14ac:dyDescent="0.2">
      <c r="B798" s="36"/>
    </row>
    <row r="799" spans="2:2" s="34" customFormat="1" x14ac:dyDescent="0.2">
      <c r="B799" s="36"/>
    </row>
    <row r="800" spans="2:2" s="34" customFormat="1" x14ac:dyDescent="0.2">
      <c r="B800" s="36"/>
    </row>
    <row r="801" spans="2:2" s="34" customFormat="1" x14ac:dyDescent="0.2">
      <c r="B801" s="36"/>
    </row>
    <row r="802" spans="2:2" s="34" customFormat="1" x14ac:dyDescent="0.2">
      <c r="B802" s="36"/>
    </row>
    <row r="803" spans="2:2" s="34" customFormat="1" x14ac:dyDescent="0.2">
      <c r="B803" s="36"/>
    </row>
    <row r="804" spans="2:2" s="34" customFormat="1" x14ac:dyDescent="0.2">
      <c r="B804" s="36"/>
    </row>
    <row r="805" spans="2:2" s="34" customFormat="1" x14ac:dyDescent="0.2">
      <c r="B805" s="36"/>
    </row>
    <row r="806" spans="2:2" s="34" customFormat="1" x14ac:dyDescent="0.2">
      <c r="B806" s="36"/>
    </row>
    <row r="807" spans="2:2" s="34" customFormat="1" x14ac:dyDescent="0.2">
      <c r="B807" s="36"/>
    </row>
    <row r="808" spans="2:2" s="34" customFormat="1" x14ac:dyDescent="0.2">
      <c r="B808" s="36"/>
    </row>
    <row r="809" spans="2:2" s="34" customFormat="1" x14ac:dyDescent="0.2">
      <c r="B809" s="36"/>
    </row>
    <row r="810" spans="2:2" s="34" customFormat="1" x14ac:dyDescent="0.2">
      <c r="B810" s="36"/>
    </row>
    <row r="811" spans="2:2" s="34" customFormat="1" x14ac:dyDescent="0.2">
      <c r="B811" s="36"/>
    </row>
    <row r="812" spans="2:2" s="34" customFormat="1" x14ac:dyDescent="0.2">
      <c r="B812" s="36"/>
    </row>
    <row r="813" spans="2:2" s="34" customFormat="1" x14ac:dyDescent="0.2">
      <c r="B813" s="36"/>
    </row>
    <row r="814" spans="2:2" s="34" customFormat="1" x14ac:dyDescent="0.2">
      <c r="B814" s="36"/>
    </row>
    <row r="815" spans="2:2" s="34" customFormat="1" x14ac:dyDescent="0.2">
      <c r="B815" s="36"/>
    </row>
    <row r="816" spans="2:2" s="34" customFormat="1" x14ac:dyDescent="0.2">
      <c r="B816" s="36"/>
    </row>
    <row r="817" spans="2:2" s="34" customFormat="1" x14ac:dyDescent="0.2">
      <c r="B817" s="36"/>
    </row>
    <row r="818" spans="2:2" s="34" customFormat="1" x14ac:dyDescent="0.2">
      <c r="B818" s="36"/>
    </row>
    <row r="819" spans="2:2" s="34" customFormat="1" x14ac:dyDescent="0.2">
      <c r="B819" s="36"/>
    </row>
    <row r="820" spans="2:2" s="34" customFormat="1" x14ac:dyDescent="0.2">
      <c r="B820" s="36"/>
    </row>
    <row r="821" spans="2:2" s="34" customFormat="1" x14ac:dyDescent="0.2">
      <c r="B821" s="36"/>
    </row>
    <row r="822" spans="2:2" s="34" customFormat="1" x14ac:dyDescent="0.2">
      <c r="B822" s="36"/>
    </row>
    <row r="823" spans="2:2" s="34" customFormat="1" x14ac:dyDescent="0.2">
      <c r="B823" s="36"/>
    </row>
    <row r="824" spans="2:2" s="34" customFormat="1" x14ac:dyDescent="0.2">
      <c r="B824" s="36"/>
    </row>
    <row r="825" spans="2:2" s="34" customFormat="1" x14ac:dyDescent="0.2">
      <c r="B825" s="36"/>
    </row>
    <row r="826" spans="2:2" s="34" customFormat="1" x14ac:dyDescent="0.2">
      <c r="B826" s="36"/>
    </row>
    <row r="827" spans="2:2" s="34" customFormat="1" x14ac:dyDescent="0.2">
      <c r="B827" s="36"/>
    </row>
    <row r="828" spans="2:2" s="34" customFormat="1" x14ac:dyDescent="0.2">
      <c r="B828" s="36"/>
    </row>
    <row r="829" spans="2:2" s="34" customFormat="1" x14ac:dyDescent="0.2">
      <c r="B829" s="36"/>
    </row>
    <row r="830" spans="2:2" s="34" customFormat="1" x14ac:dyDescent="0.2">
      <c r="B830" s="36"/>
    </row>
    <row r="831" spans="2:2" s="34" customFormat="1" x14ac:dyDescent="0.2">
      <c r="B831" s="36"/>
    </row>
    <row r="832" spans="2:2" s="34" customFormat="1" x14ac:dyDescent="0.2">
      <c r="B832" s="36"/>
    </row>
    <row r="833" spans="2:2" s="34" customFormat="1" x14ac:dyDescent="0.2">
      <c r="B833" s="36"/>
    </row>
    <row r="834" spans="2:2" s="34" customFormat="1" x14ac:dyDescent="0.2">
      <c r="B834" s="36"/>
    </row>
    <row r="835" spans="2:2" s="34" customFormat="1" x14ac:dyDescent="0.2">
      <c r="B835" s="36"/>
    </row>
    <row r="836" spans="2:2" s="34" customFormat="1" x14ac:dyDescent="0.2">
      <c r="B836" s="36"/>
    </row>
    <row r="837" spans="2:2" s="34" customFormat="1" x14ac:dyDescent="0.2">
      <c r="B837" s="36"/>
    </row>
    <row r="838" spans="2:2" s="34" customFormat="1" x14ac:dyDescent="0.2">
      <c r="B838" s="36"/>
    </row>
    <row r="839" spans="2:2" s="34" customFormat="1" x14ac:dyDescent="0.2">
      <c r="B839" s="36"/>
    </row>
    <row r="840" spans="2:2" s="34" customFormat="1" x14ac:dyDescent="0.2">
      <c r="B840" s="36"/>
    </row>
    <row r="841" spans="2:2" s="34" customFormat="1" x14ac:dyDescent="0.2">
      <c r="B841" s="36"/>
    </row>
    <row r="842" spans="2:2" s="34" customFormat="1" x14ac:dyDescent="0.2">
      <c r="B842" s="36"/>
    </row>
    <row r="843" spans="2:2" s="34" customFormat="1" x14ac:dyDescent="0.2">
      <c r="B843" s="36"/>
    </row>
    <row r="844" spans="2:2" s="34" customFormat="1" x14ac:dyDescent="0.2">
      <c r="B844" s="36"/>
    </row>
    <row r="845" spans="2:2" s="34" customFormat="1" x14ac:dyDescent="0.2">
      <c r="B845" s="36"/>
    </row>
    <row r="846" spans="2:2" s="34" customFormat="1" x14ac:dyDescent="0.2">
      <c r="B846" s="36"/>
    </row>
    <row r="847" spans="2:2" s="34" customFormat="1" x14ac:dyDescent="0.2">
      <c r="B847" s="36"/>
    </row>
    <row r="848" spans="2:2" s="34" customFormat="1" x14ac:dyDescent="0.2">
      <c r="B848" s="36"/>
    </row>
    <row r="849" spans="2:2" s="34" customFormat="1" x14ac:dyDescent="0.2">
      <c r="B849" s="36"/>
    </row>
    <row r="850" spans="2:2" s="34" customFormat="1" x14ac:dyDescent="0.2">
      <c r="B850" s="36"/>
    </row>
    <row r="851" spans="2:2" s="34" customFormat="1" x14ac:dyDescent="0.2">
      <c r="B851" s="36"/>
    </row>
    <row r="852" spans="2:2" s="34" customFormat="1" x14ac:dyDescent="0.2">
      <c r="B852" s="36"/>
    </row>
    <row r="853" spans="2:2" s="34" customFormat="1" x14ac:dyDescent="0.2">
      <c r="B853" s="36"/>
    </row>
    <row r="854" spans="2:2" s="34" customFormat="1" x14ac:dyDescent="0.2">
      <c r="B854" s="36"/>
    </row>
    <row r="855" spans="2:2" s="34" customFormat="1" x14ac:dyDescent="0.2">
      <c r="B855" s="36"/>
    </row>
    <row r="856" spans="2:2" s="34" customFormat="1" x14ac:dyDescent="0.2">
      <c r="B856" s="36"/>
    </row>
    <row r="857" spans="2:2" s="34" customFormat="1" x14ac:dyDescent="0.2">
      <c r="B857" s="36"/>
    </row>
    <row r="858" spans="2:2" s="34" customFormat="1" x14ac:dyDescent="0.2">
      <c r="B858" s="36"/>
    </row>
    <row r="859" spans="2:2" s="34" customFormat="1" x14ac:dyDescent="0.2">
      <c r="B859" s="36"/>
    </row>
    <row r="860" spans="2:2" s="34" customFormat="1" x14ac:dyDescent="0.2">
      <c r="B860" s="36"/>
    </row>
    <row r="861" spans="2:2" s="34" customFormat="1" x14ac:dyDescent="0.2">
      <c r="B861" s="36"/>
    </row>
    <row r="862" spans="2:2" s="34" customFormat="1" x14ac:dyDescent="0.2">
      <c r="B862" s="36"/>
    </row>
    <row r="863" spans="2:2" s="34" customFormat="1" x14ac:dyDescent="0.2">
      <c r="B863" s="36"/>
    </row>
    <row r="864" spans="2:2" s="34" customFormat="1" x14ac:dyDescent="0.2">
      <c r="B864" s="36"/>
    </row>
    <row r="865" spans="2:2" s="34" customFormat="1" x14ac:dyDescent="0.2">
      <c r="B865" s="36"/>
    </row>
    <row r="866" spans="2:2" s="34" customFormat="1" x14ac:dyDescent="0.2">
      <c r="B866" s="36"/>
    </row>
    <row r="867" spans="2:2" s="34" customFormat="1" x14ac:dyDescent="0.2">
      <c r="B867" s="36"/>
    </row>
    <row r="868" spans="2:2" s="34" customFormat="1" x14ac:dyDescent="0.2">
      <c r="B868" s="36"/>
    </row>
    <row r="869" spans="2:2" s="34" customFormat="1" x14ac:dyDescent="0.2">
      <c r="B869" s="36"/>
    </row>
    <row r="870" spans="2:2" s="34" customFormat="1" x14ac:dyDescent="0.2">
      <c r="B870" s="36"/>
    </row>
    <row r="871" spans="2:2" s="34" customFormat="1" x14ac:dyDescent="0.2">
      <c r="B871" s="36"/>
    </row>
    <row r="872" spans="2:2" s="34" customFormat="1" x14ac:dyDescent="0.2">
      <c r="B872" s="36"/>
    </row>
    <row r="873" spans="2:2" s="34" customFormat="1" x14ac:dyDescent="0.2">
      <c r="B873" s="36"/>
    </row>
    <row r="874" spans="2:2" s="34" customFormat="1" x14ac:dyDescent="0.2">
      <c r="B874" s="36"/>
    </row>
    <row r="875" spans="2:2" s="34" customFormat="1" x14ac:dyDescent="0.2">
      <c r="B875" s="36"/>
    </row>
    <row r="876" spans="2:2" s="34" customFormat="1" x14ac:dyDescent="0.2">
      <c r="B876" s="36"/>
    </row>
    <row r="877" spans="2:2" s="34" customFormat="1" x14ac:dyDescent="0.2">
      <c r="B877" s="36"/>
    </row>
    <row r="878" spans="2:2" s="34" customFormat="1" x14ac:dyDescent="0.2">
      <c r="B878" s="36"/>
    </row>
    <row r="879" spans="2:2" s="34" customFormat="1" x14ac:dyDescent="0.2">
      <c r="B879" s="36"/>
    </row>
    <row r="880" spans="2:2" s="34" customFormat="1" x14ac:dyDescent="0.2">
      <c r="B880" s="36"/>
    </row>
    <row r="881" spans="2:2" s="34" customFormat="1" x14ac:dyDescent="0.2">
      <c r="B881" s="36"/>
    </row>
    <row r="882" spans="2:2" s="34" customFormat="1" x14ac:dyDescent="0.2">
      <c r="B882" s="36"/>
    </row>
    <row r="883" spans="2:2" s="34" customFormat="1" x14ac:dyDescent="0.2">
      <c r="B883" s="36"/>
    </row>
    <row r="884" spans="2:2" s="34" customFormat="1" x14ac:dyDescent="0.2">
      <c r="B884" s="36"/>
    </row>
    <row r="885" spans="2:2" s="34" customFormat="1" x14ac:dyDescent="0.2">
      <c r="B885" s="36"/>
    </row>
    <row r="886" spans="2:2" s="34" customFormat="1" x14ac:dyDescent="0.2">
      <c r="B886" s="36"/>
    </row>
    <row r="887" spans="2:2" s="34" customFormat="1" x14ac:dyDescent="0.2">
      <c r="B887" s="36"/>
    </row>
    <row r="888" spans="2:2" s="34" customFormat="1" x14ac:dyDescent="0.2">
      <c r="B888" s="36"/>
    </row>
    <row r="889" spans="2:2" s="34" customFormat="1" x14ac:dyDescent="0.2">
      <c r="B889" s="36"/>
    </row>
    <row r="890" spans="2:2" s="34" customFormat="1" x14ac:dyDescent="0.2">
      <c r="B890" s="36"/>
    </row>
    <row r="891" spans="2:2" s="34" customFormat="1" x14ac:dyDescent="0.2">
      <c r="B891" s="36"/>
    </row>
    <row r="892" spans="2:2" s="34" customFormat="1" x14ac:dyDescent="0.2">
      <c r="B892" s="36"/>
    </row>
    <row r="893" spans="2:2" s="34" customFormat="1" x14ac:dyDescent="0.2">
      <c r="B893" s="36"/>
    </row>
    <row r="894" spans="2:2" s="34" customFormat="1" x14ac:dyDescent="0.2">
      <c r="B894" s="36"/>
    </row>
    <row r="895" spans="2:2" s="34" customFormat="1" x14ac:dyDescent="0.2">
      <c r="B895" s="36"/>
    </row>
    <row r="896" spans="2:2" s="34" customFormat="1" x14ac:dyDescent="0.2">
      <c r="B896" s="36"/>
    </row>
    <row r="897" spans="2:2" s="34" customFormat="1" x14ac:dyDescent="0.2">
      <c r="B897" s="36"/>
    </row>
    <row r="898" spans="2:2" s="34" customFormat="1" x14ac:dyDescent="0.2">
      <c r="B898" s="36"/>
    </row>
    <row r="899" spans="2:2" s="34" customFormat="1" x14ac:dyDescent="0.2">
      <c r="B899" s="36"/>
    </row>
    <row r="900" spans="2:2" s="34" customFormat="1" x14ac:dyDescent="0.2">
      <c r="B900" s="36"/>
    </row>
    <row r="901" spans="2:2" s="34" customFormat="1" x14ac:dyDescent="0.2">
      <c r="B901" s="36"/>
    </row>
    <row r="902" spans="2:2" s="34" customFormat="1" x14ac:dyDescent="0.2">
      <c r="B902" s="36"/>
    </row>
    <row r="903" spans="2:2" s="34" customFormat="1" x14ac:dyDescent="0.2">
      <c r="B903" s="36"/>
    </row>
    <row r="904" spans="2:2" s="34" customFormat="1" x14ac:dyDescent="0.2">
      <c r="B904" s="36"/>
    </row>
    <row r="905" spans="2:2" s="34" customFormat="1" x14ac:dyDescent="0.2">
      <c r="B905" s="36"/>
    </row>
    <row r="906" spans="2:2" s="34" customFormat="1" x14ac:dyDescent="0.2">
      <c r="B906" s="36"/>
    </row>
    <row r="907" spans="2:2" s="34" customFormat="1" x14ac:dyDescent="0.2">
      <c r="B907" s="36"/>
    </row>
    <row r="908" spans="2:2" s="34" customFormat="1" x14ac:dyDescent="0.2">
      <c r="B908" s="36"/>
    </row>
    <row r="909" spans="2:2" s="34" customFormat="1" x14ac:dyDescent="0.2">
      <c r="B909" s="36"/>
    </row>
    <row r="910" spans="2:2" s="34" customFormat="1" x14ac:dyDescent="0.2">
      <c r="B910" s="36"/>
    </row>
    <row r="911" spans="2:2" s="34" customFormat="1" x14ac:dyDescent="0.2">
      <c r="B911" s="36"/>
    </row>
    <row r="912" spans="2:2" s="34" customFormat="1" x14ac:dyDescent="0.2">
      <c r="B912" s="36"/>
    </row>
    <row r="913" spans="2:2" s="34" customFormat="1" x14ac:dyDescent="0.2">
      <c r="B913" s="36"/>
    </row>
    <row r="914" spans="2:2" s="34" customFormat="1" x14ac:dyDescent="0.2">
      <c r="B914" s="36"/>
    </row>
    <row r="915" spans="2:2" s="34" customFormat="1" x14ac:dyDescent="0.2">
      <c r="B915" s="36"/>
    </row>
    <row r="916" spans="2:2" s="34" customFormat="1" x14ac:dyDescent="0.2">
      <c r="B916" s="36"/>
    </row>
    <row r="917" spans="2:2" s="34" customFormat="1" x14ac:dyDescent="0.2">
      <c r="B917" s="36"/>
    </row>
    <row r="918" spans="2:2" s="34" customFormat="1" x14ac:dyDescent="0.2">
      <c r="B918" s="36"/>
    </row>
    <row r="919" spans="2:2" s="34" customFormat="1" x14ac:dyDescent="0.2">
      <c r="B919" s="36"/>
    </row>
    <row r="920" spans="2:2" s="34" customFormat="1" x14ac:dyDescent="0.2">
      <c r="B920" s="36"/>
    </row>
    <row r="921" spans="2:2" s="34" customFormat="1" x14ac:dyDescent="0.2">
      <c r="B921" s="36"/>
    </row>
    <row r="922" spans="2:2" s="34" customFormat="1" x14ac:dyDescent="0.2">
      <c r="B922" s="36"/>
    </row>
    <row r="923" spans="2:2" s="34" customFormat="1" x14ac:dyDescent="0.2">
      <c r="B923" s="36"/>
    </row>
    <row r="924" spans="2:2" s="34" customFormat="1" x14ac:dyDescent="0.2">
      <c r="B924" s="36"/>
    </row>
    <row r="925" spans="2:2" s="34" customFormat="1" x14ac:dyDescent="0.2">
      <c r="B925" s="36"/>
    </row>
    <row r="926" spans="2:2" s="34" customFormat="1" x14ac:dyDescent="0.2">
      <c r="B926" s="36"/>
    </row>
    <row r="927" spans="2:2" s="34" customFormat="1" x14ac:dyDescent="0.2">
      <c r="B927" s="36"/>
    </row>
    <row r="928" spans="2:2" s="34" customFormat="1" x14ac:dyDescent="0.2">
      <c r="B928" s="36"/>
    </row>
    <row r="929" spans="2:2" s="34" customFormat="1" x14ac:dyDescent="0.2">
      <c r="B929" s="36"/>
    </row>
    <row r="930" spans="2:2" s="34" customFormat="1" x14ac:dyDescent="0.2">
      <c r="B930" s="36"/>
    </row>
    <row r="931" spans="2:2" s="34" customFormat="1" x14ac:dyDescent="0.2">
      <c r="B931" s="36"/>
    </row>
    <row r="932" spans="2:2" s="34" customFormat="1" x14ac:dyDescent="0.2">
      <c r="B932" s="36"/>
    </row>
    <row r="933" spans="2:2" s="34" customFormat="1" x14ac:dyDescent="0.2">
      <c r="B933" s="36"/>
    </row>
    <row r="934" spans="2:2" s="34" customFormat="1" x14ac:dyDescent="0.2">
      <c r="B934" s="36"/>
    </row>
    <row r="935" spans="2:2" s="34" customFormat="1" x14ac:dyDescent="0.2">
      <c r="B935" s="36"/>
    </row>
    <row r="936" spans="2:2" s="34" customFormat="1" x14ac:dyDescent="0.2">
      <c r="B936" s="36"/>
    </row>
    <row r="937" spans="2:2" s="34" customFormat="1" x14ac:dyDescent="0.2">
      <c r="B937" s="36"/>
    </row>
    <row r="938" spans="2:2" s="34" customFormat="1" x14ac:dyDescent="0.2">
      <c r="B938" s="36"/>
    </row>
    <row r="939" spans="2:2" s="34" customFormat="1" x14ac:dyDescent="0.2">
      <c r="B939" s="36"/>
    </row>
    <row r="940" spans="2:2" s="34" customFormat="1" x14ac:dyDescent="0.2">
      <c r="B940" s="36"/>
    </row>
    <row r="941" spans="2:2" s="34" customFormat="1" x14ac:dyDescent="0.2">
      <c r="B941" s="36"/>
    </row>
    <row r="942" spans="2:2" s="34" customFormat="1" x14ac:dyDescent="0.2">
      <c r="B942" s="36"/>
    </row>
    <row r="943" spans="2:2" s="34" customFormat="1" x14ac:dyDescent="0.2">
      <c r="B943" s="36"/>
    </row>
    <row r="944" spans="2:2" s="34" customFormat="1" x14ac:dyDescent="0.2">
      <c r="B944" s="36"/>
    </row>
    <row r="945" spans="2:2" s="34" customFormat="1" x14ac:dyDescent="0.2">
      <c r="B945" s="36"/>
    </row>
    <row r="946" spans="2:2" s="34" customFormat="1" x14ac:dyDescent="0.2">
      <c r="B946" s="36"/>
    </row>
    <row r="947" spans="2:2" s="34" customFormat="1" x14ac:dyDescent="0.2">
      <c r="B947" s="36"/>
    </row>
    <row r="948" spans="2:2" s="34" customFormat="1" x14ac:dyDescent="0.2">
      <c r="B948" s="36"/>
    </row>
    <row r="949" spans="2:2" s="34" customFormat="1" x14ac:dyDescent="0.2">
      <c r="B949" s="36"/>
    </row>
    <row r="950" spans="2:2" s="34" customFormat="1" x14ac:dyDescent="0.2">
      <c r="B950" s="36"/>
    </row>
    <row r="951" spans="2:2" s="34" customFormat="1" x14ac:dyDescent="0.2">
      <c r="B951" s="36"/>
    </row>
    <row r="952" spans="2:2" s="34" customFormat="1" x14ac:dyDescent="0.2">
      <c r="B952" s="36"/>
    </row>
    <row r="953" spans="2:2" s="34" customFormat="1" x14ac:dyDescent="0.2">
      <c r="B953" s="36"/>
    </row>
    <row r="954" spans="2:2" s="34" customFormat="1" x14ac:dyDescent="0.2">
      <c r="B954" s="36"/>
    </row>
    <row r="955" spans="2:2" s="34" customFormat="1" x14ac:dyDescent="0.2">
      <c r="B955" s="36"/>
    </row>
    <row r="956" spans="2:2" s="34" customFormat="1" x14ac:dyDescent="0.2">
      <c r="B956" s="36"/>
    </row>
    <row r="957" spans="2:2" s="34" customFormat="1" x14ac:dyDescent="0.2">
      <c r="B957" s="36"/>
    </row>
    <row r="958" spans="2:2" s="34" customFormat="1" x14ac:dyDescent="0.2">
      <c r="B958" s="36"/>
    </row>
    <row r="959" spans="2:2" s="34" customFormat="1" x14ac:dyDescent="0.2">
      <c r="B959" s="36"/>
    </row>
    <row r="960" spans="2:2" s="34" customFormat="1" x14ac:dyDescent="0.2">
      <c r="B960" s="36"/>
    </row>
    <row r="961" spans="2:2" s="34" customFormat="1" x14ac:dyDescent="0.2">
      <c r="B961" s="36"/>
    </row>
    <row r="962" spans="2:2" s="34" customFormat="1" x14ac:dyDescent="0.2">
      <c r="B962" s="36"/>
    </row>
    <row r="963" spans="2:2" s="34" customFormat="1" x14ac:dyDescent="0.2">
      <c r="B963" s="36"/>
    </row>
    <row r="964" spans="2:2" s="34" customFormat="1" x14ac:dyDescent="0.2">
      <c r="B964" s="36"/>
    </row>
    <row r="965" spans="2:2" s="34" customFormat="1" x14ac:dyDescent="0.2">
      <c r="B965" s="36"/>
    </row>
    <row r="966" spans="2:2" s="34" customFormat="1" x14ac:dyDescent="0.2">
      <c r="B966" s="36"/>
    </row>
    <row r="967" spans="2:2" s="34" customFormat="1" x14ac:dyDescent="0.2">
      <c r="B967" s="36"/>
    </row>
    <row r="968" spans="2:2" s="34" customFormat="1" x14ac:dyDescent="0.2">
      <c r="B968" s="36"/>
    </row>
    <row r="969" spans="2:2" s="34" customFormat="1" x14ac:dyDescent="0.2">
      <c r="B969" s="36"/>
    </row>
    <row r="970" spans="2:2" s="34" customFormat="1" x14ac:dyDescent="0.2">
      <c r="B970" s="36"/>
    </row>
    <row r="971" spans="2:2" s="34" customFormat="1" x14ac:dyDescent="0.2">
      <c r="B971" s="36"/>
    </row>
    <row r="972" spans="2:2" s="34" customFormat="1" x14ac:dyDescent="0.2">
      <c r="B972" s="36"/>
    </row>
    <row r="973" spans="2:2" s="34" customFormat="1" x14ac:dyDescent="0.2">
      <c r="B973" s="36"/>
    </row>
    <row r="974" spans="2:2" s="34" customFormat="1" x14ac:dyDescent="0.2">
      <c r="B974" s="36"/>
    </row>
    <row r="975" spans="2:2" s="34" customFormat="1" x14ac:dyDescent="0.2">
      <c r="B975" s="36"/>
    </row>
    <row r="976" spans="2:2" s="34" customFormat="1" x14ac:dyDescent="0.2">
      <c r="B976" s="36"/>
    </row>
    <row r="977" spans="2:2" s="34" customFormat="1" x14ac:dyDescent="0.2">
      <c r="B977" s="36"/>
    </row>
    <row r="978" spans="2:2" s="34" customFormat="1" x14ac:dyDescent="0.2">
      <c r="B978" s="36"/>
    </row>
    <row r="979" spans="2:2" s="34" customFormat="1" x14ac:dyDescent="0.2">
      <c r="B979" s="36"/>
    </row>
    <row r="980" spans="2:2" s="34" customFormat="1" x14ac:dyDescent="0.2">
      <c r="B980" s="36"/>
    </row>
    <row r="981" spans="2:2" s="34" customFormat="1" x14ac:dyDescent="0.2">
      <c r="B981" s="36"/>
    </row>
    <row r="982" spans="2:2" s="34" customFormat="1" x14ac:dyDescent="0.2">
      <c r="B982" s="36"/>
    </row>
    <row r="983" spans="2:2" s="34" customFormat="1" x14ac:dyDescent="0.2">
      <c r="B983" s="36"/>
    </row>
    <row r="984" spans="2:2" s="34" customFormat="1" x14ac:dyDescent="0.2">
      <c r="B984" s="36"/>
    </row>
    <row r="985" spans="2:2" s="34" customFormat="1" x14ac:dyDescent="0.2">
      <c r="B985" s="36"/>
    </row>
    <row r="986" spans="2:2" s="34" customFormat="1" x14ac:dyDescent="0.2">
      <c r="B986" s="36"/>
    </row>
    <row r="987" spans="2:2" s="34" customFormat="1" x14ac:dyDescent="0.2">
      <c r="B987" s="36"/>
    </row>
    <row r="988" spans="2:2" s="34" customFormat="1" x14ac:dyDescent="0.2">
      <c r="B988" s="36"/>
    </row>
    <row r="989" spans="2:2" s="34" customFormat="1" x14ac:dyDescent="0.2">
      <c r="B989" s="36"/>
    </row>
    <row r="990" spans="2:2" s="34" customFormat="1" x14ac:dyDescent="0.2">
      <c r="B990" s="36"/>
    </row>
    <row r="991" spans="2:2" s="34" customFormat="1" x14ac:dyDescent="0.2">
      <c r="B991" s="36"/>
    </row>
    <row r="992" spans="2:2" s="34" customFormat="1" x14ac:dyDescent="0.2">
      <c r="B992" s="36"/>
    </row>
    <row r="993" spans="2:2" s="34" customFormat="1" x14ac:dyDescent="0.2">
      <c r="B993" s="36"/>
    </row>
    <row r="994" spans="2:2" s="34" customFormat="1" x14ac:dyDescent="0.2">
      <c r="B994" s="36"/>
    </row>
    <row r="995" spans="2:2" s="34" customFormat="1" x14ac:dyDescent="0.2">
      <c r="B995" s="36"/>
    </row>
    <row r="996" spans="2:2" s="34" customFormat="1" x14ac:dyDescent="0.2">
      <c r="B996" s="36"/>
    </row>
    <row r="997" spans="2:2" s="34" customFormat="1" x14ac:dyDescent="0.2">
      <c r="B997" s="36"/>
    </row>
    <row r="998" spans="2:2" s="34" customFormat="1" x14ac:dyDescent="0.2">
      <c r="B998" s="36"/>
    </row>
    <row r="999" spans="2:2" s="34" customFormat="1" x14ac:dyDescent="0.2">
      <c r="B999" s="36"/>
    </row>
    <row r="1000" spans="2:2" s="34" customFormat="1" x14ac:dyDescent="0.2">
      <c r="B1000" s="36"/>
    </row>
    <row r="1001" spans="2:2" s="34" customFormat="1" x14ac:dyDescent="0.2">
      <c r="B1001" s="36"/>
    </row>
    <row r="1002" spans="2:2" s="34" customFormat="1" x14ac:dyDescent="0.2">
      <c r="B1002" s="36"/>
    </row>
    <row r="1003" spans="2:2" s="34" customFormat="1" x14ac:dyDescent="0.2">
      <c r="B1003" s="36"/>
    </row>
    <row r="1004" spans="2:2" s="34" customFormat="1" x14ac:dyDescent="0.2">
      <c r="B1004" s="36"/>
    </row>
    <row r="1005" spans="2:2" s="34" customFormat="1" x14ac:dyDescent="0.2">
      <c r="B1005" s="36"/>
    </row>
    <row r="1006" spans="2:2" s="34" customFormat="1" x14ac:dyDescent="0.2">
      <c r="B1006" s="36"/>
    </row>
    <row r="1007" spans="2:2" s="34" customFormat="1" x14ac:dyDescent="0.2">
      <c r="B1007" s="36"/>
    </row>
    <row r="1008" spans="2:2" s="34" customFormat="1" x14ac:dyDescent="0.2">
      <c r="B1008" s="36"/>
    </row>
    <row r="1009" spans="2:2" s="34" customFormat="1" x14ac:dyDescent="0.2">
      <c r="B1009" s="36"/>
    </row>
    <row r="1010" spans="2:2" s="34" customFormat="1" x14ac:dyDescent="0.2">
      <c r="B1010" s="36"/>
    </row>
    <row r="1011" spans="2:2" s="34" customFormat="1" x14ac:dyDescent="0.2">
      <c r="B1011" s="36"/>
    </row>
    <row r="1012" spans="2:2" s="34" customFormat="1" x14ac:dyDescent="0.2">
      <c r="B1012" s="36"/>
    </row>
    <row r="1013" spans="2:2" s="34" customFormat="1" x14ac:dyDescent="0.2">
      <c r="B1013" s="36"/>
    </row>
    <row r="1014" spans="2:2" s="34" customFormat="1" x14ac:dyDescent="0.2">
      <c r="B1014" s="36"/>
    </row>
    <row r="1015" spans="2:2" s="34" customFormat="1" x14ac:dyDescent="0.2">
      <c r="B1015" s="36"/>
    </row>
    <row r="1016" spans="2:2" s="34" customFormat="1" x14ac:dyDescent="0.2">
      <c r="B1016" s="36"/>
    </row>
    <row r="1017" spans="2:2" s="34" customFormat="1" x14ac:dyDescent="0.2">
      <c r="B1017" s="36"/>
    </row>
    <row r="1018" spans="2:2" s="34" customFormat="1" x14ac:dyDescent="0.2">
      <c r="B1018" s="36"/>
    </row>
    <row r="1019" spans="2:2" s="34" customFormat="1" x14ac:dyDescent="0.2">
      <c r="B1019" s="36"/>
    </row>
    <row r="1020" spans="2:2" s="34" customFormat="1" x14ac:dyDescent="0.2">
      <c r="B1020" s="36"/>
    </row>
    <row r="1021" spans="2:2" s="34" customFormat="1" x14ac:dyDescent="0.2">
      <c r="B1021" s="36"/>
    </row>
    <row r="1022" spans="2:2" s="34" customFormat="1" x14ac:dyDescent="0.2">
      <c r="B1022" s="36"/>
    </row>
    <row r="1023" spans="2:2" s="34" customFormat="1" x14ac:dyDescent="0.2">
      <c r="B1023" s="36"/>
    </row>
    <row r="1024" spans="2:2" s="34" customFormat="1" x14ac:dyDescent="0.2">
      <c r="B1024" s="36"/>
    </row>
    <row r="1025" spans="2:2" s="34" customFormat="1" x14ac:dyDescent="0.2">
      <c r="B1025" s="36"/>
    </row>
    <row r="1026" spans="2:2" s="34" customFormat="1" x14ac:dyDescent="0.2">
      <c r="B1026" s="36"/>
    </row>
    <row r="1027" spans="2:2" s="34" customFormat="1" x14ac:dyDescent="0.2">
      <c r="B1027" s="36"/>
    </row>
    <row r="1028" spans="2:2" s="34" customFormat="1" x14ac:dyDescent="0.2">
      <c r="B1028" s="36"/>
    </row>
    <row r="1029" spans="2:2" s="34" customFormat="1" x14ac:dyDescent="0.2">
      <c r="B1029" s="36"/>
    </row>
    <row r="1030" spans="2:2" s="34" customFormat="1" x14ac:dyDescent="0.2">
      <c r="B1030" s="36"/>
    </row>
    <row r="1031" spans="2:2" s="34" customFormat="1" x14ac:dyDescent="0.2">
      <c r="B1031" s="36"/>
    </row>
    <row r="1032" spans="2:2" s="34" customFormat="1" x14ac:dyDescent="0.2">
      <c r="B1032" s="36"/>
    </row>
    <row r="1033" spans="2:2" s="34" customFormat="1" x14ac:dyDescent="0.2">
      <c r="B1033" s="36"/>
    </row>
    <row r="1034" spans="2:2" s="34" customFormat="1" x14ac:dyDescent="0.2">
      <c r="B1034" s="36"/>
    </row>
    <row r="1035" spans="2:2" s="34" customFormat="1" x14ac:dyDescent="0.2">
      <c r="B1035" s="36"/>
    </row>
    <row r="1036" spans="2:2" s="34" customFormat="1" x14ac:dyDescent="0.2">
      <c r="B1036" s="36"/>
    </row>
    <row r="1037" spans="2:2" s="34" customFormat="1" x14ac:dyDescent="0.2">
      <c r="B1037" s="36"/>
    </row>
    <row r="1038" spans="2:2" s="34" customFormat="1" x14ac:dyDescent="0.2">
      <c r="B1038" s="36"/>
    </row>
    <row r="1039" spans="2:2" s="34" customFormat="1" x14ac:dyDescent="0.2">
      <c r="B1039" s="36"/>
    </row>
    <row r="1040" spans="2:2" s="34" customFormat="1" x14ac:dyDescent="0.2">
      <c r="B1040" s="36"/>
    </row>
    <row r="1041" spans="2:2" s="34" customFormat="1" x14ac:dyDescent="0.2">
      <c r="B1041" s="36"/>
    </row>
    <row r="1042" spans="2:2" s="34" customFormat="1" x14ac:dyDescent="0.2">
      <c r="B1042" s="36"/>
    </row>
    <row r="1043" spans="2:2" s="34" customFormat="1" x14ac:dyDescent="0.2">
      <c r="B1043" s="36"/>
    </row>
    <row r="1044" spans="2:2" s="34" customFormat="1" x14ac:dyDescent="0.2">
      <c r="B1044" s="36"/>
    </row>
    <row r="1045" spans="2:2" s="34" customFormat="1" x14ac:dyDescent="0.2">
      <c r="B1045" s="36"/>
    </row>
    <row r="1046" spans="2:2" s="34" customFormat="1" x14ac:dyDescent="0.2">
      <c r="B1046" s="36"/>
    </row>
    <row r="1047" spans="2:2" s="34" customFormat="1" x14ac:dyDescent="0.2">
      <c r="B1047" s="36"/>
    </row>
    <row r="1048" spans="2:2" s="34" customFormat="1" x14ac:dyDescent="0.2">
      <c r="B1048" s="36"/>
    </row>
    <row r="1049" spans="2:2" s="34" customFormat="1" x14ac:dyDescent="0.2">
      <c r="B1049" s="36"/>
    </row>
    <row r="1050" spans="2:2" s="34" customFormat="1" x14ac:dyDescent="0.2">
      <c r="B1050" s="36"/>
    </row>
    <row r="1051" spans="2:2" s="34" customFormat="1" x14ac:dyDescent="0.2">
      <c r="B1051" s="36"/>
    </row>
    <row r="1052" spans="2:2" s="34" customFormat="1" x14ac:dyDescent="0.2">
      <c r="B1052" s="36"/>
    </row>
    <row r="1053" spans="2:2" s="34" customFormat="1" x14ac:dyDescent="0.2">
      <c r="B1053" s="36"/>
    </row>
    <row r="1054" spans="2:2" s="34" customFormat="1" x14ac:dyDescent="0.2">
      <c r="B1054" s="36"/>
    </row>
    <row r="1055" spans="2:2" s="34" customFormat="1" x14ac:dyDescent="0.2">
      <c r="B1055" s="36"/>
    </row>
    <row r="1056" spans="2:2" s="34" customFormat="1" x14ac:dyDescent="0.2">
      <c r="B1056" s="36"/>
    </row>
    <row r="1057" spans="2:2" s="34" customFormat="1" x14ac:dyDescent="0.2">
      <c r="B1057" s="36"/>
    </row>
    <row r="1058" spans="2:2" s="34" customFormat="1" x14ac:dyDescent="0.2">
      <c r="B1058" s="36"/>
    </row>
    <row r="1059" spans="2:2" s="34" customFormat="1" x14ac:dyDescent="0.2">
      <c r="B1059" s="36"/>
    </row>
    <row r="1060" spans="2:2" s="34" customFormat="1" x14ac:dyDescent="0.2">
      <c r="B1060" s="36"/>
    </row>
    <row r="1061" spans="2:2" s="34" customFormat="1" x14ac:dyDescent="0.2">
      <c r="B1061" s="36"/>
    </row>
    <row r="1062" spans="2:2" s="34" customFormat="1" x14ac:dyDescent="0.2">
      <c r="B1062" s="36"/>
    </row>
    <row r="1063" spans="2:2" s="34" customFormat="1" x14ac:dyDescent="0.2">
      <c r="B1063" s="36"/>
    </row>
    <row r="1064" spans="2:2" s="34" customFormat="1" x14ac:dyDescent="0.2">
      <c r="B1064" s="36"/>
    </row>
    <row r="1065" spans="2:2" s="34" customFormat="1" x14ac:dyDescent="0.2">
      <c r="B1065" s="36"/>
    </row>
    <row r="1066" spans="2:2" s="34" customFormat="1" x14ac:dyDescent="0.2">
      <c r="B1066" s="36"/>
    </row>
    <row r="1067" spans="2:2" s="34" customFormat="1" x14ac:dyDescent="0.2">
      <c r="B1067" s="36"/>
    </row>
    <row r="1068" spans="2:2" s="34" customFormat="1" x14ac:dyDescent="0.2">
      <c r="B1068" s="36"/>
    </row>
    <row r="1069" spans="2:2" s="34" customFormat="1" x14ac:dyDescent="0.2">
      <c r="B1069" s="36"/>
    </row>
    <row r="1070" spans="2:2" s="34" customFormat="1" x14ac:dyDescent="0.2">
      <c r="B1070" s="36"/>
    </row>
    <row r="1071" spans="2:2" s="34" customFormat="1" x14ac:dyDescent="0.2">
      <c r="B1071" s="36"/>
    </row>
    <row r="1072" spans="2:2" s="34" customFormat="1" x14ac:dyDescent="0.2">
      <c r="B1072" s="36"/>
    </row>
    <row r="1073" spans="2:2" s="34" customFormat="1" x14ac:dyDescent="0.2">
      <c r="B1073" s="36"/>
    </row>
    <row r="1074" spans="2:2" s="34" customFormat="1" x14ac:dyDescent="0.2">
      <c r="B1074" s="36"/>
    </row>
    <row r="1075" spans="2:2" s="34" customFormat="1" x14ac:dyDescent="0.2">
      <c r="B1075" s="36"/>
    </row>
    <row r="1076" spans="2:2" s="34" customFormat="1" x14ac:dyDescent="0.2">
      <c r="B1076" s="36"/>
    </row>
    <row r="1077" spans="2:2" s="34" customFormat="1" x14ac:dyDescent="0.2">
      <c r="B1077" s="36"/>
    </row>
    <row r="1078" spans="2:2" s="34" customFormat="1" x14ac:dyDescent="0.2">
      <c r="B1078" s="36"/>
    </row>
    <row r="1079" spans="2:2" s="34" customFormat="1" x14ac:dyDescent="0.2">
      <c r="B1079" s="36"/>
    </row>
    <row r="1080" spans="2:2" s="34" customFormat="1" x14ac:dyDescent="0.2">
      <c r="B1080" s="36"/>
    </row>
    <row r="1081" spans="2:2" s="34" customFormat="1" x14ac:dyDescent="0.2">
      <c r="B1081" s="36"/>
    </row>
    <row r="1082" spans="2:2" s="34" customFormat="1" x14ac:dyDescent="0.2">
      <c r="B1082" s="36"/>
    </row>
    <row r="1083" spans="2:2" s="34" customFormat="1" x14ac:dyDescent="0.2">
      <c r="B1083" s="36"/>
    </row>
    <row r="1084" spans="2:2" s="34" customFormat="1" x14ac:dyDescent="0.2">
      <c r="B1084" s="36"/>
    </row>
    <row r="1085" spans="2:2" s="34" customFormat="1" x14ac:dyDescent="0.2">
      <c r="B1085" s="36"/>
    </row>
    <row r="1086" spans="2:2" s="34" customFormat="1" x14ac:dyDescent="0.2">
      <c r="B1086" s="36"/>
    </row>
    <row r="1087" spans="2:2" s="34" customFormat="1" x14ac:dyDescent="0.2">
      <c r="B1087" s="36"/>
    </row>
    <row r="1088" spans="2:2" s="34" customFormat="1" x14ac:dyDescent="0.2">
      <c r="B1088" s="36"/>
    </row>
    <row r="1089" spans="2:2" s="34" customFormat="1" x14ac:dyDescent="0.2">
      <c r="B1089" s="36"/>
    </row>
    <row r="1090" spans="2:2" s="34" customFormat="1" x14ac:dyDescent="0.2">
      <c r="B1090" s="36"/>
    </row>
    <row r="1091" spans="2:2" s="34" customFormat="1" x14ac:dyDescent="0.2">
      <c r="B1091" s="36"/>
    </row>
    <row r="1092" spans="2:2" s="34" customFormat="1" x14ac:dyDescent="0.2">
      <c r="B1092" s="36"/>
    </row>
    <row r="1093" spans="2:2" s="34" customFormat="1" x14ac:dyDescent="0.2">
      <c r="B1093" s="36"/>
    </row>
    <row r="1094" spans="2:2" s="34" customFormat="1" x14ac:dyDescent="0.2">
      <c r="B1094" s="36"/>
    </row>
    <row r="1095" spans="2:2" s="34" customFormat="1" x14ac:dyDescent="0.2">
      <c r="B1095" s="36"/>
    </row>
    <row r="1096" spans="2:2" s="34" customFormat="1" x14ac:dyDescent="0.2">
      <c r="B1096" s="36"/>
    </row>
    <row r="1097" spans="2:2" s="34" customFormat="1" x14ac:dyDescent="0.2">
      <c r="B1097" s="36"/>
    </row>
    <row r="1098" spans="2:2" s="34" customFormat="1" x14ac:dyDescent="0.2">
      <c r="B1098" s="36"/>
    </row>
    <row r="1099" spans="2:2" s="34" customFormat="1" x14ac:dyDescent="0.2">
      <c r="B1099" s="36"/>
    </row>
    <row r="1100" spans="2:2" s="34" customFormat="1" x14ac:dyDescent="0.2">
      <c r="B1100" s="36"/>
    </row>
    <row r="1101" spans="2:2" s="34" customFormat="1" x14ac:dyDescent="0.2">
      <c r="B1101" s="36"/>
    </row>
    <row r="1102" spans="2:2" s="34" customFormat="1" x14ac:dyDescent="0.2">
      <c r="B1102" s="36"/>
    </row>
    <row r="1103" spans="2:2" s="34" customFormat="1" x14ac:dyDescent="0.2">
      <c r="B1103" s="36"/>
    </row>
    <row r="1104" spans="2:2" s="34" customFormat="1" x14ac:dyDescent="0.2">
      <c r="B1104" s="36"/>
    </row>
    <row r="1105" spans="2:2" s="34" customFormat="1" x14ac:dyDescent="0.2">
      <c r="B1105" s="36"/>
    </row>
    <row r="1106" spans="2:2" s="34" customFormat="1" x14ac:dyDescent="0.2">
      <c r="B1106" s="36"/>
    </row>
    <row r="1107" spans="2:2" s="34" customFormat="1" x14ac:dyDescent="0.2">
      <c r="B1107" s="36"/>
    </row>
    <row r="1108" spans="2:2" s="34" customFormat="1" x14ac:dyDescent="0.2">
      <c r="B1108" s="36"/>
    </row>
    <row r="1109" spans="2:2" s="34" customFormat="1" x14ac:dyDescent="0.2">
      <c r="B1109" s="36"/>
    </row>
    <row r="1110" spans="2:2" s="34" customFormat="1" x14ac:dyDescent="0.2">
      <c r="B1110" s="36"/>
    </row>
    <row r="1111" spans="2:2" s="34" customFormat="1" x14ac:dyDescent="0.2">
      <c r="B1111" s="36"/>
    </row>
    <row r="1112" spans="2:2" s="34" customFormat="1" x14ac:dyDescent="0.2">
      <c r="B1112" s="36"/>
    </row>
    <row r="1113" spans="2:2" s="34" customFormat="1" x14ac:dyDescent="0.2">
      <c r="B1113" s="36"/>
    </row>
    <row r="1114" spans="2:2" s="34" customFormat="1" x14ac:dyDescent="0.2">
      <c r="B1114" s="36"/>
    </row>
    <row r="1115" spans="2:2" s="34" customFormat="1" x14ac:dyDescent="0.2">
      <c r="B1115" s="36"/>
    </row>
    <row r="1116" spans="2:2" s="34" customFormat="1" x14ac:dyDescent="0.2">
      <c r="B1116" s="36"/>
    </row>
    <row r="1117" spans="2:2" s="34" customFormat="1" x14ac:dyDescent="0.2">
      <c r="B1117" s="36"/>
    </row>
    <row r="1118" spans="2:2" s="34" customFormat="1" x14ac:dyDescent="0.2">
      <c r="B1118" s="36"/>
    </row>
    <row r="1119" spans="2:2" s="34" customFormat="1" x14ac:dyDescent="0.2">
      <c r="B1119" s="36"/>
    </row>
    <row r="1120" spans="2:2" s="34" customFormat="1" x14ac:dyDescent="0.2">
      <c r="B1120" s="36"/>
    </row>
    <row r="1121" spans="2:2" s="34" customFormat="1" x14ac:dyDescent="0.2">
      <c r="B1121" s="36"/>
    </row>
    <row r="1122" spans="2:2" s="34" customFormat="1" x14ac:dyDescent="0.2">
      <c r="B1122" s="36"/>
    </row>
    <row r="1123" spans="2:2" s="34" customFormat="1" x14ac:dyDescent="0.2">
      <c r="B1123" s="36"/>
    </row>
    <row r="1124" spans="2:2" s="34" customFormat="1" x14ac:dyDescent="0.2">
      <c r="B1124" s="36"/>
    </row>
    <row r="1125" spans="2:2" s="34" customFormat="1" x14ac:dyDescent="0.2">
      <c r="B1125" s="36"/>
    </row>
    <row r="1126" spans="2:2" s="34" customFormat="1" x14ac:dyDescent="0.2">
      <c r="B1126" s="36"/>
    </row>
    <row r="1127" spans="2:2" s="34" customFormat="1" x14ac:dyDescent="0.2">
      <c r="B1127" s="36"/>
    </row>
    <row r="1128" spans="2:2" s="34" customFormat="1" x14ac:dyDescent="0.2">
      <c r="B1128" s="36"/>
    </row>
    <row r="1129" spans="2:2" s="34" customFormat="1" x14ac:dyDescent="0.2">
      <c r="B1129" s="36"/>
    </row>
    <row r="1130" spans="2:2" s="34" customFormat="1" x14ac:dyDescent="0.2">
      <c r="B1130" s="36"/>
    </row>
    <row r="1131" spans="2:2" s="34" customFormat="1" x14ac:dyDescent="0.2">
      <c r="B1131" s="36"/>
    </row>
    <row r="1132" spans="2:2" s="34" customFormat="1" x14ac:dyDescent="0.2">
      <c r="B1132" s="36"/>
    </row>
    <row r="1133" spans="2:2" s="34" customFormat="1" x14ac:dyDescent="0.2">
      <c r="B1133" s="36"/>
    </row>
    <row r="1134" spans="2:2" s="34" customFormat="1" x14ac:dyDescent="0.2">
      <c r="B1134" s="36"/>
    </row>
    <row r="1135" spans="2:2" s="34" customFormat="1" x14ac:dyDescent="0.2">
      <c r="B1135" s="36"/>
    </row>
    <row r="1136" spans="2:2" s="34" customFormat="1" x14ac:dyDescent="0.2">
      <c r="B1136" s="36"/>
    </row>
    <row r="1137" spans="2:2" s="34" customFormat="1" x14ac:dyDescent="0.2">
      <c r="B1137" s="36"/>
    </row>
    <row r="1138" spans="2:2" s="34" customFormat="1" x14ac:dyDescent="0.2">
      <c r="B1138" s="36"/>
    </row>
    <row r="1139" spans="2:2" s="34" customFormat="1" x14ac:dyDescent="0.2">
      <c r="B1139" s="36"/>
    </row>
    <row r="1140" spans="2:2" s="34" customFormat="1" x14ac:dyDescent="0.2">
      <c r="B1140" s="36"/>
    </row>
    <row r="1141" spans="2:2" s="34" customFormat="1" x14ac:dyDescent="0.2">
      <c r="B1141" s="36"/>
    </row>
    <row r="1142" spans="2:2" s="34" customFormat="1" x14ac:dyDescent="0.2">
      <c r="B1142" s="36"/>
    </row>
    <row r="1143" spans="2:2" s="34" customFormat="1" x14ac:dyDescent="0.2">
      <c r="B1143" s="36"/>
    </row>
    <row r="1144" spans="2:2" s="34" customFormat="1" x14ac:dyDescent="0.2">
      <c r="B1144" s="36"/>
    </row>
    <row r="1145" spans="2:2" s="34" customFormat="1" x14ac:dyDescent="0.2">
      <c r="B1145" s="36"/>
    </row>
    <row r="1146" spans="2:2" s="34" customFormat="1" x14ac:dyDescent="0.2">
      <c r="B1146" s="36"/>
    </row>
    <row r="1147" spans="2:2" s="34" customFormat="1" x14ac:dyDescent="0.2">
      <c r="B1147" s="36"/>
    </row>
    <row r="1148" spans="2:2" s="34" customFormat="1" x14ac:dyDescent="0.2">
      <c r="B1148" s="36"/>
    </row>
    <row r="1149" spans="2:2" s="34" customFormat="1" x14ac:dyDescent="0.2">
      <c r="B1149" s="36"/>
    </row>
    <row r="1150" spans="2:2" s="34" customFormat="1" x14ac:dyDescent="0.2">
      <c r="B1150" s="36"/>
    </row>
    <row r="1151" spans="2:2" s="34" customFormat="1" x14ac:dyDescent="0.2">
      <c r="B1151" s="36"/>
    </row>
    <row r="1152" spans="2:2" s="34" customFormat="1" x14ac:dyDescent="0.2">
      <c r="B1152" s="36"/>
    </row>
    <row r="1153" spans="2:2" s="34" customFormat="1" x14ac:dyDescent="0.2">
      <c r="B1153" s="36"/>
    </row>
    <row r="1154" spans="2:2" s="34" customFormat="1" x14ac:dyDescent="0.2">
      <c r="B1154" s="36"/>
    </row>
    <row r="1155" spans="2:2" s="34" customFormat="1" x14ac:dyDescent="0.2">
      <c r="B1155" s="36"/>
    </row>
    <row r="1156" spans="2:2" s="34" customFormat="1" x14ac:dyDescent="0.2">
      <c r="B1156" s="36"/>
    </row>
    <row r="1157" spans="2:2" s="34" customFormat="1" x14ac:dyDescent="0.2">
      <c r="B1157" s="36"/>
    </row>
    <row r="1158" spans="2:2" s="34" customFormat="1" x14ac:dyDescent="0.2">
      <c r="B1158" s="36"/>
    </row>
    <row r="1159" spans="2:2" s="34" customFormat="1" x14ac:dyDescent="0.2">
      <c r="B1159" s="36"/>
    </row>
    <row r="1160" spans="2:2" s="34" customFormat="1" x14ac:dyDescent="0.2">
      <c r="B1160" s="36"/>
    </row>
    <row r="1161" spans="2:2" s="34" customFormat="1" x14ac:dyDescent="0.2">
      <c r="B1161" s="36"/>
    </row>
    <row r="1162" spans="2:2" s="34" customFormat="1" x14ac:dyDescent="0.2">
      <c r="B1162" s="36"/>
    </row>
    <row r="1163" spans="2:2" s="34" customFormat="1" x14ac:dyDescent="0.2">
      <c r="B1163" s="36"/>
    </row>
    <row r="1164" spans="2:2" s="34" customFormat="1" x14ac:dyDescent="0.2">
      <c r="B1164" s="36"/>
    </row>
    <row r="1165" spans="2:2" s="34" customFormat="1" x14ac:dyDescent="0.2">
      <c r="B1165" s="36"/>
    </row>
    <row r="1166" spans="2:2" s="34" customFormat="1" x14ac:dyDescent="0.2">
      <c r="B1166" s="36"/>
    </row>
    <row r="1167" spans="2:2" s="34" customFormat="1" x14ac:dyDescent="0.2">
      <c r="B1167" s="36"/>
    </row>
    <row r="1168" spans="2:2" s="34" customFormat="1" x14ac:dyDescent="0.2">
      <c r="B1168" s="36"/>
    </row>
    <row r="1169" spans="2:2" s="34" customFormat="1" x14ac:dyDescent="0.2">
      <c r="B1169" s="36"/>
    </row>
    <row r="1170" spans="2:2" s="34" customFormat="1" x14ac:dyDescent="0.2">
      <c r="B1170" s="36"/>
    </row>
    <row r="1171" spans="2:2" s="34" customFormat="1" x14ac:dyDescent="0.2">
      <c r="B1171" s="36"/>
    </row>
    <row r="1172" spans="2:2" s="34" customFormat="1" x14ac:dyDescent="0.2">
      <c r="B1172" s="36"/>
    </row>
    <row r="1173" spans="2:2" s="34" customFormat="1" x14ac:dyDescent="0.2">
      <c r="B1173" s="36"/>
    </row>
    <row r="1174" spans="2:2" s="34" customFormat="1" x14ac:dyDescent="0.2">
      <c r="B1174" s="36"/>
    </row>
    <row r="1175" spans="2:2" s="34" customFormat="1" x14ac:dyDescent="0.2">
      <c r="B1175" s="36"/>
    </row>
    <row r="1176" spans="2:2" s="34" customFormat="1" x14ac:dyDescent="0.2">
      <c r="B1176" s="36"/>
    </row>
    <row r="1177" spans="2:2" s="34" customFormat="1" x14ac:dyDescent="0.2">
      <c r="B1177" s="36"/>
    </row>
    <row r="1178" spans="2:2" s="34" customFormat="1" x14ac:dyDescent="0.2">
      <c r="B1178" s="36"/>
    </row>
    <row r="1179" spans="2:2" s="34" customFormat="1" x14ac:dyDescent="0.2">
      <c r="B1179" s="36"/>
    </row>
    <row r="1180" spans="2:2" s="34" customFormat="1" x14ac:dyDescent="0.2">
      <c r="B1180" s="36"/>
    </row>
    <row r="1181" spans="2:2" s="34" customFormat="1" x14ac:dyDescent="0.2">
      <c r="B1181" s="36"/>
    </row>
    <row r="1182" spans="2:2" s="34" customFormat="1" x14ac:dyDescent="0.2">
      <c r="B1182" s="36"/>
    </row>
    <row r="1183" spans="2:2" s="34" customFormat="1" x14ac:dyDescent="0.2">
      <c r="B1183" s="36"/>
    </row>
    <row r="1184" spans="2:2" s="34" customFormat="1" x14ac:dyDescent="0.2">
      <c r="B1184" s="36"/>
    </row>
    <row r="1185" spans="2:2" s="34" customFormat="1" x14ac:dyDescent="0.2">
      <c r="B1185" s="36"/>
    </row>
    <row r="1186" spans="2:2" s="34" customFormat="1" x14ac:dyDescent="0.2">
      <c r="B1186" s="36"/>
    </row>
    <row r="1187" spans="2:2" s="34" customFormat="1" x14ac:dyDescent="0.2">
      <c r="B1187" s="36"/>
    </row>
    <row r="1188" spans="2:2" s="34" customFormat="1" x14ac:dyDescent="0.2">
      <c r="B1188" s="36"/>
    </row>
    <row r="1189" spans="2:2" s="34" customFormat="1" x14ac:dyDescent="0.2">
      <c r="B1189" s="36"/>
    </row>
    <row r="1190" spans="2:2" s="34" customFormat="1" x14ac:dyDescent="0.2">
      <c r="B1190" s="36"/>
    </row>
    <row r="1191" spans="2:2" s="34" customFormat="1" x14ac:dyDescent="0.2">
      <c r="B1191" s="36"/>
    </row>
    <row r="1192" spans="2:2" s="34" customFormat="1" x14ac:dyDescent="0.2">
      <c r="B1192" s="36"/>
    </row>
    <row r="1193" spans="2:2" s="34" customFormat="1" x14ac:dyDescent="0.2">
      <c r="B1193" s="36"/>
    </row>
    <row r="1194" spans="2:2" s="34" customFormat="1" x14ac:dyDescent="0.2">
      <c r="B1194" s="36"/>
    </row>
    <row r="1195" spans="2:2" s="34" customFormat="1" x14ac:dyDescent="0.2">
      <c r="B1195" s="36"/>
    </row>
    <row r="1196" spans="2:2" s="34" customFormat="1" x14ac:dyDescent="0.2">
      <c r="B1196" s="36"/>
    </row>
    <row r="1197" spans="2:2" s="34" customFormat="1" x14ac:dyDescent="0.2">
      <c r="B1197" s="36"/>
    </row>
    <row r="1198" spans="2:2" s="34" customFormat="1" x14ac:dyDescent="0.2">
      <c r="B1198" s="36"/>
    </row>
    <row r="1199" spans="2:2" s="34" customFormat="1" x14ac:dyDescent="0.2">
      <c r="B1199" s="36"/>
    </row>
    <row r="1200" spans="2:2" s="34" customFormat="1" x14ac:dyDescent="0.2">
      <c r="B1200" s="36"/>
    </row>
    <row r="1201" spans="2:2" s="34" customFormat="1" x14ac:dyDescent="0.2">
      <c r="B1201" s="36"/>
    </row>
    <row r="1202" spans="2:2" s="34" customFormat="1" x14ac:dyDescent="0.2">
      <c r="B1202" s="36"/>
    </row>
    <row r="1203" spans="2:2" s="34" customFormat="1" x14ac:dyDescent="0.2">
      <c r="B1203" s="36"/>
    </row>
    <row r="1204" spans="2:2" s="34" customFormat="1" x14ac:dyDescent="0.2">
      <c r="B1204" s="36"/>
    </row>
    <row r="1205" spans="2:2" s="34" customFormat="1" x14ac:dyDescent="0.2">
      <c r="B1205" s="36"/>
    </row>
    <row r="1206" spans="2:2" s="34" customFormat="1" x14ac:dyDescent="0.2">
      <c r="B1206" s="36"/>
    </row>
    <row r="1207" spans="2:2" s="34" customFormat="1" x14ac:dyDescent="0.2">
      <c r="B1207" s="36"/>
    </row>
    <row r="1208" spans="2:2" s="34" customFormat="1" x14ac:dyDescent="0.2">
      <c r="B1208" s="36"/>
    </row>
    <row r="1209" spans="2:2" s="34" customFormat="1" x14ac:dyDescent="0.2">
      <c r="B1209" s="36"/>
    </row>
    <row r="1210" spans="2:2" s="34" customFormat="1" x14ac:dyDescent="0.2">
      <c r="B1210" s="36"/>
    </row>
    <row r="1211" spans="2:2" s="34" customFormat="1" x14ac:dyDescent="0.2">
      <c r="B1211" s="36"/>
    </row>
    <row r="1212" spans="2:2" s="34" customFormat="1" x14ac:dyDescent="0.2">
      <c r="B1212" s="36"/>
    </row>
    <row r="1213" spans="2:2" s="34" customFormat="1" x14ac:dyDescent="0.2">
      <c r="B1213" s="36"/>
    </row>
    <row r="1214" spans="2:2" s="34" customFormat="1" x14ac:dyDescent="0.2">
      <c r="B1214" s="36"/>
    </row>
    <row r="1215" spans="2:2" s="34" customFormat="1" x14ac:dyDescent="0.2">
      <c r="B1215" s="36"/>
    </row>
    <row r="1216" spans="2:2" s="34" customFormat="1" x14ac:dyDescent="0.2">
      <c r="B1216" s="36"/>
    </row>
    <row r="1217" spans="2:2" s="34" customFormat="1" x14ac:dyDescent="0.2">
      <c r="B1217" s="36"/>
    </row>
    <row r="1218" spans="2:2" s="34" customFormat="1" x14ac:dyDescent="0.2">
      <c r="B1218" s="36"/>
    </row>
    <row r="1219" spans="2:2" s="34" customFormat="1" x14ac:dyDescent="0.2">
      <c r="B1219" s="36"/>
    </row>
    <row r="1220" spans="2:2" s="34" customFormat="1" x14ac:dyDescent="0.2">
      <c r="B1220" s="36"/>
    </row>
    <row r="1221" spans="2:2" s="34" customFormat="1" x14ac:dyDescent="0.2">
      <c r="B1221" s="36"/>
    </row>
    <row r="1222" spans="2:2" s="34" customFormat="1" x14ac:dyDescent="0.2">
      <c r="B1222" s="36"/>
    </row>
    <row r="1223" spans="2:2" s="34" customFormat="1" x14ac:dyDescent="0.2">
      <c r="B1223" s="36"/>
    </row>
    <row r="1224" spans="2:2" s="34" customFormat="1" x14ac:dyDescent="0.2">
      <c r="B1224" s="36"/>
    </row>
    <row r="1225" spans="2:2" s="34" customFormat="1" x14ac:dyDescent="0.2">
      <c r="B1225" s="36"/>
    </row>
    <row r="1226" spans="2:2" s="34" customFormat="1" x14ac:dyDescent="0.2">
      <c r="B1226" s="36"/>
    </row>
    <row r="1227" spans="2:2" s="34" customFormat="1" x14ac:dyDescent="0.2">
      <c r="B1227" s="36"/>
    </row>
    <row r="1228" spans="2:2" s="34" customFormat="1" x14ac:dyDescent="0.2">
      <c r="B1228" s="36"/>
    </row>
    <row r="1229" spans="2:2" s="34" customFormat="1" x14ac:dyDescent="0.2">
      <c r="B1229" s="36"/>
    </row>
    <row r="1230" spans="2:2" s="34" customFormat="1" x14ac:dyDescent="0.2">
      <c r="B1230" s="36"/>
    </row>
    <row r="1231" spans="2:2" s="34" customFormat="1" x14ac:dyDescent="0.2">
      <c r="B1231" s="36"/>
    </row>
    <row r="1232" spans="2:2" s="34" customFormat="1" x14ac:dyDescent="0.2">
      <c r="B1232" s="36"/>
    </row>
    <row r="1233" spans="2:2" s="34" customFormat="1" x14ac:dyDescent="0.2">
      <c r="B1233" s="36"/>
    </row>
    <row r="1234" spans="2:2" s="34" customFormat="1" x14ac:dyDescent="0.2">
      <c r="B1234" s="36"/>
    </row>
    <row r="1235" spans="2:2" s="34" customFormat="1" x14ac:dyDescent="0.2">
      <c r="B1235" s="36"/>
    </row>
    <row r="1236" spans="2:2" s="34" customFormat="1" x14ac:dyDescent="0.2">
      <c r="B1236" s="36"/>
    </row>
    <row r="1237" spans="2:2" s="34" customFormat="1" x14ac:dyDescent="0.2">
      <c r="B1237" s="36"/>
    </row>
    <row r="1238" spans="2:2" s="34" customFormat="1" x14ac:dyDescent="0.2">
      <c r="B1238" s="36"/>
    </row>
    <row r="1239" spans="2:2" s="34" customFormat="1" x14ac:dyDescent="0.2">
      <c r="B1239" s="36"/>
    </row>
    <row r="1240" spans="2:2" s="34" customFormat="1" x14ac:dyDescent="0.2">
      <c r="B1240" s="36"/>
    </row>
    <row r="1241" spans="2:2" s="34" customFormat="1" x14ac:dyDescent="0.2">
      <c r="B1241" s="36"/>
    </row>
    <row r="1242" spans="2:2" s="34" customFormat="1" x14ac:dyDescent="0.2">
      <c r="B1242" s="36"/>
    </row>
    <row r="1243" spans="2:2" s="34" customFormat="1" x14ac:dyDescent="0.2">
      <c r="B1243" s="36"/>
    </row>
    <row r="1244" spans="2:2" s="34" customFormat="1" x14ac:dyDescent="0.2">
      <c r="B1244" s="36"/>
    </row>
    <row r="1245" spans="2:2" s="34" customFormat="1" x14ac:dyDescent="0.2">
      <c r="B1245" s="36"/>
    </row>
    <row r="1246" spans="2:2" s="34" customFormat="1" x14ac:dyDescent="0.2">
      <c r="B1246" s="36"/>
    </row>
    <row r="1247" spans="2:2" s="34" customFormat="1" x14ac:dyDescent="0.2">
      <c r="B1247" s="36"/>
    </row>
    <row r="1248" spans="2:2" s="34" customFormat="1" x14ac:dyDescent="0.2">
      <c r="B1248" s="36"/>
    </row>
    <row r="1249" spans="2:2" s="34" customFormat="1" x14ac:dyDescent="0.2">
      <c r="B1249" s="36"/>
    </row>
    <row r="1250" spans="2:2" s="34" customFormat="1" x14ac:dyDescent="0.2">
      <c r="B1250" s="36"/>
    </row>
    <row r="1251" spans="2:2" s="34" customFormat="1" x14ac:dyDescent="0.2">
      <c r="B1251" s="36"/>
    </row>
    <row r="1252" spans="2:2" s="34" customFormat="1" x14ac:dyDescent="0.2">
      <c r="B1252" s="36"/>
    </row>
    <row r="1253" spans="2:2" s="34" customFormat="1" x14ac:dyDescent="0.2">
      <c r="B1253" s="36"/>
    </row>
    <row r="1254" spans="2:2" s="34" customFormat="1" x14ac:dyDescent="0.2">
      <c r="B1254" s="36"/>
    </row>
    <row r="1255" spans="2:2" s="34" customFormat="1" x14ac:dyDescent="0.2">
      <c r="B1255" s="36"/>
    </row>
    <row r="1256" spans="2:2" s="34" customFormat="1" x14ac:dyDescent="0.2">
      <c r="B1256" s="36"/>
    </row>
    <row r="1257" spans="2:2" s="34" customFormat="1" x14ac:dyDescent="0.2">
      <c r="B1257" s="36"/>
    </row>
    <row r="1258" spans="2:2" s="34" customFormat="1" x14ac:dyDescent="0.2">
      <c r="B1258" s="36"/>
    </row>
    <row r="1259" spans="2:2" s="34" customFormat="1" x14ac:dyDescent="0.2">
      <c r="B1259" s="36"/>
    </row>
    <row r="1260" spans="2:2" s="34" customFormat="1" x14ac:dyDescent="0.2">
      <c r="B1260" s="36"/>
    </row>
    <row r="1261" spans="2:2" s="34" customFormat="1" x14ac:dyDescent="0.2">
      <c r="B1261" s="36"/>
    </row>
    <row r="1262" spans="2:2" s="34" customFormat="1" x14ac:dyDescent="0.2">
      <c r="B1262" s="36"/>
    </row>
    <row r="1263" spans="2:2" s="34" customFormat="1" x14ac:dyDescent="0.2">
      <c r="B1263" s="36"/>
    </row>
    <row r="1264" spans="2:2" s="34" customFormat="1" x14ac:dyDescent="0.2">
      <c r="B1264" s="36"/>
    </row>
    <row r="1265" spans="2:2" s="34" customFormat="1" x14ac:dyDescent="0.2">
      <c r="B1265" s="36"/>
    </row>
    <row r="1266" spans="2:2" s="34" customFormat="1" x14ac:dyDescent="0.2">
      <c r="B1266" s="36"/>
    </row>
    <row r="1267" spans="2:2" s="34" customFormat="1" x14ac:dyDescent="0.2">
      <c r="B1267" s="36"/>
    </row>
    <row r="1268" spans="2:2" s="34" customFormat="1" x14ac:dyDescent="0.2">
      <c r="B1268" s="36"/>
    </row>
    <row r="1269" spans="2:2" s="34" customFormat="1" x14ac:dyDescent="0.2">
      <c r="B1269" s="36"/>
    </row>
    <row r="1270" spans="2:2" s="34" customFormat="1" x14ac:dyDescent="0.2">
      <c r="B1270" s="36"/>
    </row>
    <row r="1271" spans="2:2" s="34" customFormat="1" x14ac:dyDescent="0.2">
      <c r="B1271" s="36"/>
    </row>
    <row r="1272" spans="2:2" s="34" customFormat="1" x14ac:dyDescent="0.2">
      <c r="B1272" s="36"/>
    </row>
    <row r="1273" spans="2:2" s="34" customFormat="1" x14ac:dyDescent="0.2">
      <c r="B1273" s="36"/>
    </row>
    <row r="1274" spans="2:2" s="34" customFormat="1" x14ac:dyDescent="0.2">
      <c r="B1274" s="36"/>
    </row>
    <row r="1275" spans="2:2" s="34" customFormat="1" x14ac:dyDescent="0.2">
      <c r="B1275" s="36"/>
    </row>
    <row r="1276" spans="2:2" s="34" customFormat="1" x14ac:dyDescent="0.2">
      <c r="B1276" s="36"/>
    </row>
    <row r="1277" spans="2:2" s="34" customFormat="1" x14ac:dyDescent="0.2">
      <c r="B1277" s="36"/>
    </row>
    <row r="1278" spans="2:2" s="34" customFormat="1" x14ac:dyDescent="0.2">
      <c r="B1278" s="36"/>
    </row>
    <row r="1279" spans="2:2" s="34" customFormat="1" x14ac:dyDescent="0.2">
      <c r="B1279" s="36"/>
    </row>
    <row r="1280" spans="2:2" s="34" customFormat="1" x14ac:dyDescent="0.2">
      <c r="B1280" s="36"/>
    </row>
    <row r="1281" spans="2:2" s="34" customFormat="1" x14ac:dyDescent="0.2">
      <c r="B1281" s="36"/>
    </row>
    <row r="1282" spans="2:2" s="34" customFormat="1" x14ac:dyDescent="0.2">
      <c r="B1282" s="36"/>
    </row>
    <row r="1283" spans="2:2" s="34" customFormat="1" x14ac:dyDescent="0.2">
      <c r="B1283" s="36"/>
    </row>
    <row r="1284" spans="2:2" s="34" customFormat="1" x14ac:dyDescent="0.2">
      <c r="B1284" s="36"/>
    </row>
    <row r="1285" spans="2:2" s="34" customFormat="1" x14ac:dyDescent="0.2">
      <c r="B1285" s="36"/>
    </row>
    <row r="1286" spans="2:2" s="34" customFormat="1" x14ac:dyDescent="0.2">
      <c r="B1286" s="36"/>
    </row>
    <row r="1287" spans="2:2" s="34" customFormat="1" x14ac:dyDescent="0.2">
      <c r="B1287" s="36"/>
    </row>
    <row r="1288" spans="2:2" s="34" customFormat="1" x14ac:dyDescent="0.2">
      <c r="B1288" s="36"/>
    </row>
    <row r="1289" spans="2:2" s="34" customFormat="1" x14ac:dyDescent="0.2">
      <c r="B1289" s="36"/>
    </row>
    <row r="1290" spans="2:2" s="34" customFormat="1" x14ac:dyDescent="0.2">
      <c r="B1290" s="36"/>
    </row>
    <row r="1291" spans="2:2" s="34" customFormat="1" x14ac:dyDescent="0.2">
      <c r="B1291" s="36"/>
    </row>
    <row r="1292" spans="2:2" s="34" customFormat="1" x14ac:dyDescent="0.2">
      <c r="B1292" s="36"/>
    </row>
    <row r="1293" spans="2:2" s="34" customFormat="1" x14ac:dyDescent="0.2">
      <c r="B1293" s="36"/>
    </row>
    <row r="1294" spans="2:2" s="34" customFormat="1" x14ac:dyDescent="0.2">
      <c r="B1294" s="36"/>
    </row>
    <row r="1295" spans="2:2" s="34" customFormat="1" x14ac:dyDescent="0.2">
      <c r="B1295" s="36"/>
    </row>
    <row r="1296" spans="2:2" s="34" customFormat="1" x14ac:dyDescent="0.2">
      <c r="B1296" s="36"/>
    </row>
    <row r="1297" spans="2:2" s="34" customFormat="1" x14ac:dyDescent="0.2">
      <c r="B1297" s="36"/>
    </row>
    <row r="1298" spans="2:2" s="34" customFormat="1" x14ac:dyDescent="0.2">
      <c r="B1298" s="36"/>
    </row>
    <row r="1299" spans="2:2" s="34" customFormat="1" x14ac:dyDescent="0.2">
      <c r="B1299" s="36"/>
    </row>
    <row r="1300" spans="2:2" s="34" customFormat="1" x14ac:dyDescent="0.2">
      <c r="B1300" s="36"/>
    </row>
    <row r="1301" spans="2:2" s="34" customFormat="1" x14ac:dyDescent="0.2">
      <c r="B1301" s="36"/>
    </row>
    <row r="1302" spans="2:2" s="34" customFormat="1" x14ac:dyDescent="0.2">
      <c r="B1302" s="36"/>
    </row>
    <row r="1303" spans="2:2" s="34" customFormat="1" x14ac:dyDescent="0.2">
      <c r="B1303" s="36"/>
    </row>
    <row r="1304" spans="2:2" s="34" customFormat="1" x14ac:dyDescent="0.2">
      <c r="B1304" s="36"/>
    </row>
    <row r="1305" spans="2:2" s="34" customFormat="1" x14ac:dyDescent="0.2">
      <c r="B1305" s="36"/>
    </row>
    <row r="1306" spans="2:2" s="34" customFormat="1" x14ac:dyDescent="0.2">
      <c r="B1306" s="36"/>
    </row>
    <row r="1307" spans="2:2" s="34" customFormat="1" x14ac:dyDescent="0.2">
      <c r="B1307" s="36"/>
    </row>
    <row r="1308" spans="2:2" s="34" customFormat="1" x14ac:dyDescent="0.2">
      <c r="B1308" s="36"/>
    </row>
    <row r="1309" spans="2:2" s="34" customFormat="1" x14ac:dyDescent="0.2">
      <c r="B1309" s="36"/>
    </row>
    <row r="1310" spans="2:2" s="34" customFormat="1" x14ac:dyDescent="0.2">
      <c r="B1310" s="36"/>
    </row>
    <row r="1311" spans="2:2" s="34" customFormat="1" x14ac:dyDescent="0.2">
      <c r="B1311" s="36"/>
    </row>
    <row r="1312" spans="2:2" s="34" customFormat="1" x14ac:dyDescent="0.2">
      <c r="B1312" s="36"/>
    </row>
    <row r="1313" spans="2:2" s="34" customFormat="1" x14ac:dyDescent="0.2">
      <c r="B1313" s="36"/>
    </row>
    <row r="1314" spans="2:2" s="34" customFormat="1" x14ac:dyDescent="0.2">
      <c r="B1314" s="36"/>
    </row>
    <row r="1315" spans="2:2" s="34" customFormat="1" x14ac:dyDescent="0.2">
      <c r="B1315" s="36"/>
    </row>
    <row r="1316" spans="2:2" s="34" customFormat="1" x14ac:dyDescent="0.2">
      <c r="B1316" s="36"/>
    </row>
    <row r="1317" spans="2:2" s="34" customFormat="1" x14ac:dyDescent="0.2">
      <c r="B1317" s="36"/>
    </row>
    <row r="1318" spans="2:2" s="34" customFormat="1" x14ac:dyDescent="0.2">
      <c r="B1318" s="36"/>
    </row>
    <row r="1319" spans="2:2" s="34" customFormat="1" x14ac:dyDescent="0.2">
      <c r="B1319" s="36"/>
    </row>
    <row r="1320" spans="2:2" s="34" customFormat="1" x14ac:dyDescent="0.2">
      <c r="B1320" s="36"/>
    </row>
    <row r="1321" spans="2:2" s="34" customFormat="1" x14ac:dyDescent="0.2">
      <c r="B1321" s="36"/>
    </row>
    <row r="1322" spans="2:2" s="34" customFormat="1" x14ac:dyDescent="0.2">
      <c r="B1322" s="36"/>
    </row>
    <row r="1323" spans="2:2" s="34" customFormat="1" x14ac:dyDescent="0.2">
      <c r="B1323" s="36"/>
    </row>
    <row r="1324" spans="2:2" s="34" customFormat="1" x14ac:dyDescent="0.2">
      <c r="B1324" s="36"/>
    </row>
    <row r="1325" spans="2:2" s="34" customFormat="1" x14ac:dyDescent="0.2">
      <c r="B1325" s="36"/>
    </row>
    <row r="1326" spans="2:2" s="34" customFormat="1" x14ac:dyDescent="0.2">
      <c r="B1326" s="36"/>
    </row>
    <row r="1327" spans="2:2" s="34" customFormat="1" x14ac:dyDescent="0.2">
      <c r="B1327" s="36"/>
    </row>
    <row r="1328" spans="2:2" s="34" customFormat="1" x14ac:dyDescent="0.2">
      <c r="B1328" s="36"/>
    </row>
    <row r="1329" spans="2:2" s="34" customFormat="1" x14ac:dyDescent="0.2">
      <c r="B1329" s="36"/>
    </row>
    <row r="1330" spans="2:2" s="34" customFormat="1" x14ac:dyDescent="0.2">
      <c r="B1330" s="36"/>
    </row>
    <row r="1331" spans="2:2" s="34" customFormat="1" x14ac:dyDescent="0.2">
      <c r="B1331" s="36"/>
    </row>
    <row r="1332" spans="2:2" s="34" customFormat="1" x14ac:dyDescent="0.2">
      <c r="B1332" s="36"/>
    </row>
    <row r="1333" spans="2:2" s="34" customFormat="1" x14ac:dyDescent="0.2">
      <c r="B1333" s="36"/>
    </row>
    <row r="1334" spans="2:2" s="34" customFormat="1" x14ac:dyDescent="0.2">
      <c r="B1334" s="36"/>
    </row>
    <row r="1335" spans="2:2" s="34" customFormat="1" x14ac:dyDescent="0.2">
      <c r="B1335" s="36"/>
    </row>
    <row r="1336" spans="2:2" s="34" customFormat="1" x14ac:dyDescent="0.2">
      <c r="B1336" s="36"/>
    </row>
    <row r="1337" spans="2:2" s="34" customFormat="1" x14ac:dyDescent="0.2">
      <c r="B1337" s="36"/>
    </row>
    <row r="1338" spans="2:2" s="34" customFormat="1" x14ac:dyDescent="0.2">
      <c r="B1338" s="36"/>
    </row>
    <row r="1339" spans="2:2" s="34" customFormat="1" x14ac:dyDescent="0.2">
      <c r="B1339" s="36"/>
    </row>
    <row r="1340" spans="2:2" s="34" customFormat="1" x14ac:dyDescent="0.2">
      <c r="B1340" s="36"/>
    </row>
    <row r="1341" spans="2:2" s="34" customFormat="1" x14ac:dyDescent="0.2">
      <c r="B1341" s="36"/>
    </row>
    <row r="1342" spans="2:2" s="34" customFormat="1" x14ac:dyDescent="0.2">
      <c r="B1342" s="36"/>
    </row>
    <row r="1343" spans="2:2" s="34" customFormat="1" x14ac:dyDescent="0.2">
      <c r="B1343" s="36"/>
    </row>
    <row r="1344" spans="2:2" s="34" customFormat="1" x14ac:dyDescent="0.2">
      <c r="B1344" s="36"/>
    </row>
    <row r="1345" spans="2:2" s="34" customFormat="1" x14ac:dyDescent="0.2">
      <c r="B1345" s="36"/>
    </row>
    <row r="1346" spans="2:2" s="34" customFormat="1" x14ac:dyDescent="0.2">
      <c r="B1346" s="36"/>
    </row>
    <row r="1347" spans="2:2" s="34" customFormat="1" x14ac:dyDescent="0.2">
      <c r="B1347" s="36"/>
    </row>
    <row r="1348" spans="2:2" s="34" customFormat="1" x14ac:dyDescent="0.2">
      <c r="B1348" s="36"/>
    </row>
    <row r="1349" spans="2:2" s="34" customFormat="1" x14ac:dyDescent="0.2">
      <c r="B1349" s="36"/>
    </row>
    <row r="1350" spans="2:2" s="34" customFormat="1" x14ac:dyDescent="0.2">
      <c r="B1350" s="36"/>
    </row>
    <row r="1351" spans="2:2" s="34" customFormat="1" x14ac:dyDescent="0.2">
      <c r="B1351" s="36"/>
    </row>
    <row r="1352" spans="2:2" s="34" customFormat="1" x14ac:dyDescent="0.2">
      <c r="B1352" s="36"/>
    </row>
    <row r="1353" spans="2:2" s="34" customFormat="1" x14ac:dyDescent="0.2">
      <c r="B1353" s="36"/>
    </row>
    <row r="1354" spans="2:2" s="34" customFormat="1" x14ac:dyDescent="0.2">
      <c r="B1354" s="36"/>
    </row>
    <row r="1355" spans="2:2" s="34" customFormat="1" x14ac:dyDescent="0.2">
      <c r="B1355" s="36"/>
    </row>
    <row r="1356" spans="2:2" s="34" customFormat="1" x14ac:dyDescent="0.2">
      <c r="B1356" s="36"/>
    </row>
    <row r="1357" spans="2:2" s="34" customFormat="1" x14ac:dyDescent="0.2">
      <c r="B1357" s="36"/>
    </row>
    <row r="1358" spans="2:2" s="34" customFormat="1" x14ac:dyDescent="0.2">
      <c r="B1358" s="36"/>
    </row>
    <row r="1359" spans="2:2" s="34" customFormat="1" x14ac:dyDescent="0.2">
      <c r="B1359" s="36"/>
    </row>
    <row r="1360" spans="2:2" s="34" customFormat="1" x14ac:dyDescent="0.2">
      <c r="B1360" s="36"/>
    </row>
    <row r="1361" spans="2:2" s="34" customFormat="1" x14ac:dyDescent="0.2">
      <c r="B1361" s="36"/>
    </row>
    <row r="1362" spans="2:2" s="34" customFormat="1" x14ac:dyDescent="0.2">
      <c r="B1362" s="36"/>
    </row>
    <row r="1363" spans="2:2" s="34" customFormat="1" x14ac:dyDescent="0.2">
      <c r="B1363" s="36"/>
    </row>
    <row r="1364" spans="2:2" s="34" customFormat="1" x14ac:dyDescent="0.2">
      <c r="B1364" s="36"/>
    </row>
    <row r="1365" spans="2:2" s="34" customFormat="1" x14ac:dyDescent="0.2">
      <c r="B1365" s="36"/>
    </row>
    <row r="1366" spans="2:2" s="34" customFormat="1" x14ac:dyDescent="0.2">
      <c r="B1366" s="36"/>
    </row>
    <row r="1367" spans="2:2" s="34" customFormat="1" x14ac:dyDescent="0.2">
      <c r="B1367" s="36"/>
    </row>
    <row r="1368" spans="2:2" s="34" customFormat="1" x14ac:dyDescent="0.2">
      <c r="B1368" s="36"/>
    </row>
    <row r="1369" spans="2:2" s="34" customFormat="1" x14ac:dyDescent="0.2">
      <c r="B1369" s="36"/>
    </row>
    <row r="1370" spans="2:2" s="34" customFormat="1" x14ac:dyDescent="0.2">
      <c r="B1370" s="36"/>
    </row>
    <row r="1371" spans="2:2" s="34" customFormat="1" x14ac:dyDescent="0.2">
      <c r="B1371" s="36"/>
    </row>
    <row r="1372" spans="2:2" s="34" customFormat="1" x14ac:dyDescent="0.2">
      <c r="B1372" s="36"/>
    </row>
    <row r="1373" spans="2:2" s="34" customFormat="1" x14ac:dyDescent="0.2">
      <c r="B1373" s="36"/>
    </row>
    <row r="1374" spans="2:2" s="34" customFormat="1" x14ac:dyDescent="0.2">
      <c r="B1374" s="36"/>
    </row>
    <row r="1375" spans="2:2" s="34" customFormat="1" x14ac:dyDescent="0.2">
      <c r="B1375" s="36"/>
    </row>
    <row r="1376" spans="2:2" s="34" customFormat="1" x14ac:dyDescent="0.2">
      <c r="B1376" s="36"/>
    </row>
    <row r="1377" spans="2:2" s="34" customFormat="1" x14ac:dyDescent="0.2">
      <c r="B1377" s="36"/>
    </row>
    <row r="1378" spans="2:2" s="34" customFormat="1" x14ac:dyDescent="0.2">
      <c r="B1378" s="36"/>
    </row>
    <row r="1379" spans="2:2" s="34" customFormat="1" x14ac:dyDescent="0.2">
      <c r="B1379" s="36"/>
    </row>
    <row r="1380" spans="2:2" s="34" customFormat="1" x14ac:dyDescent="0.2">
      <c r="B1380" s="36"/>
    </row>
    <row r="1381" spans="2:2" s="34" customFormat="1" x14ac:dyDescent="0.2">
      <c r="B1381" s="36"/>
    </row>
    <row r="1382" spans="2:2" s="34" customFormat="1" x14ac:dyDescent="0.2">
      <c r="B1382" s="36"/>
    </row>
    <row r="1383" spans="2:2" s="34" customFormat="1" x14ac:dyDescent="0.2">
      <c r="B1383" s="36"/>
    </row>
    <row r="1384" spans="2:2" s="34" customFormat="1" x14ac:dyDescent="0.2">
      <c r="B1384" s="36"/>
    </row>
    <row r="1385" spans="2:2" s="34" customFormat="1" x14ac:dyDescent="0.2">
      <c r="B1385" s="36"/>
    </row>
    <row r="1386" spans="2:2" s="34" customFormat="1" x14ac:dyDescent="0.2">
      <c r="B1386" s="36"/>
    </row>
    <row r="1387" spans="2:2" s="34" customFormat="1" x14ac:dyDescent="0.2">
      <c r="B1387" s="36"/>
    </row>
    <row r="1388" spans="2:2" s="34" customFormat="1" x14ac:dyDescent="0.2">
      <c r="B1388" s="36"/>
    </row>
    <row r="1389" spans="2:2" s="34" customFormat="1" x14ac:dyDescent="0.2">
      <c r="B1389" s="36"/>
    </row>
    <row r="1390" spans="2:2" s="34" customFormat="1" x14ac:dyDescent="0.2">
      <c r="B1390" s="36"/>
    </row>
    <row r="1391" spans="2:2" s="34" customFormat="1" x14ac:dyDescent="0.2">
      <c r="B1391" s="36"/>
    </row>
    <row r="1392" spans="2:2" s="34" customFormat="1" x14ac:dyDescent="0.2">
      <c r="B1392" s="36"/>
    </row>
    <row r="1393" spans="2:2" s="34" customFormat="1" x14ac:dyDescent="0.2">
      <c r="B1393" s="36"/>
    </row>
    <row r="1394" spans="2:2" s="34" customFormat="1" x14ac:dyDescent="0.2">
      <c r="B1394" s="36"/>
    </row>
    <row r="1395" spans="2:2" s="34" customFormat="1" x14ac:dyDescent="0.2">
      <c r="B1395" s="36"/>
    </row>
    <row r="1396" spans="2:2" s="34" customFormat="1" x14ac:dyDescent="0.2">
      <c r="B1396" s="36"/>
    </row>
    <row r="1397" spans="2:2" s="34" customFormat="1" x14ac:dyDescent="0.2">
      <c r="B1397" s="36"/>
    </row>
    <row r="1398" spans="2:2" s="34" customFormat="1" x14ac:dyDescent="0.2">
      <c r="B1398" s="36"/>
    </row>
    <row r="1399" spans="2:2" s="34" customFormat="1" x14ac:dyDescent="0.2">
      <c r="B1399" s="36"/>
    </row>
    <row r="1400" spans="2:2" s="34" customFormat="1" x14ac:dyDescent="0.2">
      <c r="B1400" s="36"/>
    </row>
    <row r="1401" spans="2:2" s="34" customFormat="1" x14ac:dyDescent="0.2">
      <c r="B1401" s="36"/>
    </row>
    <row r="1402" spans="2:2" s="34" customFormat="1" x14ac:dyDescent="0.2">
      <c r="B1402" s="36"/>
    </row>
    <row r="1403" spans="2:2" s="34" customFormat="1" x14ac:dyDescent="0.2">
      <c r="B1403" s="36"/>
    </row>
    <row r="1404" spans="2:2" s="34" customFormat="1" x14ac:dyDescent="0.2">
      <c r="B1404" s="36"/>
    </row>
    <row r="1405" spans="2:2" s="34" customFormat="1" x14ac:dyDescent="0.2">
      <c r="B1405" s="36"/>
    </row>
  </sheetData>
  <pageMargins left="0.7" right="0.7" top="0.75" bottom="0.75" header="0.3" footer="0.3"/>
  <pageSetup scale="9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77"/>
  <sheetViews>
    <sheetView topLeftCell="A49" workbookViewId="0"/>
  </sheetViews>
  <sheetFormatPr defaultColWidth="9.21875" defaultRowHeight="10.199999999999999" x14ac:dyDescent="0.2"/>
  <cols>
    <col min="1" max="1" width="14.21875" style="35" bestFit="1" customWidth="1"/>
    <col min="2" max="8" width="11.21875" style="34" customWidth="1"/>
    <col min="9" max="16384" width="9.21875" style="34"/>
  </cols>
  <sheetData>
    <row r="1" spans="1:8" s="24" customFormat="1" ht="15.6" x14ac:dyDescent="0.3">
      <c r="A1" s="85" t="s">
        <v>103</v>
      </c>
      <c r="B1" s="85"/>
      <c r="C1" s="85"/>
      <c r="D1" s="85"/>
      <c r="E1" s="85"/>
      <c r="F1" s="85"/>
      <c r="G1" s="85"/>
      <c r="H1" s="85"/>
    </row>
    <row r="2" spans="1:8" s="24" customFormat="1" ht="13.2" x14ac:dyDescent="0.25">
      <c r="A2" s="87" t="str">
        <f>'Oct23'!$A$2</f>
        <v>Temporary Assistance for Needy Families (TANF)</v>
      </c>
      <c r="B2" s="87"/>
      <c r="C2" s="87"/>
      <c r="D2" s="87"/>
      <c r="E2" s="87"/>
      <c r="F2" s="87"/>
      <c r="G2" s="87"/>
      <c r="H2" s="87"/>
    </row>
    <row r="3" spans="1:8" s="27" customFormat="1" ht="30.6" x14ac:dyDescent="0.2">
      <c r="A3" s="25" t="s">
        <v>1</v>
      </c>
      <c r="B3" s="26" t="s">
        <v>66</v>
      </c>
      <c r="C3" s="26" t="s">
        <v>67</v>
      </c>
      <c r="D3" s="26" t="s">
        <v>68</v>
      </c>
      <c r="E3" s="26" t="s">
        <v>69</v>
      </c>
      <c r="F3" s="26" t="s">
        <v>70</v>
      </c>
      <c r="G3" s="26" t="s">
        <v>71</v>
      </c>
      <c r="H3" s="26" t="s">
        <v>72</v>
      </c>
    </row>
    <row r="4" spans="1:8" s="29" customFormat="1" x14ac:dyDescent="0.2">
      <c r="A4" s="7" t="s">
        <v>2</v>
      </c>
      <c r="B4" s="28">
        <f>TFam!E5</f>
        <v>826530</v>
      </c>
      <c r="C4" s="28">
        <f>'Two-par'!E5</f>
        <v>54857</v>
      </c>
      <c r="D4" s="28">
        <f>'One-par'!E5</f>
        <v>424576</v>
      </c>
      <c r="E4" s="28">
        <f>'Zero-par'!E5</f>
        <v>347097</v>
      </c>
      <c r="F4" s="28">
        <f>TRec!E5</f>
        <v>2023292</v>
      </c>
      <c r="G4" s="28">
        <f>Adults!E5</f>
        <v>545359</v>
      </c>
      <c r="H4" s="28">
        <f>Children!E5</f>
        <v>1477933</v>
      </c>
    </row>
    <row r="5" spans="1:8" s="31" customFormat="1" x14ac:dyDescent="0.2">
      <c r="A5" s="38" t="s">
        <v>3</v>
      </c>
      <c r="B5" s="30">
        <f>TFam!E6</f>
        <v>5851</v>
      </c>
      <c r="C5" s="30">
        <f>'Two-par'!E6</f>
        <v>30</v>
      </c>
      <c r="D5" s="30">
        <f>'One-par'!E6</f>
        <v>2476</v>
      </c>
      <c r="E5" s="30">
        <f>'Zero-par'!E6</f>
        <v>3345</v>
      </c>
      <c r="F5" s="30">
        <f>TRec!E6</f>
        <v>13832</v>
      </c>
      <c r="G5" s="30">
        <f>Adults!E6</f>
        <v>2592</v>
      </c>
      <c r="H5" s="30">
        <f>Children!E6</f>
        <v>11240</v>
      </c>
    </row>
    <row r="6" spans="1:8" s="31" customFormat="1" x14ac:dyDescent="0.2">
      <c r="A6" s="38" t="s">
        <v>4</v>
      </c>
      <c r="B6" s="32">
        <f>TFam!E7</f>
        <v>1345</v>
      </c>
      <c r="C6" s="32">
        <f>'Two-par'!E7</f>
        <v>179</v>
      </c>
      <c r="D6" s="32">
        <f>'One-par'!E7</f>
        <v>787</v>
      </c>
      <c r="E6" s="32">
        <f>'Zero-par'!E7</f>
        <v>379</v>
      </c>
      <c r="F6" s="32">
        <f>TRec!E7</f>
        <v>3719</v>
      </c>
      <c r="G6" s="32">
        <f>Adults!E7</f>
        <v>1190</v>
      </c>
      <c r="H6" s="32">
        <f>Children!E7</f>
        <v>2529</v>
      </c>
    </row>
    <row r="7" spans="1:8" s="31" customFormat="1" x14ac:dyDescent="0.2">
      <c r="A7" s="38" t="s">
        <v>5</v>
      </c>
      <c r="B7" s="32">
        <f>TFam!E8</f>
        <v>5118</v>
      </c>
      <c r="C7" s="32">
        <f>'Two-par'!E8</f>
        <v>308</v>
      </c>
      <c r="D7" s="32">
        <f>'One-par'!E8</f>
        <v>1301</v>
      </c>
      <c r="E7" s="32">
        <f>'Zero-par'!E8</f>
        <v>3509</v>
      </c>
      <c r="F7" s="32">
        <f>TRec!E8</f>
        <v>10618</v>
      </c>
      <c r="G7" s="32">
        <f>Adults!E8</f>
        <v>1937</v>
      </c>
      <c r="H7" s="32">
        <f>Children!E8</f>
        <v>8681</v>
      </c>
    </row>
    <row r="8" spans="1:8" s="31" customFormat="1" x14ac:dyDescent="0.2">
      <c r="A8" s="38" t="s">
        <v>6</v>
      </c>
      <c r="B8" s="32">
        <f>TFam!E9</f>
        <v>919</v>
      </c>
      <c r="C8" s="32">
        <f>'Two-par'!E9</f>
        <v>32</v>
      </c>
      <c r="D8" s="32">
        <f>'One-par'!E9</f>
        <v>515</v>
      </c>
      <c r="E8" s="32">
        <f>'Zero-par'!E9</f>
        <v>372</v>
      </c>
      <c r="F8" s="32">
        <f>TRec!E9</f>
        <v>2246</v>
      </c>
      <c r="G8" s="32">
        <f>Adults!E9</f>
        <v>579</v>
      </c>
      <c r="H8" s="32">
        <f>Children!E9</f>
        <v>1667</v>
      </c>
    </row>
    <row r="9" spans="1:8" s="31" customFormat="1" x14ac:dyDescent="0.2">
      <c r="A9" s="38" t="s">
        <v>7</v>
      </c>
      <c r="B9" s="30">
        <f>TFam!E10</f>
        <v>281659</v>
      </c>
      <c r="C9" s="30">
        <f>'Two-par'!E10</f>
        <v>34865</v>
      </c>
      <c r="D9" s="30">
        <f>'One-par'!E10</f>
        <v>149645</v>
      </c>
      <c r="E9" s="30">
        <f>'Zero-par'!E10</f>
        <v>97149</v>
      </c>
      <c r="F9" s="30">
        <f>TRec!E10</f>
        <v>748236</v>
      </c>
      <c r="G9" s="30">
        <f>Adults!E10</f>
        <v>201974</v>
      </c>
      <c r="H9" s="30">
        <f>Children!E10</f>
        <v>546262</v>
      </c>
    </row>
    <row r="10" spans="1:8" s="31" customFormat="1" x14ac:dyDescent="0.2">
      <c r="A10" s="38" t="s">
        <v>8</v>
      </c>
      <c r="B10" s="32">
        <f>TFam!E11</f>
        <v>12204</v>
      </c>
      <c r="C10" s="32">
        <f>'Two-par'!E11</f>
        <v>0</v>
      </c>
      <c r="D10" s="32">
        <f>'One-par'!E11</f>
        <v>7903</v>
      </c>
      <c r="E10" s="32">
        <f>'Zero-par'!E11</f>
        <v>4301</v>
      </c>
      <c r="F10" s="32">
        <f>TRec!E11</f>
        <v>30006</v>
      </c>
      <c r="G10" s="32">
        <f>Adults!E11</f>
        <v>8206</v>
      </c>
      <c r="H10" s="32">
        <f>Children!E11</f>
        <v>21800</v>
      </c>
    </row>
    <row r="11" spans="1:8" s="31" customFormat="1" x14ac:dyDescent="0.2">
      <c r="A11" s="38" t="s">
        <v>9</v>
      </c>
      <c r="B11" s="30">
        <f>TFam!E12</f>
        <v>5053</v>
      </c>
      <c r="C11" s="30">
        <f>'Two-par'!E12</f>
        <v>0</v>
      </c>
      <c r="D11" s="30">
        <f>'One-par'!E12</f>
        <v>1903</v>
      </c>
      <c r="E11" s="30">
        <f>'Zero-par'!E12</f>
        <v>3150</v>
      </c>
      <c r="F11" s="30">
        <f>TRec!E12</f>
        <v>12028</v>
      </c>
      <c r="G11" s="30">
        <f>Adults!E12</f>
        <v>3418</v>
      </c>
      <c r="H11" s="30">
        <f>Children!E12</f>
        <v>8610</v>
      </c>
    </row>
    <row r="12" spans="1:8" s="31" customFormat="1" x14ac:dyDescent="0.2">
      <c r="A12" s="38" t="s">
        <v>10</v>
      </c>
      <c r="B12" s="30">
        <f>TFam!E13</f>
        <v>2615</v>
      </c>
      <c r="C12" s="30">
        <f>'Two-par'!E13</f>
        <v>5</v>
      </c>
      <c r="D12" s="30">
        <f>'One-par'!E13</f>
        <v>689</v>
      </c>
      <c r="E12" s="30">
        <f>'Zero-par'!E13</f>
        <v>1921</v>
      </c>
      <c r="F12" s="30">
        <f>TRec!E13</f>
        <v>7391</v>
      </c>
      <c r="G12" s="30">
        <f>Adults!E13</f>
        <v>2970</v>
      </c>
      <c r="H12" s="30">
        <f>Children!E13</f>
        <v>4421</v>
      </c>
    </row>
    <row r="13" spans="1:8" s="31" customFormat="1" x14ac:dyDescent="0.2">
      <c r="A13" s="38" t="s">
        <v>11</v>
      </c>
      <c r="B13" s="30">
        <f>TFam!E14</f>
        <v>4737</v>
      </c>
      <c r="C13" s="30">
        <f>'Two-par'!E14</f>
        <v>0</v>
      </c>
      <c r="D13" s="30">
        <f>'One-par'!E14</f>
        <v>3363</v>
      </c>
      <c r="E13" s="30">
        <f>'Zero-par'!E14</f>
        <v>1374</v>
      </c>
      <c r="F13" s="30">
        <f>TRec!E14</f>
        <v>15229</v>
      </c>
      <c r="G13" s="30">
        <f>Adults!E14</f>
        <v>3363</v>
      </c>
      <c r="H13" s="30">
        <f>Children!E14</f>
        <v>11866</v>
      </c>
    </row>
    <row r="14" spans="1:8" s="31" customFormat="1" x14ac:dyDescent="0.2">
      <c r="A14" s="38" t="s">
        <v>12</v>
      </c>
      <c r="B14" s="30">
        <f>TFam!E15</f>
        <v>31649</v>
      </c>
      <c r="C14" s="30">
        <f>'Two-par'!E15</f>
        <v>5554</v>
      </c>
      <c r="D14" s="30">
        <f>'One-par'!E15</f>
        <v>7085</v>
      </c>
      <c r="E14" s="30">
        <f>'Zero-par'!E15</f>
        <v>19010</v>
      </c>
      <c r="F14" s="30">
        <f>TRec!E15</f>
        <v>62355</v>
      </c>
      <c r="G14" s="30">
        <f>Adults!E15</f>
        <v>21014</v>
      </c>
      <c r="H14" s="30">
        <f>Children!E15</f>
        <v>41341</v>
      </c>
    </row>
    <row r="15" spans="1:8" s="31" customFormat="1" x14ac:dyDescent="0.2">
      <c r="A15" s="38" t="s">
        <v>13</v>
      </c>
      <c r="B15" s="30">
        <f>TFam!E16</f>
        <v>4281</v>
      </c>
      <c r="C15" s="30">
        <f>'Two-par'!E16</f>
        <v>0</v>
      </c>
      <c r="D15" s="30">
        <f>'One-par'!E16</f>
        <v>180</v>
      </c>
      <c r="E15" s="30">
        <f>'Zero-par'!E16</f>
        <v>4101</v>
      </c>
      <c r="F15" s="30">
        <f>TRec!E16</f>
        <v>7453</v>
      </c>
      <c r="G15" s="30">
        <f>Adults!E16</f>
        <v>181</v>
      </c>
      <c r="H15" s="30">
        <f>Children!E16</f>
        <v>7272</v>
      </c>
    </row>
    <row r="16" spans="1:8" s="31" customFormat="1" x14ac:dyDescent="0.2">
      <c r="A16" s="38" t="s">
        <v>14</v>
      </c>
      <c r="B16" s="32">
        <f>TFam!E17</f>
        <v>159</v>
      </c>
      <c r="C16" s="32">
        <f>'Two-par'!E17</f>
        <v>8</v>
      </c>
      <c r="D16" s="32">
        <f>'One-par'!E17</f>
        <v>45</v>
      </c>
      <c r="E16" s="32">
        <f>'Zero-par'!E17</f>
        <v>106</v>
      </c>
      <c r="F16" s="32">
        <f>TRec!E17</f>
        <v>401</v>
      </c>
      <c r="G16" s="32">
        <f>Adults!E17</f>
        <v>60</v>
      </c>
      <c r="H16" s="32">
        <f>Children!E17</f>
        <v>341</v>
      </c>
    </row>
    <row r="17" spans="1:8" s="31" customFormat="1" x14ac:dyDescent="0.2">
      <c r="A17" s="38" t="s">
        <v>15</v>
      </c>
      <c r="B17" s="30">
        <f>TFam!E18</f>
        <v>3006</v>
      </c>
      <c r="C17" s="30">
        <f>'Two-par'!E18</f>
        <v>475</v>
      </c>
      <c r="D17" s="30">
        <f>'One-par'!E18</f>
        <v>1882</v>
      </c>
      <c r="E17" s="30">
        <f>'Zero-par'!E18</f>
        <v>649</v>
      </c>
      <c r="F17" s="30">
        <f>TRec!E18</f>
        <v>8392</v>
      </c>
      <c r="G17" s="30">
        <f>Adults!E18</f>
        <v>2565</v>
      </c>
      <c r="H17" s="30">
        <f>Children!E18</f>
        <v>5827</v>
      </c>
    </row>
    <row r="18" spans="1:8" s="31" customFormat="1" x14ac:dyDescent="0.2">
      <c r="A18" s="38" t="s">
        <v>16</v>
      </c>
      <c r="B18" s="32">
        <f>TFam!E19</f>
        <v>1505</v>
      </c>
      <c r="C18" s="32">
        <f>'Two-par'!E19</f>
        <v>0</v>
      </c>
      <c r="D18" s="32">
        <f>'One-par'!E19</f>
        <v>24</v>
      </c>
      <c r="E18" s="32">
        <f>'Zero-par'!E19</f>
        <v>1481</v>
      </c>
      <c r="F18" s="32">
        <f>TRec!E19</f>
        <v>2055</v>
      </c>
      <c r="G18" s="32">
        <f>Adults!E19</f>
        <v>21</v>
      </c>
      <c r="H18" s="32">
        <f>Children!E19</f>
        <v>2034</v>
      </c>
    </row>
    <row r="19" spans="1:8" s="31" customFormat="1" x14ac:dyDescent="0.2">
      <c r="A19" s="38" t="s">
        <v>17</v>
      </c>
      <c r="B19" s="30">
        <f>TFam!E20</f>
        <v>9779</v>
      </c>
      <c r="C19" s="30">
        <f>'Two-par'!E20</f>
        <v>0</v>
      </c>
      <c r="D19" s="30">
        <f>'One-par'!E20</f>
        <v>2191</v>
      </c>
      <c r="E19" s="30">
        <f>'Zero-par'!E20</f>
        <v>7588</v>
      </c>
      <c r="F19" s="30">
        <f>TRec!E20</f>
        <v>19991</v>
      </c>
      <c r="G19" s="30">
        <f>Adults!E20</f>
        <v>2429</v>
      </c>
      <c r="H19" s="30">
        <f>Children!E20</f>
        <v>17562</v>
      </c>
    </row>
    <row r="20" spans="1:8" s="31" customFormat="1" x14ac:dyDescent="0.2">
      <c r="A20" s="38" t="s">
        <v>18</v>
      </c>
      <c r="B20" s="30">
        <f>TFam!E21</f>
        <v>5654</v>
      </c>
      <c r="C20" s="30">
        <f>'Two-par'!E21</f>
        <v>949</v>
      </c>
      <c r="D20" s="30">
        <f>'One-par'!E21</f>
        <v>2142</v>
      </c>
      <c r="E20" s="30">
        <f>'Zero-par'!E21</f>
        <v>2563</v>
      </c>
      <c r="F20" s="30">
        <f>TRec!E21</f>
        <v>13538</v>
      </c>
      <c r="G20" s="30">
        <f>Adults!E21</f>
        <v>3542</v>
      </c>
      <c r="H20" s="30">
        <f>Children!E21</f>
        <v>9996</v>
      </c>
    </row>
    <row r="21" spans="1:8" s="31" customFormat="1" x14ac:dyDescent="0.2">
      <c r="A21" s="38" t="s">
        <v>19</v>
      </c>
      <c r="B21" s="30">
        <f>TFam!E22</f>
        <v>4027</v>
      </c>
      <c r="C21" s="30">
        <f>'Two-par'!E22</f>
        <v>195</v>
      </c>
      <c r="D21" s="30">
        <f>'One-par'!E22</f>
        <v>1886</v>
      </c>
      <c r="E21" s="30">
        <f>'Zero-par'!E22</f>
        <v>1946</v>
      </c>
      <c r="F21" s="30">
        <f>TRec!E22</f>
        <v>10021</v>
      </c>
      <c r="G21" s="30">
        <f>Adults!E22</f>
        <v>2303</v>
      </c>
      <c r="H21" s="30">
        <f>Children!E22</f>
        <v>7718</v>
      </c>
    </row>
    <row r="22" spans="1:8" s="31" customFormat="1" x14ac:dyDescent="0.2">
      <c r="A22" s="38" t="s">
        <v>20</v>
      </c>
      <c r="B22" s="32">
        <f>TFam!E23</f>
        <v>2938</v>
      </c>
      <c r="C22" s="32">
        <f>'Two-par'!E23</f>
        <v>234</v>
      </c>
      <c r="D22" s="32">
        <f>'One-par'!E23</f>
        <v>1412</v>
      </c>
      <c r="E22" s="32">
        <f>'Zero-par'!E23</f>
        <v>1292</v>
      </c>
      <c r="F22" s="32">
        <f>TRec!E23</f>
        <v>2938</v>
      </c>
      <c r="G22" s="32">
        <f>Adults!E23</f>
        <v>1466</v>
      </c>
      <c r="H22" s="32">
        <f>Children!E23</f>
        <v>1472</v>
      </c>
    </row>
    <row r="23" spans="1:8" s="31" customFormat="1" x14ac:dyDescent="0.2">
      <c r="A23" s="38" t="s">
        <v>21</v>
      </c>
      <c r="B23" s="32">
        <f>TFam!E24</f>
        <v>13870</v>
      </c>
      <c r="C23" s="32">
        <f>'Two-par'!E24</f>
        <v>791</v>
      </c>
      <c r="D23" s="32">
        <f>'One-par'!E24</f>
        <v>4860</v>
      </c>
      <c r="E23" s="32">
        <f>'Zero-par'!E24</f>
        <v>8219</v>
      </c>
      <c r="F23" s="32">
        <f>TRec!E24</f>
        <v>31216</v>
      </c>
      <c r="G23" s="32">
        <f>Adults!E24</f>
        <v>6615</v>
      </c>
      <c r="H23" s="32">
        <f>Children!E24</f>
        <v>24601</v>
      </c>
    </row>
    <row r="24" spans="1:8" s="31" customFormat="1" x14ac:dyDescent="0.2">
      <c r="A24" s="38" t="s">
        <v>22</v>
      </c>
      <c r="B24" s="32">
        <f>TFam!E25</f>
        <v>4858</v>
      </c>
      <c r="C24" s="32">
        <f>'Two-par'!E25</f>
        <v>0</v>
      </c>
      <c r="D24" s="32">
        <f>'One-par'!E25</f>
        <v>2793</v>
      </c>
      <c r="E24" s="32">
        <f>'Zero-par'!E25</f>
        <v>2065</v>
      </c>
      <c r="F24" s="32">
        <f>TRec!E25</f>
        <v>12683</v>
      </c>
      <c r="G24" s="32">
        <f>Adults!E25</f>
        <v>2445</v>
      </c>
      <c r="H24" s="32">
        <f>Children!E25</f>
        <v>10238</v>
      </c>
    </row>
    <row r="25" spans="1:8" s="31" customFormat="1" x14ac:dyDescent="0.2">
      <c r="A25" s="38" t="s">
        <v>23</v>
      </c>
      <c r="B25" s="30">
        <f>TFam!E26</f>
        <v>3648</v>
      </c>
      <c r="C25" s="30">
        <f>'Two-par'!E26</f>
        <v>481</v>
      </c>
      <c r="D25" s="30">
        <f>'One-par'!E26</f>
        <v>2111</v>
      </c>
      <c r="E25" s="30">
        <f>'Zero-par'!E26</f>
        <v>1056</v>
      </c>
      <c r="F25" s="30">
        <f>TRec!E26</f>
        <v>9385</v>
      </c>
      <c r="G25" s="30">
        <f>Adults!E26</f>
        <v>2973</v>
      </c>
      <c r="H25" s="30">
        <f>Children!E26</f>
        <v>6412</v>
      </c>
    </row>
    <row r="26" spans="1:8" s="31" customFormat="1" x14ac:dyDescent="0.2">
      <c r="A26" s="38" t="s">
        <v>24</v>
      </c>
      <c r="B26" s="30">
        <f>TFam!E27</f>
        <v>11265</v>
      </c>
      <c r="C26" s="30">
        <f>'Two-par'!E27</f>
        <v>0</v>
      </c>
      <c r="D26" s="30">
        <f>'One-par'!E27</f>
        <v>7723</v>
      </c>
      <c r="E26" s="30">
        <f>'Zero-par'!E27</f>
        <v>3542</v>
      </c>
      <c r="F26" s="30">
        <f>TRec!E27</f>
        <v>30633</v>
      </c>
      <c r="G26" s="30">
        <f>Adults!E27</f>
        <v>8298</v>
      </c>
      <c r="H26" s="30">
        <f>Children!E27</f>
        <v>22335</v>
      </c>
    </row>
    <row r="27" spans="1:8" s="31" customFormat="1" x14ac:dyDescent="0.2">
      <c r="A27" s="38" t="s">
        <v>25</v>
      </c>
      <c r="B27" s="30">
        <f>TFam!E28</f>
        <v>36219</v>
      </c>
      <c r="C27" s="30">
        <f>'Two-par'!E28</f>
        <v>2021</v>
      </c>
      <c r="D27" s="30">
        <f>'One-par'!E28</f>
        <v>22192</v>
      </c>
      <c r="E27" s="30">
        <f>'Zero-par'!E28</f>
        <v>12006</v>
      </c>
      <c r="F27" s="30">
        <f>TRec!E28</f>
        <v>85352</v>
      </c>
      <c r="G27" s="30">
        <f>Adults!E28</f>
        <v>25570</v>
      </c>
      <c r="H27" s="30">
        <f>Children!E28</f>
        <v>59782</v>
      </c>
    </row>
    <row r="28" spans="1:8" s="31" customFormat="1" x14ac:dyDescent="0.2">
      <c r="A28" s="38" t="s">
        <v>26</v>
      </c>
      <c r="B28" s="32">
        <f>TFam!E29</f>
        <v>8169</v>
      </c>
      <c r="C28" s="32">
        <f>'Two-par'!E29</f>
        <v>0</v>
      </c>
      <c r="D28" s="32">
        <f>'One-par'!E29</f>
        <v>4035</v>
      </c>
      <c r="E28" s="32">
        <f>'Zero-par'!E29</f>
        <v>4134</v>
      </c>
      <c r="F28" s="32">
        <f>TRec!E29</f>
        <v>21831</v>
      </c>
      <c r="G28" s="32">
        <f>Adults!E29</f>
        <v>4742</v>
      </c>
      <c r="H28" s="32">
        <f>Children!E29</f>
        <v>17089</v>
      </c>
    </row>
    <row r="29" spans="1:8" s="31" customFormat="1" x14ac:dyDescent="0.2">
      <c r="A29" s="38" t="s">
        <v>27</v>
      </c>
      <c r="B29" s="30">
        <f>TFam!E30</f>
        <v>13510</v>
      </c>
      <c r="C29" s="30">
        <f>'Two-par'!E30</f>
        <v>0</v>
      </c>
      <c r="D29" s="30">
        <f>'One-par'!E30</f>
        <v>7920</v>
      </c>
      <c r="E29" s="30">
        <f>'Zero-par'!E30</f>
        <v>5590</v>
      </c>
      <c r="F29" s="30">
        <f>TRec!E30</f>
        <v>31598</v>
      </c>
      <c r="G29" s="30">
        <f>Adults!E30</f>
        <v>7897</v>
      </c>
      <c r="H29" s="30">
        <f>Children!E30</f>
        <v>23701</v>
      </c>
    </row>
    <row r="30" spans="1:8" s="31" customFormat="1" x14ac:dyDescent="0.2">
      <c r="A30" s="38" t="s">
        <v>28</v>
      </c>
      <c r="B30" s="32">
        <f>TFam!E31</f>
        <v>1494</v>
      </c>
      <c r="C30" s="32">
        <f>'Two-par'!E31</f>
        <v>0</v>
      </c>
      <c r="D30" s="32">
        <f>'One-par'!E31</f>
        <v>321</v>
      </c>
      <c r="E30" s="32">
        <f>'Zero-par'!E31</f>
        <v>1173</v>
      </c>
      <c r="F30" s="32">
        <f>TRec!E31</f>
        <v>2683</v>
      </c>
      <c r="G30" s="32">
        <f>Adults!E31</f>
        <v>324</v>
      </c>
      <c r="H30" s="32">
        <f>Children!E31</f>
        <v>2359</v>
      </c>
    </row>
    <row r="31" spans="1:8" s="31" customFormat="1" x14ac:dyDescent="0.2">
      <c r="A31" s="38" t="s">
        <v>29</v>
      </c>
      <c r="B31" s="30">
        <f>TFam!E32</f>
        <v>4851</v>
      </c>
      <c r="C31" s="30">
        <f>'Two-par'!E32</f>
        <v>0</v>
      </c>
      <c r="D31" s="30">
        <f>'One-par'!E32</f>
        <v>2704</v>
      </c>
      <c r="E31" s="30">
        <f>'Zero-par'!E32</f>
        <v>2147</v>
      </c>
      <c r="F31" s="30">
        <f>TRec!E32</f>
        <v>11249</v>
      </c>
      <c r="G31" s="30">
        <f>Adults!E32</f>
        <v>2380</v>
      </c>
      <c r="H31" s="30">
        <f>Children!E32</f>
        <v>8869</v>
      </c>
    </row>
    <row r="32" spans="1:8" s="31" customFormat="1" x14ac:dyDescent="0.2">
      <c r="A32" s="38" t="s">
        <v>30</v>
      </c>
      <c r="B32" s="32">
        <f>TFam!E33</f>
        <v>1607</v>
      </c>
      <c r="C32" s="32">
        <f>'Two-par'!E33</f>
        <v>82</v>
      </c>
      <c r="D32" s="32">
        <f>'One-par'!E33</f>
        <v>638</v>
      </c>
      <c r="E32" s="32">
        <f>'Zero-par'!E33</f>
        <v>887</v>
      </c>
      <c r="F32" s="32">
        <f>TRec!E33</f>
        <v>3610</v>
      </c>
      <c r="G32" s="32">
        <f>Adults!E33</f>
        <v>645</v>
      </c>
      <c r="H32" s="32">
        <f>Children!E33</f>
        <v>2965</v>
      </c>
    </row>
    <row r="33" spans="1:8" s="31" customFormat="1" x14ac:dyDescent="0.2">
      <c r="A33" s="38" t="s">
        <v>31</v>
      </c>
      <c r="B33" s="30">
        <f>TFam!E34</f>
        <v>2614</v>
      </c>
      <c r="C33" s="30">
        <f>'Two-par'!E34</f>
        <v>0</v>
      </c>
      <c r="D33" s="30">
        <f>'One-par'!E34</f>
        <v>733</v>
      </c>
      <c r="E33" s="30">
        <f>'Zero-par'!E34</f>
        <v>1881</v>
      </c>
      <c r="F33" s="30">
        <f>TRec!E34</f>
        <v>5993</v>
      </c>
      <c r="G33" s="30">
        <f>Adults!E34</f>
        <v>714</v>
      </c>
      <c r="H33" s="30">
        <f>Children!E34</f>
        <v>5279</v>
      </c>
    </row>
    <row r="34" spans="1:8" s="31" customFormat="1" x14ac:dyDescent="0.2">
      <c r="A34" s="38" t="s">
        <v>32</v>
      </c>
      <c r="B34" s="30">
        <f>TFam!E35</f>
        <v>5467</v>
      </c>
      <c r="C34" s="30">
        <f>'Two-par'!E35</f>
        <v>452</v>
      </c>
      <c r="D34" s="30">
        <f>'One-par'!E35</f>
        <v>2321</v>
      </c>
      <c r="E34" s="30">
        <f>'Zero-par'!E35</f>
        <v>2694</v>
      </c>
      <c r="F34" s="30">
        <f>TRec!E35</f>
        <v>13774</v>
      </c>
      <c r="G34" s="30">
        <f>Adults!E35</f>
        <v>3457</v>
      </c>
      <c r="H34" s="30">
        <f>Children!E35</f>
        <v>10317</v>
      </c>
    </row>
    <row r="35" spans="1:8" s="31" customFormat="1" x14ac:dyDescent="0.2">
      <c r="A35" s="38" t="s">
        <v>33</v>
      </c>
      <c r="B35" s="30">
        <f>TFam!E36</f>
        <v>2483</v>
      </c>
      <c r="C35" s="30">
        <f>'Two-par'!E36</f>
        <v>2</v>
      </c>
      <c r="D35" s="30">
        <f>'One-par'!E36</f>
        <v>982</v>
      </c>
      <c r="E35" s="30">
        <f>'Zero-par'!E36</f>
        <v>1499</v>
      </c>
      <c r="F35" s="30">
        <f>TRec!E36</f>
        <v>5061</v>
      </c>
      <c r="G35" s="30">
        <f>Adults!E36</f>
        <v>1022</v>
      </c>
      <c r="H35" s="30">
        <f>Children!E36</f>
        <v>4039</v>
      </c>
    </row>
    <row r="36" spans="1:8" s="31" customFormat="1" x14ac:dyDescent="0.2">
      <c r="A36" s="38" t="s">
        <v>34</v>
      </c>
      <c r="B36" s="30">
        <f>TFam!E37</f>
        <v>9499</v>
      </c>
      <c r="C36" s="30">
        <f>'Two-par'!E37</f>
        <v>68</v>
      </c>
      <c r="D36" s="30">
        <f>'One-par'!E37</f>
        <v>7196</v>
      </c>
      <c r="E36" s="30">
        <f>'Zero-par'!E37</f>
        <v>2235</v>
      </c>
      <c r="F36" s="30">
        <f>TRec!E37</f>
        <v>23070</v>
      </c>
      <c r="G36" s="30">
        <f>Adults!E37</f>
        <v>6815</v>
      </c>
      <c r="H36" s="30">
        <f>Children!E37</f>
        <v>16255</v>
      </c>
    </row>
    <row r="37" spans="1:8" s="31" customFormat="1" x14ac:dyDescent="0.2">
      <c r="A37" s="38" t="s">
        <v>35</v>
      </c>
      <c r="B37" s="32">
        <f>TFam!E38</f>
        <v>6483</v>
      </c>
      <c r="C37" s="32">
        <f>'Two-par'!E38</f>
        <v>389</v>
      </c>
      <c r="D37" s="32">
        <f>'One-par'!E38</f>
        <v>3003</v>
      </c>
      <c r="E37" s="32">
        <f>'Zero-par'!E38</f>
        <v>3091</v>
      </c>
      <c r="F37" s="32">
        <f>TRec!E38</f>
        <v>15900</v>
      </c>
      <c r="G37" s="32">
        <f>Adults!E38</f>
        <v>3781</v>
      </c>
      <c r="H37" s="32">
        <f>Children!E38</f>
        <v>12119</v>
      </c>
    </row>
    <row r="38" spans="1:8" s="31" customFormat="1" x14ac:dyDescent="0.2">
      <c r="A38" s="38" t="s">
        <v>36</v>
      </c>
      <c r="B38" s="30">
        <f>TFam!E39</f>
        <v>124828</v>
      </c>
      <c r="C38" s="30">
        <f>'Two-par'!E39</f>
        <v>1542</v>
      </c>
      <c r="D38" s="30">
        <f>'One-par'!E39</f>
        <v>91863</v>
      </c>
      <c r="E38" s="30">
        <f>'Zero-par'!E39</f>
        <v>31423</v>
      </c>
      <c r="F38" s="30">
        <f>TRec!E39</f>
        <v>324636</v>
      </c>
      <c r="G38" s="30">
        <f>Adults!E39</f>
        <v>115124</v>
      </c>
      <c r="H38" s="30">
        <f>Children!E39</f>
        <v>209512</v>
      </c>
    </row>
    <row r="39" spans="1:8" s="31" customFormat="1" x14ac:dyDescent="0.2">
      <c r="A39" s="38" t="s">
        <v>37</v>
      </c>
      <c r="B39" s="32">
        <f>TFam!E40</f>
        <v>7018</v>
      </c>
      <c r="C39" s="32">
        <f>'Two-par'!E40</f>
        <v>64</v>
      </c>
      <c r="D39" s="32">
        <f>'One-par'!E40</f>
        <v>807</v>
      </c>
      <c r="E39" s="32">
        <f>'Zero-par'!E40</f>
        <v>6147</v>
      </c>
      <c r="F39" s="32">
        <f>TRec!E40</f>
        <v>12532</v>
      </c>
      <c r="G39" s="32">
        <f>Adults!E40</f>
        <v>1234</v>
      </c>
      <c r="H39" s="32">
        <f>Children!E40</f>
        <v>11298</v>
      </c>
    </row>
    <row r="40" spans="1:8" s="31" customFormat="1" x14ac:dyDescent="0.2">
      <c r="A40" s="38" t="s">
        <v>38</v>
      </c>
      <c r="B40" s="32">
        <f>TFam!E41</f>
        <v>610</v>
      </c>
      <c r="C40" s="32">
        <f>'Two-par'!E41</f>
        <v>0</v>
      </c>
      <c r="D40" s="32">
        <f>'One-par'!E41</f>
        <v>312</v>
      </c>
      <c r="E40" s="32">
        <f>'Zero-par'!E41</f>
        <v>298</v>
      </c>
      <c r="F40" s="32">
        <f>TRec!E41</f>
        <v>1529</v>
      </c>
      <c r="G40" s="32">
        <f>Adults!E41</f>
        <v>255</v>
      </c>
      <c r="H40" s="32">
        <f>Children!E41</f>
        <v>1274</v>
      </c>
    </row>
    <row r="41" spans="1:8" s="31" customFormat="1" x14ac:dyDescent="0.2">
      <c r="A41" s="38" t="s">
        <v>39</v>
      </c>
      <c r="B41" s="32">
        <f>TFam!E42</f>
        <v>39356</v>
      </c>
      <c r="C41" s="32">
        <f>'Two-par'!E42</f>
        <v>846</v>
      </c>
      <c r="D41" s="32">
        <f>'One-par'!E42</f>
        <v>4843</v>
      </c>
      <c r="E41" s="32">
        <f>'Zero-par'!E42</f>
        <v>33667</v>
      </c>
      <c r="F41" s="32">
        <f>TRec!E42</f>
        <v>70155</v>
      </c>
      <c r="G41" s="32">
        <f>Adults!E42</f>
        <v>7012</v>
      </c>
      <c r="H41" s="32">
        <f>Children!E42</f>
        <v>63143</v>
      </c>
    </row>
    <row r="42" spans="1:8" s="31" customFormat="1" x14ac:dyDescent="0.2">
      <c r="A42" s="38" t="s">
        <v>40</v>
      </c>
      <c r="B42" s="32">
        <f>TFam!E43</f>
        <v>3539</v>
      </c>
      <c r="C42" s="32">
        <f>'Two-par'!E43</f>
        <v>0</v>
      </c>
      <c r="D42" s="32">
        <f>'One-par'!E43</f>
        <v>785</v>
      </c>
      <c r="E42" s="32">
        <f>'Zero-par'!E43</f>
        <v>2754</v>
      </c>
      <c r="F42" s="32">
        <f>TRec!E43</f>
        <v>7472</v>
      </c>
      <c r="G42" s="32">
        <f>Adults!E43</f>
        <v>785</v>
      </c>
      <c r="H42" s="32">
        <f>Children!E43</f>
        <v>6687</v>
      </c>
    </row>
    <row r="43" spans="1:8" s="31" customFormat="1" x14ac:dyDescent="0.2">
      <c r="A43" s="38" t="s">
        <v>41</v>
      </c>
      <c r="B43" s="32">
        <f>TFam!E44</f>
        <v>18041</v>
      </c>
      <c r="C43" s="32">
        <f>'Two-par'!E44</f>
        <v>0</v>
      </c>
      <c r="D43" s="32">
        <f>'One-par'!E44</f>
        <v>12132</v>
      </c>
      <c r="E43" s="32">
        <f>'Zero-par'!E44</f>
        <v>5909</v>
      </c>
      <c r="F43" s="32">
        <f>TRec!E44</f>
        <v>41666</v>
      </c>
      <c r="G43" s="32">
        <f>Adults!E44</f>
        <v>12287</v>
      </c>
      <c r="H43" s="32">
        <f>Children!E44</f>
        <v>29379</v>
      </c>
    </row>
    <row r="44" spans="1:8" s="31" customFormat="1" x14ac:dyDescent="0.2">
      <c r="A44" s="38" t="s">
        <v>42</v>
      </c>
      <c r="B44" s="32">
        <f>TFam!E45</f>
        <v>25188</v>
      </c>
      <c r="C44" s="32">
        <f>'Two-par'!E45</f>
        <v>348</v>
      </c>
      <c r="D44" s="32">
        <f>'One-par'!E45</f>
        <v>15939</v>
      </c>
      <c r="E44" s="32">
        <f>'Zero-par'!E45</f>
        <v>8901</v>
      </c>
      <c r="F44" s="32">
        <f>TRec!E45</f>
        <v>62735</v>
      </c>
      <c r="G44" s="32">
        <f>Adults!E45</f>
        <v>15335</v>
      </c>
      <c r="H44" s="32">
        <f>Children!E45</f>
        <v>47400</v>
      </c>
    </row>
    <row r="45" spans="1:8" s="31" customFormat="1" x14ac:dyDescent="0.2">
      <c r="A45" s="38" t="s">
        <v>43</v>
      </c>
      <c r="B45" s="32">
        <f>TFam!E46</f>
        <v>2477</v>
      </c>
      <c r="C45" s="32">
        <f>'Two-par'!E46</f>
        <v>123</v>
      </c>
      <c r="D45" s="32">
        <f>'One-par'!E46</f>
        <v>2197</v>
      </c>
      <c r="E45" s="32">
        <f>'Zero-par'!E46</f>
        <v>157</v>
      </c>
      <c r="F45" s="32">
        <f>TRec!E46</f>
        <v>6856</v>
      </c>
      <c r="G45" s="32">
        <f>Adults!E46</f>
        <v>2573</v>
      </c>
      <c r="H45" s="32">
        <f>Children!E46</f>
        <v>4283</v>
      </c>
    </row>
    <row r="46" spans="1:8" s="31" customFormat="1" x14ac:dyDescent="0.2">
      <c r="A46" s="38" t="s">
        <v>44</v>
      </c>
      <c r="B46" s="30">
        <f>TFam!E47</f>
        <v>3288</v>
      </c>
      <c r="C46" s="30">
        <f>'Two-par'!E47</f>
        <v>213</v>
      </c>
      <c r="D46" s="30">
        <f>'One-par'!E47</f>
        <v>2479</v>
      </c>
      <c r="E46" s="30">
        <f>'Zero-par'!E47</f>
        <v>596</v>
      </c>
      <c r="F46" s="30">
        <f>TRec!E47</f>
        <v>8529</v>
      </c>
      <c r="G46" s="30">
        <f>Adults!E47</f>
        <v>2545</v>
      </c>
      <c r="H46" s="30">
        <f>Children!E47</f>
        <v>5984</v>
      </c>
    </row>
    <row r="47" spans="1:8" s="31" customFormat="1" x14ac:dyDescent="0.2">
      <c r="A47" s="38" t="s">
        <v>45</v>
      </c>
      <c r="B47" s="30">
        <f>TFam!E48</f>
        <v>5591</v>
      </c>
      <c r="C47" s="30">
        <f>'Two-par'!E48</f>
        <v>0</v>
      </c>
      <c r="D47" s="30">
        <f>'One-par'!E48</f>
        <v>2461</v>
      </c>
      <c r="E47" s="30">
        <f>'Zero-par'!E48</f>
        <v>3130</v>
      </c>
      <c r="F47" s="30">
        <f>TRec!E48</f>
        <v>12850</v>
      </c>
      <c r="G47" s="30">
        <f>Adults!E48</f>
        <v>2461</v>
      </c>
      <c r="H47" s="30">
        <f>Children!E48</f>
        <v>10389</v>
      </c>
    </row>
    <row r="48" spans="1:8" s="31" customFormat="1" x14ac:dyDescent="0.2">
      <c r="A48" s="38" t="s">
        <v>46</v>
      </c>
      <c r="B48" s="32">
        <f>TFam!E49</f>
        <v>2434</v>
      </c>
      <c r="C48" s="32">
        <f>'Two-par'!E49</f>
        <v>0</v>
      </c>
      <c r="D48" s="32">
        <f>'One-par'!E49</f>
        <v>346</v>
      </c>
      <c r="E48" s="32">
        <f>'Zero-par'!E49</f>
        <v>2088</v>
      </c>
      <c r="F48" s="32">
        <f>TRec!E49</f>
        <v>4822</v>
      </c>
      <c r="G48" s="32">
        <f>Adults!E49</f>
        <v>346</v>
      </c>
      <c r="H48" s="32">
        <f>Children!E49</f>
        <v>4476</v>
      </c>
    </row>
    <row r="49" spans="1:18" s="31" customFormat="1" x14ac:dyDescent="0.2">
      <c r="A49" s="38" t="s">
        <v>47</v>
      </c>
      <c r="B49" s="30">
        <f>TFam!E50</f>
        <v>10289</v>
      </c>
      <c r="C49" s="30">
        <f>'Two-par'!E50</f>
        <v>136</v>
      </c>
      <c r="D49" s="30">
        <f>'One-par'!E50</f>
        <v>2459</v>
      </c>
      <c r="E49" s="30">
        <f>'Zero-par'!E50</f>
        <v>7694</v>
      </c>
      <c r="F49" s="30">
        <f>TRec!E50</f>
        <v>22415</v>
      </c>
      <c r="G49" s="30">
        <f>Adults!E50</f>
        <v>4668</v>
      </c>
      <c r="H49" s="30">
        <f>Children!E50</f>
        <v>17747</v>
      </c>
    </row>
    <row r="50" spans="1:18" s="31" customFormat="1" x14ac:dyDescent="0.2">
      <c r="A50" s="38" t="s">
        <v>48</v>
      </c>
      <c r="B50" s="30">
        <f>TFam!E51</f>
        <v>9241</v>
      </c>
      <c r="C50" s="30">
        <f>'Two-par'!E51</f>
        <v>0</v>
      </c>
      <c r="D50" s="30">
        <f>'One-par'!E51</f>
        <v>2471</v>
      </c>
      <c r="E50" s="30">
        <f>'Zero-par'!E51</f>
        <v>6770</v>
      </c>
      <c r="F50" s="30">
        <f>TRec!E51</f>
        <v>18482</v>
      </c>
      <c r="G50" s="30">
        <f>Adults!E51</f>
        <v>2471</v>
      </c>
      <c r="H50" s="30">
        <f>Children!E51</f>
        <v>16011</v>
      </c>
    </row>
    <row r="51" spans="1:18" s="31" customFormat="1" x14ac:dyDescent="0.2">
      <c r="A51" s="38" t="s">
        <v>49</v>
      </c>
      <c r="B51" s="30">
        <f>TFam!E52</f>
        <v>1869</v>
      </c>
      <c r="C51" s="30">
        <f>'Two-par'!E52</f>
        <v>0</v>
      </c>
      <c r="D51" s="30">
        <f>'One-par'!E52</f>
        <v>783</v>
      </c>
      <c r="E51" s="30">
        <f>'Zero-par'!E52</f>
        <v>1086</v>
      </c>
      <c r="F51" s="30">
        <f>TRec!E52</f>
        <v>4295</v>
      </c>
      <c r="G51" s="30">
        <f>Adults!E52</f>
        <v>1113</v>
      </c>
      <c r="H51" s="30">
        <f>Children!E52</f>
        <v>3182</v>
      </c>
    </row>
    <row r="52" spans="1:18" s="31" customFormat="1" x14ac:dyDescent="0.2">
      <c r="A52" s="38" t="s">
        <v>50</v>
      </c>
      <c r="B52" s="30">
        <f>TFam!E53</f>
        <v>1648</v>
      </c>
      <c r="C52" s="30">
        <f>'Two-par'!E53</f>
        <v>107</v>
      </c>
      <c r="D52" s="30">
        <f>'One-par'!E53</f>
        <v>594</v>
      </c>
      <c r="E52" s="30">
        <f>'Zero-par'!E53</f>
        <v>947</v>
      </c>
      <c r="F52" s="30">
        <f>TRec!E53</f>
        <v>3447</v>
      </c>
      <c r="G52" s="30">
        <f>Adults!E53</f>
        <v>812</v>
      </c>
      <c r="H52" s="30">
        <f>Children!E53</f>
        <v>2635</v>
      </c>
    </row>
    <row r="53" spans="1:18" s="31" customFormat="1" x14ac:dyDescent="0.2">
      <c r="A53" s="38" t="s">
        <v>51</v>
      </c>
      <c r="B53" s="32">
        <f>TFam!E54</f>
        <v>56</v>
      </c>
      <c r="C53" s="32">
        <f>'Two-par'!E54</f>
        <v>0</v>
      </c>
      <c r="D53" s="32">
        <f>'One-par'!E54</f>
        <v>46</v>
      </c>
      <c r="E53" s="32">
        <f>'Zero-par'!E54</f>
        <v>10</v>
      </c>
      <c r="F53" s="32">
        <f>TRec!E54</f>
        <v>196</v>
      </c>
      <c r="G53" s="32">
        <f>Adults!E54</f>
        <v>56</v>
      </c>
      <c r="H53" s="32">
        <f>Children!E54</f>
        <v>140</v>
      </c>
    </row>
    <row r="54" spans="1:18" s="31" customFormat="1" x14ac:dyDescent="0.2">
      <c r="A54" s="38" t="s">
        <v>52</v>
      </c>
      <c r="B54" s="30">
        <f>TFam!E55</f>
        <v>13227</v>
      </c>
      <c r="C54" s="30">
        <f>'Two-par'!E55</f>
        <v>0</v>
      </c>
      <c r="D54" s="30">
        <f>'One-par'!E55</f>
        <v>6877</v>
      </c>
      <c r="E54" s="30">
        <f>'Zero-par'!E55</f>
        <v>6350</v>
      </c>
      <c r="F54" s="30">
        <f>TRec!E55</f>
        <v>29837</v>
      </c>
      <c r="G54" s="30">
        <f>Adults!E55</f>
        <v>6798</v>
      </c>
      <c r="H54" s="30">
        <f>Children!E55</f>
        <v>23039</v>
      </c>
    </row>
    <row r="55" spans="1:18" s="31" customFormat="1" x14ac:dyDescent="0.2">
      <c r="A55" s="38" t="s">
        <v>53</v>
      </c>
      <c r="B55" s="30">
        <f>TFam!E56</f>
        <v>32619</v>
      </c>
      <c r="C55" s="30">
        <f>'Two-par'!E56</f>
        <v>4266</v>
      </c>
      <c r="D55" s="30">
        <f>'One-par'!E56</f>
        <v>17724</v>
      </c>
      <c r="E55" s="30">
        <f>'Zero-par'!E56</f>
        <v>10629</v>
      </c>
      <c r="F55" s="30">
        <f>TRec!E56</f>
        <v>82043</v>
      </c>
      <c r="G55" s="30">
        <f>Adults!E56</f>
        <v>26738</v>
      </c>
      <c r="H55" s="30">
        <f>Children!E56</f>
        <v>55305</v>
      </c>
    </row>
    <row r="56" spans="1:18" s="31" customFormat="1" x14ac:dyDescent="0.2">
      <c r="A56" s="38" t="s">
        <v>54</v>
      </c>
      <c r="B56" s="32">
        <f>TFam!E57</f>
        <v>4856</v>
      </c>
      <c r="C56" s="32">
        <f>'Two-par'!E57</f>
        <v>0</v>
      </c>
      <c r="D56" s="32">
        <f>'One-par'!E57</f>
        <v>1183</v>
      </c>
      <c r="E56" s="32">
        <f>'Zero-par'!E57</f>
        <v>3673</v>
      </c>
      <c r="F56" s="32">
        <f>TRec!E57</f>
        <v>9466</v>
      </c>
      <c r="G56" s="32">
        <f>Adults!E57</f>
        <v>1547</v>
      </c>
      <c r="H56" s="32">
        <f>Children!E57</f>
        <v>7919</v>
      </c>
    </row>
    <row r="57" spans="1:18" s="31" customFormat="1" x14ac:dyDescent="0.2">
      <c r="A57" s="38" t="s">
        <v>55</v>
      </c>
      <c r="B57" s="30">
        <f>TFam!E58</f>
        <v>11336</v>
      </c>
      <c r="C57" s="30">
        <f>'Two-par'!E58</f>
        <v>79</v>
      </c>
      <c r="D57" s="30">
        <f>'One-par'!E58</f>
        <v>3058</v>
      </c>
      <c r="E57" s="30">
        <f>'Zero-par'!E58</f>
        <v>8199</v>
      </c>
      <c r="F57" s="30">
        <f>TRec!E58</f>
        <v>23651</v>
      </c>
      <c r="G57" s="30">
        <f>Adults!E58</f>
        <v>3429</v>
      </c>
      <c r="H57" s="30">
        <f>Children!E58</f>
        <v>20222</v>
      </c>
    </row>
    <row r="58" spans="1:18" s="31" customFormat="1" x14ac:dyDescent="0.2">
      <c r="A58" s="39" t="s">
        <v>56</v>
      </c>
      <c r="B58" s="33">
        <f>TFam!E59</f>
        <v>483</v>
      </c>
      <c r="C58" s="33">
        <f>'Two-par'!E59</f>
        <v>13</v>
      </c>
      <c r="D58" s="33">
        <f>'One-par'!E59</f>
        <v>256</v>
      </c>
      <c r="E58" s="33">
        <f>'Zero-par'!E59</f>
        <v>214</v>
      </c>
      <c r="F58" s="33">
        <f>TRec!E59</f>
        <v>1191</v>
      </c>
      <c r="G58" s="33">
        <f>Adults!E59</f>
        <v>282</v>
      </c>
      <c r="H58" s="33">
        <f>Children!E59</f>
        <v>909</v>
      </c>
    </row>
    <row r="59" spans="1:18" x14ac:dyDescent="0.2">
      <c r="A59" s="82">
        <f>TFam!$A$3</f>
        <v>45687</v>
      </c>
      <c r="B59" s="72"/>
      <c r="C59" s="72"/>
      <c r="D59" s="72"/>
      <c r="E59" s="72"/>
      <c r="F59" s="72"/>
      <c r="G59" s="72"/>
      <c r="H59" s="72"/>
      <c r="I59" s="58"/>
      <c r="J59" s="58"/>
      <c r="K59" s="58"/>
      <c r="L59" s="58"/>
      <c r="M59" s="58"/>
      <c r="N59" s="58"/>
      <c r="O59" s="58"/>
      <c r="P59" s="58"/>
      <c r="Q59" s="58"/>
      <c r="R59" s="58"/>
    </row>
    <row r="60" spans="1:18" x14ac:dyDescent="0.2">
      <c r="A60" s="73" t="str">
        <f>'Oct23'!A60</f>
        <v xml:space="preserve">    </v>
      </c>
      <c r="B60" s="73"/>
      <c r="C60" s="73"/>
      <c r="D60" s="73"/>
      <c r="E60" s="73"/>
      <c r="F60" s="73"/>
      <c r="G60" s="73"/>
      <c r="H60" s="73"/>
    </row>
    <row r="61" spans="1:18" x14ac:dyDescent="0.2">
      <c r="A61" s="73" t="str">
        <f>'Oct23'!A61</f>
        <v xml:space="preserve">Notes: </v>
      </c>
      <c r="B61" s="73"/>
      <c r="C61" s="73"/>
      <c r="D61" s="73"/>
      <c r="E61" s="73"/>
      <c r="F61" s="73"/>
      <c r="G61" s="73"/>
      <c r="H61" s="73"/>
    </row>
    <row r="62" spans="1:18" x14ac:dyDescent="0.2">
      <c r="A62" s="73" t="str">
        <f>'Oct23'!A62</f>
        <v>"-" - data inapplicable</v>
      </c>
      <c r="B62" s="73"/>
      <c r="C62" s="73"/>
      <c r="D62" s="73"/>
      <c r="E62" s="73"/>
      <c r="F62" s="73"/>
      <c r="G62" s="73"/>
      <c r="H62" s="73"/>
    </row>
    <row r="63" spans="1:18" x14ac:dyDescent="0.2">
      <c r="A63" s="40"/>
      <c r="E63" s="36"/>
      <c r="G63" s="37"/>
      <c r="H63" s="37"/>
    </row>
    <row r="64" spans="1:18" x14ac:dyDescent="0.2">
      <c r="A64" s="40"/>
      <c r="E64" s="36"/>
      <c r="G64" s="37"/>
      <c r="H64" s="37"/>
    </row>
    <row r="65" spans="1:8" x14ac:dyDescent="0.2">
      <c r="A65" s="40"/>
      <c r="E65" s="36"/>
      <c r="G65" s="37"/>
      <c r="H65" s="37"/>
    </row>
    <row r="66" spans="1:8" x14ac:dyDescent="0.2">
      <c r="A66" s="40"/>
      <c r="G66" s="37"/>
      <c r="H66" s="37"/>
    </row>
    <row r="67" spans="1:8" x14ac:dyDescent="0.2">
      <c r="A67" s="40"/>
      <c r="G67" s="37"/>
      <c r="H67" s="37"/>
    </row>
    <row r="68" spans="1:8" x14ac:dyDescent="0.2">
      <c r="A68" s="40"/>
      <c r="G68" s="37"/>
      <c r="H68" s="37"/>
    </row>
    <row r="69" spans="1:8" x14ac:dyDescent="0.2">
      <c r="A69" s="40"/>
      <c r="G69" s="37"/>
      <c r="H69" s="37"/>
    </row>
    <row r="70" spans="1:8" x14ac:dyDescent="0.2">
      <c r="A70" s="40"/>
      <c r="G70" s="37"/>
      <c r="H70" s="37"/>
    </row>
    <row r="71" spans="1:8" x14ac:dyDescent="0.2">
      <c r="A71" s="40"/>
      <c r="G71" s="37"/>
      <c r="H71" s="37"/>
    </row>
    <row r="72" spans="1:8" x14ac:dyDescent="0.2">
      <c r="A72" s="40"/>
      <c r="G72" s="37"/>
      <c r="H72" s="37"/>
    </row>
    <row r="73" spans="1:8" x14ac:dyDescent="0.2">
      <c r="A73" s="40"/>
      <c r="G73" s="37"/>
      <c r="H73" s="37"/>
    </row>
    <row r="74" spans="1:8" x14ac:dyDescent="0.2">
      <c r="A74" s="40"/>
      <c r="G74" s="37"/>
      <c r="H74" s="37"/>
    </row>
    <row r="75" spans="1:8" x14ac:dyDescent="0.2">
      <c r="A75" s="40"/>
      <c r="G75" s="37"/>
      <c r="H75" s="37"/>
    </row>
    <row r="76" spans="1:8" x14ac:dyDescent="0.2">
      <c r="A76" s="40"/>
      <c r="G76" s="37"/>
      <c r="H76" s="37"/>
    </row>
    <row r="77" spans="1:8" x14ac:dyDescent="0.2">
      <c r="A77" s="40"/>
      <c r="G77" s="37"/>
      <c r="H77" s="37"/>
    </row>
    <row r="78" spans="1:8" x14ac:dyDescent="0.2">
      <c r="A78" s="40"/>
      <c r="G78" s="37"/>
      <c r="H78" s="37"/>
    </row>
    <row r="79" spans="1:8" x14ac:dyDescent="0.2">
      <c r="A79" s="40"/>
      <c r="G79" s="37"/>
      <c r="H79" s="37"/>
    </row>
    <row r="80" spans="1:8" x14ac:dyDescent="0.2">
      <c r="A80" s="40"/>
      <c r="G80" s="37"/>
      <c r="H80" s="37"/>
    </row>
    <row r="81" spans="1:8" x14ac:dyDescent="0.2">
      <c r="A81" s="40"/>
      <c r="G81" s="37"/>
      <c r="H81" s="37"/>
    </row>
    <row r="82" spans="1:8" x14ac:dyDescent="0.2">
      <c r="A82" s="40"/>
      <c r="G82" s="37"/>
      <c r="H82" s="37"/>
    </row>
    <row r="83" spans="1:8" x14ac:dyDescent="0.2">
      <c r="A83" s="40"/>
      <c r="G83" s="37"/>
      <c r="H83" s="37"/>
    </row>
    <row r="84" spans="1:8" x14ac:dyDescent="0.2">
      <c r="A84" s="40"/>
      <c r="G84" s="37"/>
      <c r="H84" s="37"/>
    </row>
    <row r="85" spans="1:8" x14ac:dyDescent="0.2">
      <c r="A85" s="40"/>
      <c r="G85" s="37"/>
      <c r="H85" s="37"/>
    </row>
    <row r="86" spans="1:8" x14ac:dyDescent="0.2">
      <c r="A86" s="40"/>
      <c r="G86" s="37"/>
      <c r="H86" s="37"/>
    </row>
    <row r="87" spans="1:8" x14ac:dyDescent="0.2">
      <c r="A87" s="40"/>
      <c r="G87" s="37"/>
      <c r="H87" s="37"/>
    </row>
    <row r="88" spans="1:8" x14ac:dyDescent="0.2">
      <c r="A88" s="40"/>
      <c r="G88" s="37"/>
      <c r="H88" s="37"/>
    </row>
    <row r="89" spans="1:8" x14ac:dyDescent="0.2">
      <c r="A89" s="40"/>
      <c r="G89" s="37"/>
      <c r="H89" s="37"/>
    </row>
    <row r="90" spans="1:8" x14ac:dyDescent="0.2">
      <c r="A90" s="40"/>
      <c r="G90" s="37"/>
      <c r="H90" s="37"/>
    </row>
    <row r="91" spans="1:8" x14ac:dyDescent="0.2">
      <c r="A91" s="40"/>
      <c r="G91" s="37"/>
      <c r="H91" s="37"/>
    </row>
    <row r="92" spans="1:8" x14ac:dyDescent="0.2">
      <c r="A92" s="40"/>
      <c r="G92" s="37"/>
      <c r="H92" s="37"/>
    </row>
    <row r="93" spans="1:8" x14ac:dyDescent="0.2">
      <c r="A93" s="40"/>
      <c r="G93" s="37"/>
    </row>
    <row r="94" spans="1:8" x14ac:dyDescent="0.2">
      <c r="A94" s="40"/>
      <c r="G94" s="37"/>
    </row>
    <row r="95" spans="1:8" x14ac:dyDescent="0.2">
      <c r="A95" s="40"/>
      <c r="G95" s="37"/>
    </row>
    <row r="96" spans="1:8" x14ac:dyDescent="0.2">
      <c r="A96" s="40"/>
      <c r="G96" s="37"/>
    </row>
    <row r="97" spans="1:1" x14ac:dyDescent="0.2">
      <c r="A97" s="40"/>
    </row>
    <row r="98" spans="1:1" x14ac:dyDescent="0.2">
      <c r="A98" s="40"/>
    </row>
    <row r="99" spans="1:1" x14ac:dyDescent="0.2">
      <c r="A99" s="40"/>
    </row>
    <row r="100" spans="1:1" x14ac:dyDescent="0.2">
      <c r="A100" s="40"/>
    </row>
    <row r="101" spans="1:1" x14ac:dyDescent="0.2">
      <c r="A101" s="40"/>
    </row>
    <row r="102" spans="1:1" x14ac:dyDescent="0.2">
      <c r="A102" s="40"/>
    </row>
    <row r="103" spans="1:1" x14ac:dyDescent="0.2">
      <c r="A103" s="40"/>
    </row>
    <row r="104" spans="1:1" x14ac:dyDescent="0.2">
      <c r="A104" s="40"/>
    </row>
    <row r="105" spans="1:1" x14ac:dyDescent="0.2">
      <c r="A105" s="40"/>
    </row>
    <row r="106" spans="1:1" x14ac:dyDescent="0.2">
      <c r="A106" s="40"/>
    </row>
    <row r="107" spans="1:1" x14ac:dyDescent="0.2">
      <c r="A107" s="40"/>
    </row>
    <row r="108" spans="1:1" x14ac:dyDescent="0.2">
      <c r="A108" s="40"/>
    </row>
    <row r="109" spans="1:1" x14ac:dyDescent="0.2">
      <c r="A109" s="40"/>
    </row>
    <row r="110" spans="1:1" x14ac:dyDescent="0.2">
      <c r="A110" s="40"/>
    </row>
    <row r="111" spans="1:1" x14ac:dyDescent="0.2">
      <c r="A111" s="40"/>
    </row>
    <row r="112" spans="1:1" x14ac:dyDescent="0.2">
      <c r="A112" s="40"/>
    </row>
    <row r="113" spans="1:1" x14ac:dyDescent="0.2">
      <c r="A113" s="40"/>
    </row>
    <row r="114" spans="1:1" x14ac:dyDescent="0.2">
      <c r="A114" s="40"/>
    </row>
    <row r="115" spans="1:1" x14ac:dyDescent="0.2">
      <c r="A115" s="40"/>
    </row>
    <row r="116" spans="1:1" x14ac:dyDescent="0.2">
      <c r="A116" s="40"/>
    </row>
    <row r="117" spans="1:1" x14ac:dyDescent="0.2">
      <c r="A117" s="40"/>
    </row>
    <row r="118" spans="1:1" x14ac:dyDescent="0.2">
      <c r="A118" s="40"/>
    </row>
    <row r="119" spans="1:1" x14ac:dyDescent="0.2">
      <c r="A119" s="40"/>
    </row>
    <row r="120" spans="1:1" x14ac:dyDescent="0.2">
      <c r="A120" s="40"/>
    </row>
    <row r="121" spans="1:1" x14ac:dyDescent="0.2">
      <c r="A121" s="40"/>
    </row>
    <row r="122" spans="1:1" x14ac:dyDescent="0.2">
      <c r="A122" s="40"/>
    </row>
    <row r="123" spans="1:1" x14ac:dyDescent="0.2">
      <c r="A123" s="40"/>
    </row>
    <row r="124" spans="1:1" x14ac:dyDescent="0.2">
      <c r="A124" s="40"/>
    </row>
    <row r="125" spans="1:1" x14ac:dyDescent="0.2">
      <c r="A125" s="40"/>
    </row>
    <row r="126" spans="1:1" x14ac:dyDescent="0.2">
      <c r="A126" s="40"/>
    </row>
    <row r="127" spans="1:1" x14ac:dyDescent="0.2">
      <c r="A127" s="40"/>
    </row>
    <row r="128" spans="1:1" x14ac:dyDescent="0.2">
      <c r="A128" s="40"/>
    </row>
    <row r="129" spans="1:1" x14ac:dyDescent="0.2">
      <c r="A129" s="40"/>
    </row>
    <row r="130" spans="1:1" x14ac:dyDescent="0.2">
      <c r="A130" s="40"/>
    </row>
    <row r="131" spans="1:1" x14ac:dyDescent="0.2">
      <c r="A131" s="40"/>
    </row>
    <row r="132" spans="1:1" x14ac:dyDescent="0.2">
      <c r="A132" s="40"/>
    </row>
    <row r="133" spans="1:1" x14ac:dyDescent="0.2">
      <c r="A133" s="40"/>
    </row>
    <row r="134" spans="1:1" x14ac:dyDescent="0.2">
      <c r="A134" s="40"/>
    </row>
    <row r="135" spans="1:1" x14ac:dyDescent="0.2">
      <c r="A135" s="40"/>
    </row>
    <row r="136" spans="1:1" x14ac:dyDescent="0.2">
      <c r="A136" s="40"/>
    </row>
    <row r="137" spans="1:1" x14ac:dyDescent="0.2">
      <c r="A137" s="40"/>
    </row>
    <row r="138" spans="1:1" x14ac:dyDescent="0.2">
      <c r="A138" s="40"/>
    </row>
    <row r="139" spans="1:1" x14ac:dyDescent="0.2">
      <c r="A139" s="40"/>
    </row>
    <row r="140" spans="1:1" x14ac:dyDescent="0.2">
      <c r="A140" s="40"/>
    </row>
    <row r="141" spans="1:1" x14ac:dyDescent="0.2">
      <c r="A141" s="40"/>
    </row>
    <row r="142" spans="1:1" x14ac:dyDescent="0.2">
      <c r="A142" s="40"/>
    </row>
    <row r="143" spans="1:1" x14ac:dyDescent="0.2">
      <c r="A143" s="40"/>
    </row>
    <row r="144" spans="1:1" x14ac:dyDescent="0.2">
      <c r="A144" s="40"/>
    </row>
    <row r="145" spans="1:1" x14ac:dyDescent="0.2">
      <c r="A145" s="40"/>
    </row>
    <row r="146" spans="1:1" x14ac:dyDescent="0.2">
      <c r="A146" s="40"/>
    </row>
    <row r="147" spans="1:1" x14ac:dyDescent="0.2">
      <c r="A147" s="40"/>
    </row>
    <row r="148" spans="1:1" x14ac:dyDescent="0.2">
      <c r="A148" s="40"/>
    </row>
    <row r="149" spans="1:1" x14ac:dyDescent="0.2">
      <c r="A149" s="40"/>
    </row>
    <row r="150" spans="1:1" x14ac:dyDescent="0.2">
      <c r="A150" s="40"/>
    </row>
    <row r="151" spans="1:1" x14ac:dyDescent="0.2">
      <c r="A151" s="40"/>
    </row>
    <row r="152" spans="1:1" x14ac:dyDescent="0.2">
      <c r="A152" s="40"/>
    </row>
    <row r="153" spans="1:1" x14ac:dyDescent="0.2">
      <c r="A153" s="40"/>
    </row>
    <row r="154" spans="1:1" x14ac:dyDescent="0.2">
      <c r="A154" s="40"/>
    </row>
    <row r="155" spans="1:1" x14ac:dyDescent="0.2">
      <c r="A155" s="40"/>
    </row>
    <row r="156" spans="1:1" x14ac:dyDescent="0.2">
      <c r="A156" s="40"/>
    </row>
    <row r="157" spans="1:1" x14ac:dyDescent="0.2">
      <c r="A157" s="40"/>
    </row>
    <row r="158" spans="1:1" x14ac:dyDescent="0.2">
      <c r="A158" s="40"/>
    </row>
    <row r="159" spans="1:1" x14ac:dyDescent="0.2">
      <c r="A159" s="40"/>
    </row>
    <row r="160" spans="1:1" x14ac:dyDescent="0.2">
      <c r="A160" s="40"/>
    </row>
    <row r="161" spans="1:1" x14ac:dyDescent="0.2">
      <c r="A161" s="40"/>
    </row>
    <row r="162" spans="1:1" x14ac:dyDescent="0.2">
      <c r="A162" s="40"/>
    </row>
    <row r="163" spans="1:1" x14ac:dyDescent="0.2">
      <c r="A163" s="40"/>
    </row>
    <row r="164" spans="1:1" x14ac:dyDescent="0.2">
      <c r="A164" s="40"/>
    </row>
    <row r="165" spans="1:1" x14ac:dyDescent="0.2">
      <c r="A165" s="40"/>
    </row>
    <row r="166" spans="1:1" x14ac:dyDescent="0.2">
      <c r="A166" s="40"/>
    </row>
    <row r="167" spans="1:1" x14ac:dyDescent="0.2">
      <c r="A167" s="40"/>
    </row>
    <row r="168" spans="1:1" x14ac:dyDescent="0.2">
      <c r="A168" s="40"/>
    </row>
    <row r="169" spans="1:1" x14ac:dyDescent="0.2">
      <c r="A169" s="40"/>
    </row>
    <row r="170" spans="1:1" x14ac:dyDescent="0.2">
      <c r="A170" s="40"/>
    </row>
    <row r="171" spans="1:1" x14ac:dyDescent="0.2">
      <c r="A171" s="40"/>
    </row>
    <row r="172" spans="1:1" x14ac:dyDescent="0.2">
      <c r="A172" s="40"/>
    </row>
    <row r="173" spans="1:1" x14ac:dyDescent="0.2">
      <c r="A173" s="40"/>
    </row>
    <row r="174" spans="1:1" x14ac:dyDescent="0.2">
      <c r="A174" s="40"/>
    </row>
    <row r="175" spans="1:1" x14ac:dyDescent="0.2">
      <c r="A175" s="40"/>
    </row>
    <row r="176" spans="1:1" x14ac:dyDescent="0.2">
      <c r="A176" s="40"/>
    </row>
    <row r="177" spans="1:1" x14ac:dyDescent="0.2">
      <c r="A177" s="40"/>
    </row>
    <row r="178" spans="1:1" x14ac:dyDescent="0.2">
      <c r="A178" s="40"/>
    </row>
    <row r="179" spans="1:1" x14ac:dyDescent="0.2">
      <c r="A179" s="40"/>
    </row>
    <row r="180" spans="1:1" x14ac:dyDescent="0.2">
      <c r="A180" s="40"/>
    </row>
    <row r="181" spans="1:1" x14ac:dyDescent="0.2">
      <c r="A181" s="40"/>
    </row>
    <row r="182" spans="1:1" x14ac:dyDescent="0.2">
      <c r="A182" s="40"/>
    </row>
    <row r="183" spans="1:1" x14ac:dyDescent="0.2">
      <c r="A183" s="40"/>
    </row>
    <row r="184" spans="1:1" x14ac:dyDescent="0.2">
      <c r="A184" s="40"/>
    </row>
    <row r="185" spans="1:1" x14ac:dyDescent="0.2">
      <c r="A185" s="40"/>
    </row>
    <row r="186" spans="1:1" x14ac:dyDescent="0.2">
      <c r="A186" s="40"/>
    </row>
    <row r="187" spans="1:1" x14ac:dyDescent="0.2">
      <c r="A187" s="40"/>
    </row>
    <row r="188" spans="1:1" x14ac:dyDescent="0.2">
      <c r="A188" s="40"/>
    </row>
    <row r="189" spans="1:1" x14ac:dyDescent="0.2">
      <c r="A189" s="40"/>
    </row>
    <row r="190" spans="1:1" x14ac:dyDescent="0.2">
      <c r="A190" s="40"/>
    </row>
    <row r="191" spans="1:1" x14ac:dyDescent="0.2">
      <c r="A191" s="40"/>
    </row>
    <row r="192" spans="1:1" x14ac:dyDescent="0.2">
      <c r="A192" s="40"/>
    </row>
    <row r="193" spans="1:1" x14ac:dyDescent="0.2">
      <c r="A193" s="40"/>
    </row>
    <row r="194" spans="1:1" x14ac:dyDescent="0.2">
      <c r="A194" s="40"/>
    </row>
    <row r="195" spans="1:1" x14ac:dyDescent="0.2">
      <c r="A195" s="40"/>
    </row>
    <row r="196" spans="1:1" x14ac:dyDescent="0.2">
      <c r="A196" s="40"/>
    </row>
    <row r="197" spans="1:1" x14ac:dyDescent="0.2">
      <c r="A197" s="40"/>
    </row>
    <row r="198" spans="1:1" x14ac:dyDescent="0.2">
      <c r="A198" s="40"/>
    </row>
    <row r="199" spans="1:1" x14ac:dyDescent="0.2">
      <c r="A199" s="40"/>
    </row>
    <row r="200" spans="1:1" x14ac:dyDescent="0.2">
      <c r="A200" s="40"/>
    </row>
    <row r="201" spans="1:1" x14ac:dyDescent="0.2">
      <c r="A201" s="40"/>
    </row>
    <row r="202" spans="1:1" x14ac:dyDescent="0.2">
      <c r="A202" s="40"/>
    </row>
    <row r="203" spans="1:1" x14ac:dyDescent="0.2">
      <c r="A203" s="40"/>
    </row>
    <row r="204" spans="1:1" x14ac:dyDescent="0.2">
      <c r="A204" s="40"/>
    </row>
    <row r="205" spans="1:1" x14ac:dyDescent="0.2">
      <c r="A205" s="40"/>
    </row>
    <row r="206" spans="1:1" x14ac:dyDescent="0.2">
      <c r="A206" s="40"/>
    </row>
    <row r="207" spans="1:1" x14ac:dyDescent="0.2">
      <c r="A207" s="40"/>
    </row>
    <row r="208" spans="1:1" x14ac:dyDescent="0.2">
      <c r="A208" s="40"/>
    </row>
    <row r="209" spans="1:1" x14ac:dyDescent="0.2">
      <c r="A209" s="40"/>
    </row>
    <row r="210" spans="1:1" x14ac:dyDescent="0.2">
      <c r="A210" s="40"/>
    </row>
    <row r="211" spans="1:1" x14ac:dyDescent="0.2">
      <c r="A211" s="40"/>
    </row>
    <row r="212" spans="1:1" x14ac:dyDescent="0.2">
      <c r="A212" s="40"/>
    </row>
    <row r="213" spans="1:1" x14ac:dyDescent="0.2">
      <c r="A213" s="40"/>
    </row>
    <row r="214" spans="1:1" x14ac:dyDescent="0.2">
      <c r="A214" s="40"/>
    </row>
    <row r="215" spans="1:1" x14ac:dyDescent="0.2">
      <c r="A215" s="40"/>
    </row>
    <row r="216" spans="1:1" x14ac:dyDescent="0.2">
      <c r="A216" s="40"/>
    </row>
    <row r="217" spans="1:1" x14ac:dyDescent="0.2">
      <c r="A217" s="40"/>
    </row>
    <row r="218" spans="1:1" x14ac:dyDescent="0.2">
      <c r="A218" s="40"/>
    </row>
    <row r="219" spans="1:1" x14ac:dyDescent="0.2">
      <c r="A219" s="40"/>
    </row>
    <row r="220" spans="1:1" x14ac:dyDescent="0.2">
      <c r="A220" s="40"/>
    </row>
    <row r="221" spans="1:1" x14ac:dyDescent="0.2">
      <c r="A221" s="40"/>
    </row>
    <row r="222" spans="1:1" x14ac:dyDescent="0.2">
      <c r="A222" s="40"/>
    </row>
    <row r="223" spans="1:1" x14ac:dyDescent="0.2">
      <c r="A223" s="40"/>
    </row>
    <row r="224" spans="1:1" x14ac:dyDescent="0.2">
      <c r="A224" s="40"/>
    </row>
    <row r="225" spans="1:1" x14ac:dyDescent="0.2">
      <c r="A225" s="40"/>
    </row>
    <row r="226" spans="1:1" x14ac:dyDescent="0.2">
      <c r="A226" s="40"/>
    </row>
    <row r="227" spans="1:1" x14ac:dyDescent="0.2">
      <c r="A227" s="40"/>
    </row>
    <row r="228" spans="1:1" x14ac:dyDescent="0.2">
      <c r="A228" s="40"/>
    </row>
    <row r="229" spans="1:1" x14ac:dyDescent="0.2">
      <c r="A229" s="40"/>
    </row>
    <row r="230" spans="1:1" x14ac:dyDescent="0.2">
      <c r="A230" s="40"/>
    </row>
    <row r="231" spans="1:1" x14ac:dyDescent="0.2">
      <c r="A231" s="40"/>
    </row>
    <row r="232" spans="1:1" x14ac:dyDescent="0.2">
      <c r="A232" s="40"/>
    </row>
    <row r="233" spans="1:1" x14ac:dyDescent="0.2">
      <c r="A233" s="40"/>
    </row>
    <row r="234" spans="1:1" x14ac:dyDescent="0.2">
      <c r="A234" s="40"/>
    </row>
    <row r="235" spans="1:1" x14ac:dyDescent="0.2">
      <c r="A235" s="40"/>
    </row>
    <row r="236" spans="1:1" x14ac:dyDescent="0.2">
      <c r="A236" s="40"/>
    </row>
    <row r="237" spans="1:1" x14ac:dyDescent="0.2">
      <c r="A237" s="40"/>
    </row>
    <row r="238" spans="1:1" x14ac:dyDescent="0.2">
      <c r="A238" s="40"/>
    </row>
    <row r="239" spans="1:1" x14ac:dyDescent="0.2">
      <c r="A239" s="40"/>
    </row>
    <row r="240" spans="1:1" x14ac:dyDescent="0.2">
      <c r="A240" s="40"/>
    </row>
    <row r="241" spans="1:1" x14ac:dyDescent="0.2">
      <c r="A241" s="40"/>
    </row>
    <row r="242" spans="1:1" x14ac:dyDescent="0.2">
      <c r="A242" s="40"/>
    </row>
    <row r="243" spans="1:1" x14ac:dyDescent="0.2">
      <c r="A243" s="40"/>
    </row>
    <row r="244" spans="1:1" x14ac:dyDescent="0.2">
      <c r="A244" s="40"/>
    </row>
    <row r="245" spans="1:1" x14ac:dyDescent="0.2">
      <c r="A245" s="40"/>
    </row>
    <row r="246" spans="1:1" x14ac:dyDescent="0.2">
      <c r="A246" s="40"/>
    </row>
    <row r="247" spans="1:1" x14ac:dyDescent="0.2">
      <c r="A247" s="40"/>
    </row>
    <row r="248" spans="1:1" x14ac:dyDescent="0.2">
      <c r="A248" s="40"/>
    </row>
    <row r="249" spans="1:1" x14ac:dyDescent="0.2">
      <c r="A249" s="40"/>
    </row>
    <row r="250" spans="1:1" x14ac:dyDescent="0.2">
      <c r="A250" s="40"/>
    </row>
    <row r="251" spans="1:1" x14ac:dyDescent="0.2">
      <c r="A251" s="40"/>
    </row>
    <row r="252" spans="1:1" x14ac:dyDescent="0.2">
      <c r="A252" s="40"/>
    </row>
    <row r="253" spans="1:1" x14ac:dyDescent="0.2">
      <c r="A253" s="40"/>
    </row>
    <row r="254" spans="1:1" x14ac:dyDescent="0.2">
      <c r="A254" s="40"/>
    </row>
    <row r="255" spans="1:1" x14ac:dyDescent="0.2">
      <c r="A255" s="40"/>
    </row>
    <row r="256" spans="1:1" x14ac:dyDescent="0.2">
      <c r="A256" s="40"/>
    </row>
    <row r="257" spans="1:1" x14ac:dyDescent="0.2">
      <c r="A257" s="40"/>
    </row>
    <row r="258" spans="1:1" x14ac:dyDescent="0.2">
      <c r="A258" s="40"/>
    </row>
    <row r="259" spans="1:1" x14ac:dyDescent="0.2">
      <c r="A259" s="40"/>
    </row>
    <row r="260" spans="1:1" x14ac:dyDescent="0.2">
      <c r="A260" s="40"/>
    </row>
    <row r="261" spans="1:1" x14ac:dyDescent="0.2">
      <c r="A261" s="40"/>
    </row>
    <row r="262" spans="1:1" x14ac:dyDescent="0.2">
      <c r="A262" s="40"/>
    </row>
    <row r="263" spans="1:1" x14ac:dyDescent="0.2">
      <c r="A263" s="40"/>
    </row>
    <row r="264" spans="1:1" x14ac:dyDescent="0.2">
      <c r="A264" s="40"/>
    </row>
    <row r="265" spans="1:1" x14ac:dyDescent="0.2">
      <c r="A265" s="40"/>
    </row>
    <row r="266" spans="1:1" x14ac:dyDescent="0.2">
      <c r="A266" s="40"/>
    </row>
    <row r="267" spans="1:1" x14ac:dyDescent="0.2">
      <c r="A267" s="40"/>
    </row>
    <row r="268" spans="1:1" x14ac:dyDescent="0.2">
      <c r="A268" s="40"/>
    </row>
    <row r="269" spans="1:1" x14ac:dyDescent="0.2">
      <c r="A269" s="40"/>
    </row>
    <row r="270" spans="1:1" x14ac:dyDescent="0.2">
      <c r="A270" s="40"/>
    </row>
    <row r="271" spans="1:1" x14ac:dyDescent="0.2">
      <c r="A271" s="40"/>
    </row>
    <row r="272" spans="1:1" x14ac:dyDescent="0.2">
      <c r="A272" s="40"/>
    </row>
    <row r="273" spans="1:1" x14ac:dyDescent="0.2">
      <c r="A273" s="40"/>
    </row>
    <row r="274" spans="1:1" x14ac:dyDescent="0.2">
      <c r="A274" s="40"/>
    </row>
    <row r="275" spans="1:1" x14ac:dyDescent="0.2">
      <c r="A275" s="40"/>
    </row>
    <row r="276" spans="1:1" x14ac:dyDescent="0.2">
      <c r="A276" s="40"/>
    </row>
    <row r="277" spans="1:1" x14ac:dyDescent="0.2">
      <c r="A277" s="40"/>
    </row>
    <row r="278" spans="1:1" x14ac:dyDescent="0.2">
      <c r="A278" s="40"/>
    </row>
    <row r="279" spans="1:1" x14ac:dyDescent="0.2">
      <c r="A279" s="40"/>
    </row>
    <row r="280" spans="1:1" x14ac:dyDescent="0.2">
      <c r="A280" s="40"/>
    </row>
    <row r="281" spans="1:1" x14ac:dyDescent="0.2">
      <c r="A281" s="40"/>
    </row>
    <row r="282" spans="1:1" x14ac:dyDescent="0.2">
      <c r="A282" s="40"/>
    </row>
    <row r="283" spans="1:1" x14ac:dyDescent="0.2">
      <c r="A283" s="40"/>
    </row>
    <row r="284" spans="1:1" x14ac:dyDescent="0.2">
      <c r="A284" s="40"/>
    </row>
    <row r="285" spans="1:1" x14ac:dyDescent="0.2">
      <c r="A285" s="40"/>
    </row>
    <row r="286" spans="1:1" x14ac:dyDescent="0.2">
      <c r="A286" s="40"/>
    </row>
    <row r="287" spans="1:1" x14ac:dyDescent="0.2">
      <c r="A287" s="40"/>
    </row>
    <row r="288" spans="1:1" x14ac:dyDescent="0.2">
      <c r="A288" s="40"/>
    </row>
    <row r="289" spans="1:1" x14ac:dyDescent="0.2">
      <c r="A289" s="40"/>
    </row>
    <row r="290" spans="1:1" x14ac:dyDescent="0.2">
      <c r="A290" s="40"/>
    </row>
    <row r="291" spans="1:1" x14ac:dyDescent="0.2">
      <c r="A291" s="40"/>
    </row>
    <row r="292" spans="1:1" x14ac:dyDescent="0.2">
      <c r="A292" s="40"/>
    </row>
    <row r="293" spans="1:1" x14ac:dyDescent="0.2">
      <c r="A293" s="40"/>
    </row>
    <row r="294" spans="1:1" x14ac:dyDescent="0.2">
      <c r="A294" s="40"/>
    </row>
    <row r="295" spans="1:1" x14ac:dyDescent="0.2">
      <c r="A295" s="40"/>
    </row>
    <row r="296" spans="1:1" x14ac:dyDescent="0.2">
      <c r="A296" s="40"/>
    </row>
    <row r="297" spans="1:1" x14ac:dyDescent="0.2">
      <c r="A297" s="40"/>
    </row>
    <row r="298" spans="1:1" x14ac:dyDescent="0.2">
      <c r="A298" s="40"/>
    </row>
    <row r="299" spans="1:1" x14ac:dyDescent="0.2">
      <c r="A299" s="40"/>
    </row>
    <row r="300" spans="1:1" x14ac:dyDescent="0.2">
      <c r="A300" s="40"/>
    </row>
    <row r="301" spans="1:1" x14ac:dyDescent="0.2">
      <c r="A301" s="40"/>
    </row>
    <row r="302" spans="1:1" x14ac:dyDescent="0.2">
      <c r="A302" s="40"/>
    </row>
    <row r="303" spans="1:1" x14ac:dyDescent="0.2">
      <c r="A303" s="40"/>
    </row>
    <row r="304" spans="1:1" x14ac:dyDescent="0.2">
      <c r="A304" s="40"/>
    </row>
    <row r="305" spans="1:1" x14ac:dyDescent="0.2">
      <c r="A305" s="40"/>
    </row>
    <row r="306" spans="1:1" x14ac:dyDescent="0.2">
      <c r="A306" s="40"/>
    </row>
    <row r="307" spans="1:1" x14ac:dyDescent="0.2">
      <c r="A307" s="40"/>
    </row>
    <row r="308" spans="1:1" x14ac:dyDescent="0.2">
      <c r="A308" s="40"/>
    </row>
    <row r="309" spans="1:1" x14ac:dyDescent="0.2">
      <c r="A309" s="40"/>
    </row>
    <row r="310" spans="1:1" x14ac:dyDescent="0.2">
      <c r="A310" s="40"/>
    </row>
    <row r="311" spans="1:1" x14ac:dyDescent="0.2">
      <c r="A311" s="40"/>
    </row>
    <row r="312" spans="1:1" x14ac:dyDescent="0.2">
      <c r="A312" s="40"/>
    </row>
    <row r="313" spans="1:1" x14ac:dyDescent="0.2">
      <c r="A313" s="40"/>
    </row>
    <row r="314" spans="1:1" x14ac:dyDescent="0.2">
      <c r="A314" s="40"/>
    </row>
    <row r="315" spans="1:1" x14ac:dyDescent="0.2">
      <c r="A315" s="40"/>
    </row>
    <row r="316" spans="1:1" x14ac:dyDescent="0.2">
      <c r="A316" s="40"/>
    </row>
    <row r="317" spans="1:1" x14ac:dyDescent="0.2">
      <c r="A317" s="40"/>
    </row>
    <row r="318" spans="1:1" x14ac:dyDescent="0.2">
      <c r="A318" s="40"/>
    </row>
    <row r="319" spans="1:1" x14ac:dyDescent="0.2">
      <c r="A319" s="40"/>
    </row>
    <row r="320" spans="1:1" x14ac:dyDescent="0.2">
      <c r="A320" s="40"/>
    </row>
    <row r="321" spans="1:1" x14ac:dyDescent="0.2">
      <c r="A321" s="40"/>
    </row>
    <row r="322" spans="1:1" x14ac:dyDescent="0.2">
      <c r="A322" s="40"/>
    </row>
    <row r="323" spans="1:1" x14ac:dyDescent="0.2">
      <c r="A323" s="40"/>
    </row>
    <row r="324" spans="1:1" x14ac:dyDescent="0.2">
      <c r="A324" s="40"/>
    </row>
    <row r="325" spans="1:1" x14ac:dyDescent="0.2">
      <c r="A325" s="40"/>
    </row>
    <row r="326" spans="1:1" x14ac:dyDescent="0.2">
      <c r="A326" s="40"/>
    </row>
    <row r="327" spans="1:1" x14ac:dyDescent="0.2">
      <c r="A327" s="40"/>
    </row>
    <row r="328" spans="1:1" x14ac:dyDescent="0.2">
      <c r="A328" s="40"/>
    </row>
    <row r="329" spans="1:1" x14ac:dyDescent="0.2">
      <c r="A329" s="40"/>
    </row>
    <row r="330" spans="1:1" x14ac:dyDescent="0.2">
      <c r="A330" s="40"/>
    </row>
    <row r="331" spans="1:1" x14ac:dyDescent="0.2">
      <c r="A331" s="40"/>
    </row>
    <row r="332" spans="1:1" x14ac:dyDescent="0.2">
      <c r="A332" s="40"/>
    </row>
    <row r="333" spans="1:1" x14ac:dyDescent="0.2">
      <c r="A333" s="40"/>
    </row>
    <row r="334" spans="1:1" x14ac:dyDescent="0.2">
      <c r="A334" s="40"/>
    </row>
    <row r="335" spans="1:1" x14ac:dyDescent="0.2">
      <c r="A335" s="40"/>
    </row>
    <row r="336" spans="1:1" x14ac:dyDescent="0.2">
      <c r="A336" s="40"/>
    </row>
    <row r="337" spans="1:1" x14ac:dyDescent="0.2">
      <c r="A337" s="40"/>
    </row>
    <row r="338" spans="1:1" x14ac:dyDescent="0.2">
      <c r="A338" s="40"/>
    </row>
    <row r="339" spans="1:1" x14ac:dyDescent="0.2">
      <c r="A339" s="40"/>
    </row>
    <row r="340" spans="1:1" x14ac:dyDescent="0.2">
      <c r="A340" s="40"/>
    </row>
    <row r="341" spans="1:1" x14ac:dyDescent="0.2">
      <c r="A341" s="40"/>
    </row>
    <row r="342" spans="1:1" x14ac:dyDescent="0.2">
      <c r="A342" s="40"/>
    </row>
    <row r="343" spans="1:1" x14ac:dyDescent="0.2">
      <c r="A343" s="40"/>
    </row>
    <row r="344" spans="1:1" x14ac:dyDescent="0.2">
      <c r="A344" s="40"/>
    </row>
    <row r="345" spans="1:1" x14ac:dyDescent="0.2">
      <c r="A345" s="40"/>
    </row>
    <row r="346" spans="1:1" x14ac:dyDescent="0.2">
      <c r="A346" s="40"/>
    </row>
    <row r="347" spans="1:1" x14ac:dyDescent="0.2">
      <c r="A347" s="40"/>
    </row>
    <row r="348" spans="1:1" x14ac:dyDescent="0.2">
      <c r="A348" s="40"/>
    </row>
    <row r="349" spans="1:1" x14ac:dyDescent="0.2">
      <c r="A349" s="40"/>
    </row>
    <row r="350" spans="1:1" x14ac:dyDescent="0.2">
      <c r="A350" s="40"/>
    </row>
    <row r="351" spans="1:1" x14ac:dyDescent="0.2">
      <c r="A351" s="40"/>
    </row>
    <row r="352" spans="1:1" x14ac:dyDescent="0.2">
      <c r="A352" s="40"/>
    </row>
    <row r="353" spans="1:1" x14ac:dyDescent="0.2">
      <c r="A353" s="40"/>
    </row>
    <row r="354" spans="1:1" x14ac:dyDescent="0.2">
      <c r="A354" s="40"/>
    </row>
    <row r="355" spans="1:1" x14ac:dyDescent="0.2">
      <c r="A355" s="40"/>
    </row>
    <row r="356" spans="1:1" x14ac:dyDescent="0.2">
      <c r="A356" s="40"/>
    </row>
    <row r="357" spans="1:1" x14ac:dyDescent="0.2">
      <c r="A357" s="40"/>
    </row>
    <row r="358" spans="1:1" x14ac:dyDescent="0.2">
      <c r="A358" s="40"/>
    </row>
    <row r="359" spans="1:1" x14ac:dyDescent="0.2">
      <c r="A359" s="40"/>
    </row>
    <row r="360" spans="1:1" x14ac:dyDescent="0.2">
      <c r="A360" s="40"/>
    </row>
    <row r="361" spans="1:1" x14ac:dyDescent="0.2">
      <c r="A361" s="40"/>
    </row>
    <row r="362" spans="1:1" x14ac:dyDescent="0.2">
      <c r="A362" s="40"/>
    </row>
    <row r="363" spans="1:1" x14ac:dyDescent="0.2">
      <c r="A363" s="40"/>
    </row>
    <row r="364" spans="1:1" x14ac:dyDescent="0.2">
      <c r="A364" s="40"/>
    </row>
    <row r="365" spans="1:1" x14ac:dyDescent="0.2">
      <c r="A365" s="40"/>
    </row>
    <row r="366" spans="1:1" x14ac:dyDescent="0.2">
      <c r="A366" s="40"/>
    </row>
    <row r="367" spans="1:1" x14ac:dyDescent="0.2">
      <c r="A367" s="40"/>
    </row>
    <row r="368" spans="1:1" x14ac:dyDescent="0.2">
      <c r="A368" s="40"/>
    </row>
    <row r="369" spans="1:1" x14ac:dyDescent="0.2">
      <c r="A369" s="40"/>
    </row>
    <row r="370" spans="1:1" x14ac:dyDescent="0.2">
      <c r="A370" s="40"/>
    </row>
    <row r="371" spans="1:1" x14ac:dyDescent="0.2">
      <c r="A371" s="40"/>
    </row>
    <row r="372" spans="1:1" x14ac:dyDescent="0.2">
      <c r="A372" s="40"/>
    </row>
    <row r="373" spans="1:1" x14ac:dyDescent="0.2">
      <c r="A373" s="40"/>
    </row>
    <row r="374" spans="1:1" x14ac:dyDescent="0.2">
      <c r="A374" s="40"/>
    </row>
    <row r="375" spans="1:1" x14ac:dyDescent="0.2">
      <c r="A375" s="40"/>
    </row>
    <row r="376" spans="1:1" x14ac:dyDescent="0.2">
      <c r="A376" s="40"/>
    </row>
    <row r="377" spans="1:1" x14ac:dyDescent="0.2">
      <c r="A377" s="40"/>
    </row>
  </sheetData>
  <pageMargins left="0.7" right="0.7" top="0.75" bottom="0.75" header="0.3" footer="0.3"/>
  <pageSetup scale="9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690"/>
  <sheetViews>
    <sheetView workbookViewId="0"/>
  </sheetViews>
  <sheetFormatPr defaultColWidth="9.21875" defaultRowHeight="10.199999999999999" x14ac:dyDescent="0.2"/>
  <cols>
    <col min="1" max="1" width="14.21875" style="35" bestFit="1" customWidth="1"/>
    <col min="2" max="8" width="11.21875" style="34" customWidth="1"/>
    <col min="9" max="16384" width="9.21875" style="34"/>
  </cols>
  <sheetData>
    <row r="1" spans="1:8" s="24" customFormat="1" ht="15.6" x14ac:dyDescent="0.3">
      <c r="A1" s="85" t="s">
        <v>86</v>
      </c>
      <c r="B1" s="85"/>
      <c r="C1" s="85"/>
      <c r="D1" s="85"/>
      <c r="E1" s="85"/>
      <c r="F1" s="85"/>
      <c r="G1" s="85"/>
      <c r="H1" s="85"/>
    </row>
    <row r="2" spans="1:8" s="24" customFormat="1" ht="13.2" x14ac:dyDescent="0.25">
      <c r="A2" s="87" t="str">
        <f>'Oct23'!$A$2</f>
        <v>Temporary Assistance for Needy Families (TANF)</v>
      </c>
      <c r="B2" s="87"/>
      <c r="C2" s="87"/>
      <c r="D2" s="87"/>
      <c r="E2" s="87"/>
      <c r="F2" s="87"/>
      <c r="G2" s="87"/>
      <c r="H2" s="87"/>
    </row>
    <row r="3" spans="1:8" s="27" customFormat="1" ht="30.6" x14ac:dyDescent="0.2">
      <c r="A3" s="25" t="s">
        <v>1</v>
      </c>
      <c r="B3" s="26" t="s">
        <v>66</v>
      </c>
      <c r="C3" s="26" t="s">
        <v>67</v>
      </c>
      <c r="D3" s="26" t="s">
        <v>68</v>
      </c>
      <c r="E3" s="26" t="s">
        <v>69</v>
      </c>
      <c r="F3" s="26" t="s">
        <v>70</v>
      </c>
      <c r="G3" s="26" t="s">
        <v>71</v>
      </c>
      <c r="H3" s="26" t="s">
        <v>72</v>
      </c>
    </row>
    <row r="4" spans="1:8" s="29" customFormat="1" x14ac:dyDescent="0.2">
      <c r="A4" s="7" t="s">
        <v>2</v>
      </c>
      <c r="B4" s="28">
        <f>TFam!F5</f>
        <v>829092</v>
      </c>
      <c r="C4" s="28">
        <f>'Two-par'!F5</f>
        <v>55322</v>
      </c>
      <c r="D4" s="28">
        <f>'One-par'!F5</f>
        <v>427261</v>
      </c>
      <c r="E4" s="28">
        <f>'Zero-par'!F5</f>
        <v>346509</v>
      </c>
      <c r="F4" s="28">
        <f>TRec!F5</f>
        <v>2028597</v>
      </c>
      <c r="G4" s="28">
        <f>Adults!F5</f>
        <v>547656</v>
      </c>
      <c r="H4" s="28">
        <f>Children!F5</f>
        <v>1480941</v>
      </c>
    </row>
    <row r="5" spans="1:8" s="31" customFormat="1" x14ac:dyDescent="0.2">
      <c r="A5" s="38" t="s">
        <v>3</v>
      </c>
      <c r="B5" s="30">
        <f>TFam!F6</f>
        <v>5817</v>
      </c>
      <c r="C5" s="30">
        <f>'Two-par'!F6</f>
        <v>29</v>
      </c>
      <c r="D5" s="30">
        <f>'One-par'!F6</f>
        <v>2468</v>
      </c>
      <c r="E5" s="30">
        <f>'Zero-par'!F6</f>
        <v>3320</v>
      </c>
      <c r="F5" s="30">
        <f>TRec!F6</f>
        <v>13751</v>
      </c>
      <c r="G5" s="30">
        <f>Adults!F6</f>
        <v>2582</v>
      </c>
      <c r="H5" s="30">
        <f>Children!F6</f>
        <v>11169</v>
      </c>
    </row>
    <row r="6" spans="1:8" s="31" customFormat="1" x14ac:dyDescent="0.2">
      <c r="A6" s="38" t="s">
        <v>4</v>
      </c>
      <c r="B6" s="32">
        <f>TFam!F7</f>
        <v>1322</v>
      </c>
      <c r="C6" s="32">
        <f>'Two-par'!F7</f>
        <v>174</v>
      </c>
      <c r="D6" s="32">
        <f>'One-par'!F7</f>
        <v>766</v>
      </c>
      <c r="E6" s="32">
        <f>'Zero-par'!F7</f>
        <v>382</v>
      </c>
      <c r="F6" s="32">
        <f>TRec!F7</f>
        <v>3662</v>
      </c>
      <c r="G6" s="32">
        <f>Adults!F7</f>
        <v>1157</v>
      </c>
      <c r="H6" s="32">
        <f>Children!F7</f>
        <v>2505</v>
      </c>
    </row>
    <row r="7" spans="1:8" s="31" customFormat="1" x14ac:dyDescent="0.2">
      <c r="A7" s="38" t="s">
        <v>5</v>
      </c>
      <c r="B7" s="32">
        <f>TFam!F8</f>
        <v>4997</v>
      </c>
      <c r="C7" s="32">
        <f>'Two-par'!F8</f>
        <v>327</v>
      </c>
      <c r="D7" s="32">
        <f>'One-par'!F8</f>
        <v>1272</v>
      </c>
      <c r="E7" s="32">
        <f>'Zero-par'!F8</f>
        <v>3398</v>
      </c>
      <c r="F7" s="32">
        <f>TRec!F8</f>
        <v>10420</v>
      </c>
      <c r="G7" s="32">
        <f>Adults!F8</f>
        <v>1951</v>
      </c>
      <c r="H7" s="32">
        <f>Children!F8</f>
        <v>8469</v>
      </c>
    </row>
    <row r="8" spans="1:8" s="31" customFormat="1" x14ac:dyDescent="0.2">
      <c r="A8" s="38" t="s">
        <v>6</v>
      </c>
      <c r="B8" s="32">
        <f>TFam!F9</f>
        <v>997</v>
      </c>
      <c r="C8" s="32">
        <f>'Two-par'!F9</f>
        <v>41</v>
      </c>
      <c r="D8" s="32">
        <f>'One-par'!F9</f>
        <v>578</v>
      </c>
      <c r="E8" s="32">
        <f>'Zero-par'!F9</f>
        <v>378</v>
      </c>
      <c r="F8" s="32">
        <f>TRec!F9</f>
        <v>2513</v>
      </c>
      <c r="G8" s="32">
        <f>Adults!F9</f>
        <v>660</v>
      </c>
      <c r="H8" s="32">
        <f>Children!F9</f>
        <v>1853</v>
      </c>
    </row>
    <row r="9" spans="1:8" s="31" customFormat="1" x14ac:dyDescent="0.2">
      <c r="A9" s="38" t="s">
        <v>7</v>
      </c>
      <c r="B9" s="30">
        <f>TFam!F10</f>
        <v>283148</v>
      </c>
      <c r="C9" s="30">
        <f>'Two-par'!F10</f>
        <v>35363</v>
      </c>
      <c r="D9" s="30">
        <f>'One-par'!F10</f>
        <v>149891</v>
      </c>
      <c r="E9" s="30">
        <f>'Zero-par'!F10</f>
        <v>97894</v>
      </c>
      <c r="F9" s="30">
        <f>TRec!F10</f>
        <v>752324</v>
      </c>
      <c r="G9" s="30">
        <f>Adults!F10</f>
        <v>203136</v>
      </c>
      <c r="H9" s="30">
        <f>Children!F10</f>
        <v>549188</v>
      </c>
    </row>
    <row r="10" spans="1:8" s="31" customFormat="1" x14ac:dyDescent="0.2">
      <c r="A10" s="38" t="s">
        <v>8</v>
      </c>
      <c r="B10" s="32">
        <f>TFam!F11</f>
        <v>12162</v>
      </c>
      <c r="C10" s="32">
        <f>'Two-par'!F11</f>
        <v>0</v>
      </c>
      <c r="D10" s="32">
        <f>'One-par'!F11</f>
        <v>7846</v>
      </c>
      <c r="E10" s="32">
        <f>'Zero-par'!F11</f>
        <v>4316</v>
      </c>
      <c r="F10" s="32">
        <f>TRec!F11</f>
        <v>29815</v>
      </c>
      <c r="G10" s="32">
        <f>Adults!F11</f>
        <v>8170</v>
      </c>
      <c r="H10" s="32">
        <f>Children!F11</f>
        <v>21645</v>
      </c>
    </row>
    <row r="11" spans="1:8" s="31" customFormat="1" x14ac:dyDescent="0.2">
      <c r="A11" s="38" t="s">
        <v>9</v>
      </c>
      <c r="B11" s="30">
        <f>TFam!F12</f>
        <v>5081</v>
      </c>
      <c r="C11" s="30">
        <f>'Two-par'!F12</f>
        <v>0</v>
      </c>
      <c r="D11" s="30">
        <f>'One-par'!F12</f>
        <v>1959</v>
      </c>
      <c r="E11" s="30">
        <f>'Zero-par'!F12</f>
        <v>3122</v>
      </c>
      <c r="F11" s="30">
        <f>TRec!F12</f>
        <v>12149</v>
      </c>
      <c r="G11" s="30">
        <f>Adults!F12</f>
        <v>3486</v>
      </c>
      <c r="H11" s="30">
        <f>Children!F12</f>
        <v>8663</v>
      </c>
    </row>
    <row r="12" spans="1:8" s="31" customFormat="1" x14ac:dyDescent="0.2">
      <c r="A12" s="38" t="s">
        <v>10</v>
      </c>
      <c r="B12" s="30">
        <f>TFam!F13</f>
        <v>2569</v>
      </c>
      <c r="C12" s="30">
        <f>'Two-par'!F13</f>
        <v>2</v>
      </c>
      <c r="D12" s="30">
        <f>'One-par'!F13</f>
        <v>673</v>
      </c>
      <c r="E12" s="30">
        <f>'Zero-par'!F13</f>
        <v>1894</v>
      </c>
      <c r="F12" s="30">
        <f>TRec!F13</f>
        <v>7233</v>
      </c>
      <c r="G12" s="30">
        <f>Adults!F13</f>
        <v>2913</v>
      </c>
      <c r="H12" s="30">
        <f>Children!F13</f>
        <v>4320</v>
      </c>
    </row>
    <row r="13" spans="1:8" s="31" customFormat="1" x14ac:dyDescent="0.2">
      <c r="A13" s="38" t="s">
        <v>11</v>
      </c>
      <c r="B13" s="30">
        <f>TFam!F14</f>
        <v>4576</v>
      </c>
      <c r="C13" s="30">
        <f>'Two-par'!F14</f>
        <v>0</v>
      </c>
      <c r="D13" s="30">
        <f>'One-par'!F14</f>
        <v>3187</v>
      </c>
      <c r="E13" s="30">
        <f>'Zero-par'!F14</f>
        <v>1389</v>
      </c>
      <c r="F13" s="30">
        <f>TRec!F14</f>
        <v>14581</v>
      </c>
      <c r="G13" s="30">
        <f>Adults!F14</f>
        <v>3187</v>
      </c>
      <c r="H13" s="30">
        <f>Children!F14</f>
        <v>11394</v>
      </c>
    </row>
    <row r="14" spans="1:8" s="31" customFormat="1" x14ac:dyDescent="0.2">
      <c r="A14" s="38" t="s">
        <v>12</v>
      </c>
      <c r="B14" s="30">
        <f>TFam!F15</f>
        <v>29599</v>
      </c>
      <c r="C14" s="30">
        <f>'Two-par'!F15</f>
        <v>5032</v>
      </c>
      <c r="D14" s="30">
        <f>'One-par'!F15</f>
        <v>6567</v>
      </c>
      <c r="E14" s="30">
        <f>'Zero-par'!F15</f>
        <v>18000</v>
      </c>
      <c r="F14" s="30">
        <f>TRec!F15</f>
        <v>57790</v>
      </c>
      <c r="G14" s="30">
        <f>Adults!F15</f>
        <v>19185</v>
      </c>
      <c r="H14" s="30">
        <f>Children!F15</f>
        <v>38605</v>
      </c>
    </row>
    <row r="15" spans="1:8" s="31" customFormat="1" x14ac:dyDescent="0.2">
      <c r="A15" s="38" t="s">
        <v>13</v>
      </c>
      <c r="B15" s="30">
        <f>TFam!F16</f>
        <v>4194</v>
      </c>
      <c r="C15" s="30">
        <f>'Two-par'!F16</f>
        <v>0</v>
      </c>
      <c r="D15" s="30">
        <f>'One-par'!F16</f>
        <v>160</v>
      </c>
      <c r="E15" s="30">
        <f>'Zero-par'!F16</f>
        <v>4034</v>
      </c>
      <c r="F15" s="30">
        <f>TRec!F16</f>
        <v>7277</v>
      </c>
      <c r="G15" s="30">
        <f>Adults!F16</f>
        <v>159</v>
      </c>
      <c r="H15" s="30">
        <f>Children!F16</f>
        <v>7118</v>
      </c>
    </row>
    <row r="16" spans="1:8" s="31" customFormat="1" x14ac:dyDescent="0.2">
      <c r="A16" s="38" t="s">
        <v>14</v>
      </c>
      <c r="B16" s="32">
        <f>TFam!F17</f>
        <v>172</v>
      </c>
      <c r="C16" s="32">
        <f>'Two-par'!F17</f>
        <v>9</v>
      </c>
      <c r="D16" s="32">
        <f>'One-par'!F17</f>
        <v>49</v>
      </c>
      <c r="E16" s="32">
        <f>'Zero-par'!F17</f>
        <v>114</v>
      </c>
      <c r="F16" s="32">
        <f>TRec!F17</f>
        <v>421</v>
      </c>
      <c r="G16" s="32">
        <f>Adults!F17</f>
        <v>67</v>
      </c>
      <c r="H16" s="32">
        <f>Children!F17</f>
        <v>354</v>
      </c>
    </row>
    <row r="17" spans="1:8" s="31" customFormat="1" x14ac:dyDescent="0.2">
      <c r="A17" s="38" t="s">
        <v>15</v>
      </c>
      <c r="B17" s="30">
        <f>TFam!F18</f>
        <v>2913</v>
      </c>
      <c r="C17" s="30">
        <f>'Two-par'!F18</f>
        <v>452</v>
      </c>
      <c r="D17" s="30">
        <f>'One-par'!F18</f>
        <v>1820</v>
      </c>
      <c r="E17" s="30">
        <f>'Zero-par'!F18</f>
        <v>641</v>
      </c>
      <c r="F17" s="30">
        <f>TRec!F18</f>
        <v>8098</v>
      </c>
      <c r="G17" s="30">
        <f>Adults!F18</f>
        <v>2453</v>
      </c>
      <c r="H17" s="30">
        <f>Children!F18</f>
        <v>5645</v>
      </c>
    </row>
    <row r="18" spans="1:8" s="31" customFormat="1" x14ac:dyDescent="0.2">
      <c r="A18" s="38" t="s">
        <v>16</v>
      </c>
      <c r="B18" s="32">
        <f>TFam!F19</f>
        <v>1501</v>
      </c>
      <c r="C18" s="32">
        <f>'Two-par'!F19</f>
        <v>0</v>
      </c>
      <c r="D18" s="32">
        <f>'One-par'!F19</f>
        <v>26</v>
      </c>
      <c r="E18" s="32">
        <f>'Zero-par'!F19</f>
        <v>1475</v>
      </c>
      <c r="F18" s="32">
        <f>TRec!F19</f>
        <v>2051</v>
      </c>
      <c r="G18" s="32">
        <f>Adults!F19</f>
        <v>24</v>
      </c>
      <c r="H18" s="32">
        <f>Children!F19</f>
        <v>2027</v>
      </c>
    </row>
    <row r="19" spans="1:8" s="31" customFormat="1" x14ac:dyDescent="0.2">
      <c r="A19" s="38" t="s">
        <v>17</v>
      </c>
      <c r="B19" s="30">
        <f>TFam!F20</f>
        <v>9830</v>
      </c>
      <c r="C19" s="30">
        <f>'Two-par'!F20</f>
        <v>0</v>
      </c>
      <c r="D19" s="30">
        <f>'One-par'!F20</f>
        <v>2188</v>
      </c>
      <c r="E19" s="30">
        <f>'Zero-par'!F20</f>
        <v>7642</v>
      </c>
      <c r="F19" s="30">
        <f>TRec!F20</f>
        <v>20036</v>
      </c>
      <c r="G19" s="30">
        <f>Adults!F20</f>
        <v>2443</v>
      </c>
      <c r="H19" s="30">
        <f>Children!F20</f>
        <v>17593</v>
      </c>
    </row>
    <row r="20" spans="1:8" s="31" customFormat="1" x14ac:dyDescent="0.2">
      <c r="A20" s="38" t="s">
        <v>18</v>
      </c>
      <c r="B20" s="30">
        <f>TFam!F21</f>
        <v>5719</v>
      </c>
      <c r="C20" s="30">
        <f>'Two-par'!F21</f>
        <v>915</v>
      </c>
      <c r="D20" s="30">
        <f>'One-par'!F21</f>
        <v>2231</v>
      </c>
      <c r="E20" s="30">
        <f>'Zero-par'!F21</f>
        <v>2573</v>
      </c>
      <c r="F20" s="30">
        <f>TRec!F21</f>
        <v>13607</v>
      </c>
      <c r="G20" s="30">
        <f>Adults!F21</f>
        <v>3498</v>
      </c>
      <c r="H20" s="30">
        <f>Children!F21</f>
        <v>10109</v>
      </c>
    </row>
    <row r="21" spans="1:8" s="31" customFormat="1" x14ac:dyDescent="0.2">
      <c r="A21" s="38" t="s">
        <v>19</v>
      </c>
      <c r="B21" s="30">
        <f>TFam!F22</f>
        <v>4005</v>
      </c>
      <c r="C21" s="30">
        <f>'Two-par'!F22</f>
        <v>210</v>
      </c>
      <c r="D21" s="30">
        <f>'One-par'!F22</f>
        <v>1861</v>
      </c>
      <c r="E21" s="30">
        <f>'Zero-par'!F22</f>
        <v>1934</v>
      </c>
      <c r="F21" s="30">
        <f>TRec!F22</f>
        <v>9947</v>
      </c>
      <c r="G21" s="30">
        <f>Adults!F22</f>
        <v>2303</v>
      </c>
      <c r="H21" s="30">
        <f>Children!F22</f>
        <v>7644</v>
      </c>
    </row>
    <row r="22" spans="1:8" s="31" customFormat="1" x14ac:dyDescent="0.2">
      <c r="A22" s="38" t="s">
        <v>20</v>
      </c>
      <c r="B22" s="32">
        <f>TFam!F23</f>
        <v>2917</v>
      </c>
      <c r="C22" s="32">
        <f>'Two-par'!F23</f>
        <v>251</v>
      </c>
      <c r="D22" s="32">
        <f>'One-par'!F23</f>
        <v>1392</v>
      </c>
      <c r="E22" s="32">
        <f>'Zero-par'!F23</f>
        <v>1274</v>
      </c>
      <c r="F22" s="32">
        <f>TRec!F23</f>
        <v>2917</v>
      </c>
      <c r="G22" s="32">
        <f>Adults!F23</f>
        <v>1467</v>
      </c>
      <c r="H22" s="32">
        <f>Children!F23</f>
        <v>1450</v>
      </c>
    </row>
    <row r="23" spans="1:8" s="31" customFormat="1" x14ac:dyDescent="0.2">
      <c r="A23" s="38" t="s">
        <v>21</v>
      </c>
      <c r="B23" s="32">
        <f>TFam!F24</f>
        <v>14210</v>
      </c>
      <c r="C23" s="32">
        <f>'Two-par'!F24</f>
        <v>876</v>
      </c>
      <c r="D23" s="32">
        <f>'One-par'!F24</f>
        <v>5050</v>
      </c>
      <c r="E23" s="32">
        <f>'Zero-par'!F24</f>
        <v>8284</v>
      </c>
      <c r="F23" s="32">
        <f>TRec!F24</f>
        <v>32209</v>
      </c>
      <c r="G23" s="32">
        <f>Adults!F24</f>
        <v>6989</v>
      </c>
      <c r="H23" s="32">
        <f>Children!F24</f>
        <v>25220</v>
      </c>
    </row>
    <row r="24" spans="1:8" s="31" customFormat="1" x14ac:dyDescent="0.2">
      <c r="A24" s="38" t="s">
        <v>22</v>
      </c>
      <c r="B24" s="32">
        <f>TFam!F25</f>
        <v>4865</v>
      </c>
      <c r="C24" s="32">
        <f>'Two-par'!F25</f>
        <v>0</v>
      </c>
      <c r="D24" s="32">
        <f>'One-par'!F25</f>
        <v>2776</v>
      </c>
      <c r="E24" s="32">
        <f>'Zero-par'!F25</f>
        <v>2089</v>
      </c>
      <c r="F24" s="32">
        <f>TRec!F25</f>
        <v>12563</v>
      </c>
      <c r="G24" s="32">
        <f>Adults!F25</f>
        <v>2404</v>
      </c>
      <c r="H24" s="32">
        <f>Children!F25</f>
        <v>10159</v>
      </c>
    </row>
    <row r="25" spans="1:8" s="31" customFormat="1" x14ac:dyDescent="0.2">
      <c r="A25" s="38" t="s">
        <v>23</v>
      </c>
      <c r="B25" s="30">
        <f>TFam!F26</f>
        <v>3603</v>
      </c>
      <c r="C25" s="30">
        <f>'Two-par'!F26</f>
        <v>495</v>
      </c>
      <c r="D25" s="30">
        <f>'One-par'!F26</f>
        <v>2097</v>
      </c>
      <c r="E25" s="30">
        <f>'Zero-par'!F26</f>
        <v>1011</v>
      </c>
      <c r="F25" s="30">
        <f>TRec!F26</f>
        <v>9320</v>
      </c>
      <c r="G25" s="30">
        <f>Adults!F26</f>
        <v>2990</v>
      </c>
      <c r="H25" s="30">
        <f>Children!F26</f>
        <v>6330</v>
      </c>
    </row>
    <row r="26" spans="1:8" s="31" customFormat="1" x14ac:dyDescent="0.2">
      <c r="A26" s="38" t="s">
        <v>24</v>
      </c>
      <c r="B26" s="30">
        <f>TFam!F27</f>
        <v>11940</v>
      </c>
      <c r="C26" s="30">
        <f>'Two-par'!F27</f>
        <v>0</v>
      </c>
      <c r="D26" s="30">
        <f>'One-par'!F27</f>
        <v>8240</v>
      </c>
      <c r="E26" s="30">
        <f>'Zero-par'!F27</f>
        <v>3700</v>
      </c>
      <c r="F26" s="30">
        <f>TRec!F27</f>
        <v>32483</v>
      </c>
      <c r="G26" s="30">
        <f>Adults!F27</f>
        <v>8869</v>
      </c>
      <c r="H26" s="30">
        <f>Children!F27</f>
        <v>23614</v>
      </c>
    </row>
    <row r="27" spans="1:8" s="31" customFormat="1" x14ac:dyDescent="0.2">
      <c r="A27" s="38" t="s">
        <v>25</v>
      </c>
      <c r="B27" s="30">
        <f>TFam!F28</f>
        <v>36215</v>
      </c>
      <c r="C27" s="30">
        <f>'Two-par'!F28</f>
        <v>2086</v>
      </c>
      <c r="D27" s="30">
        <f>'One-par'!F28</f>
        <v>22183</v>
      </c>
      <c r="E27" s="30">
        <f>'Zero-par'!F28</f>
        <v>11946</v>
      </c>
      <c r="F27" s="30">
        <f>TRec!F28</f>
        <v>85002</v>
      </c>
      <c r="G27" s="30">
        <f>Adults!F28</f>
        <v>25443</v>
      </c>
      <c r="H27" s="30">
        <f>Children!F28</f>
        <v>59559</v>
      </c>
    </row>
    <row r="28" spans="1:8" s="31" customFormat="1" x14ac:dyDescent="0.2">
      <c r="A28" s="38" t="s">
        <v>26</v>
      </c>
      <c r="B28" s="32">
        <f>TFam!F29</f>
        <v>8110</v>
      </c>
      <c r="C28" s="32">
        <f>'Two-par'!F29</f>
        <v>0</v>
      </c>
      <c r="D28" s="32">
        <f>'One-par'!F29</f>
        <v>4012</v>
      </c>
      <c r="E28" s="32">
        <f>'Zero-par'!F29</f>
        <v>4098</v>
      </c>
      <c r="F28" s="32">
        <f>TRec!F29</f>
        <v>21567</v>
      </c>
      <c r="G28" s="32">
        <f>Adults!F29</f>
        <v>4717</v>
      </c>
      <c r="H28" s="32">
        <f>Children!F29</f>
        <v>16850</v>
      </c>
    </row>
    <row r="29" spans="1:8" s="31" customFormat="1" x14ac:dyDescent="0.2">
      <c r="A29" s="38" t="s">
        <v>27</v>
      </c>
      <c r="B29" s="30">
        <f>TFam!F30</f>
        <v>13369</v>
      </c>
      <c r="C29" s="30">
        <f>'Two-par'!F30</f>
        <v>0</v>
      </c>
      <c r="D29" s="30">
        <f>'One-par'!F30</f>
        <v>7789</v>
      </c>
      <c r="E29" s="30">
        <f>'Zero-par'!F30</f>
        <v>5580</v>
      </c>
      <c r="F29" s="30">
        <f>TRec!F30</f>
        <v>31193</v>
      </c>
      <c r="G29" s="30">
        <f>Adults!F30</f>
        <v>7758</v>
      </c>
      <c r="H29" s="30">
        <f>Children!F30</f>
        <v>23435</v>
      </c>
    </row>
    <row r="30" spans="1:8" s="31" customFormat="1" x14ac:dyDescent="0.2">
      <c r="A30" s="38" t="s">
        <v>28</v>
      </c>
      <c r="B30" s="32">
        <f>TFam!F31</f>
        <v>1470</v>
      </c>
      <c r="C30" s="32">
        <f>'Two-par'!F31</f>
        <v>0</v>
      </c>
      <c r="D30" s="32">
        <f>'One-par'!F31</f>
        <v>317</v>
      </c>
      <c r="E30" s="32">
        <f>'Zero-par'!F31</f>
        <v>1153</v>
      </c>
      <c r="F30" s="32">
        <f>TRec!F31</f>
        <v>2635</v>
      </c>
      <c r="G30" s="32">
        <f>Adults!F31</f>
        <v>322</v>
      </c>
      <c r="H30" s="32">
        <f>Children!F31</f>
        <v>2313</v>
      </c>
    </row>
    <row r="31" spans="1:8" s="31" customFormat="1" x14ac:dyDescent="0.2">
      <c r="A31" s="38" t="s">
        <v>29</v>
      </c>
      <c r="B31" s="30">
        <f>TFam!F32</f>
        <v>4830</v>
      </c>
      <c r="C31" s="30">
        <f>'Two-par'!F32</f>
        <v>0</v>
      </c>
      <c r="D31" s="30">
        <f>'One-par'!F32</f>
        <v>2707</v>
      </c>
      <c r="E31" s="30">
        <f>'Zero-par'!F32</f>
        <v>2123</v>
      </c>
      <c r="F31" s="30">
        <f>TRec!F32</f>
        <v>11162</v>
      </c>
      <c r="G31" s="30">
        <f>Adults!F32</f>
        <v>2391</v>
      </c>
      <c r="H31" s="30">
        <f>Children!F32</f>
        <v>8771</v>
      </c>
    </row>
    <row r="32" spans="1:8" s="31" customFormat="1" x14ac:dyDescent="0.2">
      <c r="A32" s="38" t="s">
        <v>30</v>
      </c>
      <c r="B32" s="32">
        <f>TFam!F33</f>
        <v>1628</v>
      </c>
      <c r="C32" s="32">
        <f>'Two-par'!F33</f>
        <v>94</v>
      </c>
      <c r="D32" s="32">
        <f>'One-par'!F33</f>
        <v>637</v>
      </c>
      <c r="E32" s="32">
        <f>'Zero-par'!F33</f>
        <v>897</v>
      </c>
      <c r="F32" s="32">
        <f>TRec!F33</f>
        <v>3631</v>
      </c>
      <c r="G32" s="32">
        <f>Adults!F33</f>
        <v>664</v>
      </c>
      <c r="H32" s="32">
        <f>Children!F33</f>
        <v>2967</v>
      </c>
    </row>
    <row r="33" spans="1:8" s="31" customFormat="1" x14ac:dyDescent="0.2">
      <c r="A33" s="38" t="s">
        <v>31</v>
      </c>
      <c r="B33" s="30">
        <f>TFam!F34</f>
        <v>2653</v>
      </c>
      <c r="C33" s="30">
        <f>'Two-par'!F34</f>
        <v>0</v>
      </c>
      <c r="D33" s="30">
        <f>'One-par'!F34</f>
        <v>762</v>
      </c>
      <c r="E33" s="30">
        <f>'Zero-par'!F34</f>
        <v>1891</v>
      </c>
      <c r="F33" s="30">
        <f>TRec!F34</f>
        <v>6073</v>
      </c>
      <c r="G33" s="30">
        <f>Adults!F34</f>
        <v>754</v>
      </c>
      <c r="H33" s="30">
        <f>Children!F34</f>
        <v>5319</v>
      </c>
    </row>
    <row r="34" spans="1:8" s="31" customFormat="1" x14ac:dyDescent="0.2">
      <c r="A34" s="38" t="s">
        <v>32</v>
      </c>
      <c r="B34" s="30">
        <f>TFam!F35</f>
        <v>5381</v>
      </c>
      <c r="C34" s="30">
        <f>'Two-par'!F35</f>
        <v>450</v>
      </c>
      <c r="D34" s="30">
        <f>'One-par'!F35</f>
        <v>2256</v>
      </c>
      <c r="E34" s="30">
        <f>'Zero-par'!F35</f>
        <v>2675</v>
      </c>
      <c r="F34" s="30">
        <f>TRec!F35</f>
        <v>13479</v>
      </c>
      <c r="G34" s="30">
        <f>Adults!F35</f>
        <v>3382</v>
      </c>
      <c r="H34" s="30">
        <f>Children!F35</f>
        <v>10097</v>
      </c>
    </row>
    <row r="35" spans="1:8" s="31" customFormat="1" x14ac:dyDescent="0.2">
      <c r="A35" s="38" t="s">
        <v>33</v>
      </c>
      <c r="B35" s="30">
        <f>TFam!F36</f>
        <v>2473</v>
      </c>
      <c r="C35" s="30">
        <f>'Two-par'!F36</f>
        <v>2</v>
      </c>
      <c r="D35" s="30">
        <f>'One-par'!F36</f>
        <v>981</v>
      </c>
      <c r="E35" s="30">
        <f>'Zero-par'!F36</f>
        <v>1490</v>
      </c>
      <c r="F35" s="30">
        <f>TRec!F36</f>
        <v>5015</v>
      </c>
      <c r="G35" s="30">
        <f>Adults!F36</f>
        <v>1022</v>
      </c>
      <c r="H35" s="30">
        <f>Children!F36</f>
        <v>3993</v>
      </c>
    </row>
    <row r="36" spans="1:8" s="31" customFormat="1" x14ac:dyDescent="0.2">
      <c r="A36" s="38" t="s">
        <v>34</v>
      </c>
      <c r="B36" s="30">
        <f>TFam!F37</f>
        <v>9561</v>
      </c>
      <c r="C36" s="30">
        <f>'Two-par'!F37</f>
        <v>67</v>
      </c>
      <c r="D36" s="30">
        <f>'One-par'!F37</f>
        <v>7261</v>
      </c>
      <c r="E36" s="30">
        <f>'Zero-par'!F37</f>
        <v>2233</v>
      </c>
      <c r="F36" s="30">
        <f>TRec!F37</f>
        <v>23236</v>
      </c>
      <c r="G36" s="30">
        <f>Adults!F37</f>
        <v>6872</v>
      </c>
      <c r="H36" s="30">
        <f>Children!F37</f>
        <v>16364</v>
      </c>
    </row>
    <row r="37" spans="1:8" s="31" customFormat="1" x14ac:dyDescent="0.2">
      <c r="A37" s="38" t="s">
        <v>35</v>
      </c>
      <c r="B37" s="32">
        <f>TFam!F38</f>
        <v>6761</v>
      </c>
      <c r="C37" s="32">
        <f>'Two-par'!F38</f>
        <v>410</v>
      </c>
      <c r="D37" s="32">
        <f>'One-par'!F38</f>
        <v>3238</v>
      </c>
      <c r="E37" s="32">
        <f>'Zero-par'!F38</f>
        <v>3113</v>
      </c>
      <c r="F37" s="32">
        <f>TRec!F38</f>
        <v>16600</v>
      </c>
      <c r="G37" s="32">
        <f>Adults!F38</f>
        <v>4058</v>
      </c>
      <c r="H37" s="32">
        <f>Children!F38</f>
        <v>12542</v>
      </c>
    </row>
    <row r="38" spans="1:8" s="31" customFormat="1" x14ac:dyDescent="0.2">
      <c r="A38" s="38" t="s">
        <v>36</v>
      </c>
      <c r="B38" s="30">
        <f>TFam!F39</f>
        <v>127225</v>
      </c>
      <c r="C38" s="30">
        <f>'Two-par'!F39</f>
        <v>1618</v>
      </c>
      <c r="D38" s="30">
        <f>'One-par'!F39</f>
        <v>94235</v>
      </c>
      <c r="E38" s="30">
        <f>'Zero-par'!F39</f>
        <v>31372</v>
      </c>
      <c r="F38" s="30">
        <f>TRec!F39</f>
        <v>330085</v>
      </c>
      <c r="G38" s="30">
        <f>Adults!F39</f>
        <v>117284</v>
      </c>
      <c r="H38" s="30">
        <f>Children!F39</f>
        <v>212801</v>
      </c>
    </row>
    <row r="39" spans="1:8" s="31" customFormat="1" x14ac:dyDescent="0.2">
      <c r="A39" s="38" t="s">
        <v>37</v>
      </c>
      <c r="B39" s="32">
        <f>TFam!F40</f>
        <v>6836</v>
      </c>
      <c r="C39" s="32">
        <f>'Two-par'!F40</f>
        <v>56</v>
      </c>
      <c r="D39" s="32">
        <f>'One-par'!F40</f>
        <v>747</v>
      </c>
      <c r="E39" s="32">
        <f>'Zero-par'!F40</f>
        <v>6033</v>
      </c>
      <c r="F39" s="32">
        <f>TRec!F40</f>
        <v>11918</v>
      </c>
      <c r="G39" s="32">
        <f>Adults!F40</f>
        <v>1058</v>
      </c>
      <c r="H39" s="32">
        <f>Children!F40</f>
        <v>10860</v>
      </c>
    </row>
    <row r="40" spans="1:8" s="31" customFormat="1" x14ac:dyDescent="0.2">
      <c r="A40" s="38" t="s">
        <v>38</v>
      </c>
      <c r="B40" s="32">
        <f>TFam!F41</f>
        <v>600</v>
      </c>
      <c r="C40" s="32">
        <f>'Two-par'!F41</f>
        <v>0</v>
      </c>
      <c r="D40" s="32">
        <f>'One-par'!F41</f>
        <v>305</v>
      </c>
      <c r="E40" s="32">
        <f>'Zero-par'!F41</f>
        <v>295</v>
      </c>
      <c r="F40" s="32">
        <f>TRec!F41</f>
        <v>1490</v>
      </c>
      <c r="G40" s="32">
        <f>Adults!F41</f>
        <v>251</v>
      </c>
      <c r="H40" s="32">
        <f>Children!F41</f>
        <v>1239</v>
      </c>
    </row>
    <row r="41" spans="1:8" s="31" customFormat="1" x14ac:dyDescent="0.2">
      <c r="A41" s="38" t="s">
        <v>39</v>
      </c>
      <c r="B41" s="32">
        <f>TFam!F42</f>
        <v>39335</v>
      </c>
      <c r="C41" s="32">
        <f>'Two-par'!F42</f>
        <v>858</v>
      </c>
      <c r="D41" s="32">
        <f>'One-par'!F42</f>
        <v>4861</v>
      </c>
      <c r="E41" s="32">
        <f>'Zero-par'!F42</f>
        <v>33616</v>
      </c>
      <c r="F41" s="32">
        <f>TRec!F42</f>
        <v>70139</v>
      </c>
      <c r="G41" s="32">
        <f>Adults!F42</f>
        <v>7067</v>
      </c>
      <c r="H41" s="32">
        <f>Children!F42</f>
        <v>63072</v>
      </c>
    </row>
    <row r="42" spans="1:8" s="31" customFormat="1" x14ac:dyDescent="0.2">
      <c r="A42" s="38" t="s">
        <v>40</v>
      </c>
      <c r="B42" s="32">
        <f>TFam!F43</f>
        <v>3558</v>
      </c>
      <c r="C42" s="32">
        <f>'Two-par'!F43</f>
        <v>0</v>
      </c>
      <c r="D42" s="32">
        <f>'One-par'!F43</f>
        <v>793</v>
      </c>
      <c r="E42" s="32">
        <f>'Zero-par'!F43</f>
        <v>2765</v>
      </c>
      <c r="F42" s="32">
        <f>TRec!F43</f>
        <v>7472</v>
      </c>
      <c r="G42" s="32">
        <f>Adults!F43</f>
        <v>793</v>
      </c>
      <c r="H42" s="32">
        <f>Children!F43</f>
        <v>6679</v>
      </c>
    </row>
    <row r="43" spans="1:8" s="31" customFormat="1" x14ac:dyDescent="0.2">
      <c r="A43" s="38" t="s">
        <v>41</v>
      </c>
      <c r="B43" s="32">
        <f>TFam!F44</f>
        <v>18197</v>
      </c>
      <c r="C43" s="32">
        <f>'Two-par'!F44</f>
        <v>0</v>
      </c>
      <c r="D43" s="32">
        <f>'One-par'!F44</f>
        <v>12191</v>
      </c>
      <c r="E43" s="32">
        <f>'Zero-par'!F44</f>
        <v>6006</v>
      </c>
      <c r="F43" s="32">
        <f>TRec!F44</f>
        <v>41936</v>
      </c>
      <c r="G43" s="32">
        <f>Adults!F44</f>
        <v>12347</v>
      </c>
      <c r="H43" s="32">
        <f>Children!F44</f>
        <v>29589</v>
      </c>
    </row>
    <row r="44" spans="1:8" s="31" customFormat="1" x14ac:dyDescent="0.2">
      <c r="A44" s="38" t="s">
        <v>42</v>
      </c>
      <c r="B44" s="32">
        <f>TFam!F45</f>
        <v>24489</v>
      </c>
      <c r="C44" s="32">
        <f>'Two-par'!F45</f>
        <v>353</v>
      </c>
      <c r="D44" s="32">
        <f>'One-par'!F45</f>
        <v>15321</v>
      </c>
      <c r="E44" s="32">
        <f>'Zero-par'!F45</f>
        <v>8815</v>
      </c>
      <c r="F44" s="32">
        <f>TRec!F45</f>
        <v>60848</v>
      </c>
      <c r="G44" s="32">
        <f>Adults!F45</f>
        <v>14767</v>
      </c>
      <c r="H44" s="32">
        <f>Children!F45</f>
        <v>46081</v>
      </c>
    </row>
    <row r="45" spans="1:8" s="31" customFormat="1" x14ac:dyDescent="0.2">
      <c r="A45" s="38" t="s">
        <v>43</v>
      </c>
      <c r="B45" s="32">
        <f>TFam!F46</f>
        <v>2401</v>
      </c>
      <c r="C45" s="32">
        <f>'Two-par'!F46</f>
        <v>107</v>
      </c>
      <c r="D45" s="32">
        <f>'One-par'!F46</f>
        <v>2139</v>
      </c>
      <c r="E45" s="32">
        <f>'Zero-par'!F46</f>
        <v>155</v>
      </c>
      <c r="F45" s="32">
        <f>TRec!F46</f>
        <v>6661</v>
      </c>
      <c r="G45" s="32">
        <f>Adults!F46</f>
        <v>2484</v>
      </c>
      <c r="H45" s="32">
        <f>Children!F46</f>
        <v>4177</v>
      </c>
    </row>
    <row r="46" spans="1:8" s="31" customFormat="1" x14ac:dyDescent="0.2">
      <c r="A46" s="38" t="s">
        <v>44</v>
      </c>
      <c r="B46" s="30">
        <f>TFam!F47</f>
        <v>3259</v>
      </c>
      <c r="C46" s="30">
        <f>'Two-par'!F47</f>
        <v>213</v>
      </c>
      <c r="D46" s="30">
        <f>'One-par'!F47</f>
        <v>2457</v>
      </c>
      <c r="E46" s="30">
        <f>'Zero-par'!F47</f>
        <v>589</v>
      </c>
      <c r="F46" s="30">
        <f>TRec!F47</f>
        <v>8451</v>
      </c>
      <c r="G46" s="30">
        <f>Adults!F47</f>
        <v>2545</v>
      </c>
      <c r="H46" s="30">
        <f>Children!F47</f>
        <v>5906</v>
      </c>
    </row>
    <row r="47" spans="1:8" s="31" customFormat="1" x14ac:dyDescent="0.2">
      <c r="A47" s="38" t="s">
        <v>45</v>
      </c>
      <c r="B47" s="30">
        <f>TFam!F48</f>
        <v>5662</v>
      </c>
      <c r="C47" s="30">
        <f>'Two-par'!F48</f>
        <v>0</v>
      </c>
      <c r="D47" s="30">
        <f>'One-par'!F48</f>
        <v>2517</v>
      </c>
      <c r="E47" s="30">
        <f>'Zero-par'!F48</f>
        <v>3145</v>
      </c>
      <c r="F47" s="30">
        <f>TRec!F48</f>
        <v>13073</v>
      </c>
      <c r="G47" s="30">
        <f>Adults!F48</f>
        <v>2517</v>
      </c>
      <c r="H47" s="30">
        <f>Children!F48</f>
        <v>10556</v>
      </c>
    </row>
    <row r="48" spans="1:8" s="31" customFormat="1" x14ac:dyDescent="0.2">
      <c r="A48" s="38" t="s">
        <v>46</v>
      </c>
      <c r="B48" s="32">
        <f>TFam!F49</f>
        <v>2449</v>
      </c>
      <c r="C48" s="32">
        <f>'Two-par'!F49</f>
        <v>0</v>
      </c>
      <c r="D48" s="32">
        <f>'One-par'!F49</f>
        <v>369</v>
      </c>
      <c r="E48" s="32">
        <f>'Zero-par'!F49</f>
        <v>2080</v>
      </c>
      <c r="F48" s="32">
        <f>TRec!F49</f>
        <v>4884</v>
      </c>
      <c r="G48" s="32">
        <f>Adults!F49</f>
        <v>369</v>
      </c>
      <c r="H48" s="32">
        <f>Children!F49</f>
        <v>4515</v>
      </c>
    </row>
    <row r="49" spans="1:18" s="31" customFormat="1" x14ac:dyDescent="0.2">
      <c r="A49" s="38" t="s">
        <v>47</v>
      </c>
      <c r="B49" s="30">
        <f>TFam!F50</f>
        <v>11170</v>
      </c>
      <c r="C49" s="30">
        <f>'Two-par'!F50</f>
        <v>204</v>
      </c>
      <c r="D49" s="30">
        <f>'One-par'!F50</f>
        <v>3050</v>
      </c>
      <c r="E49" s="30">
        <f>'Zero-par'!F50</f>
        <v>7916</v>
      </c>
      <c r="F49" s="30">
        <f>TRec!F50</f>
        <v>24489</v>
      </c>
      <c r="G49" s="30">
        <f>Adults!F50</f>
        <v>5142</v>
      </c>
      <c r="H49" s="30">
        <f>Children!F50</f>
        <v>19347</v>
      </c>
    </row>
    <row r="50" spans="1:18" s="31" customFormat="1" x14ac:dyDescent="0.2">
      <c r="A50" s="38" t="s">
        <v>48</v>
      </c>
      <c r="B50" s="30">
        <f>TFam!F51</f>
        <v>8965</v>
      </c>
      <c r="C50" s="30">
        <f>'Two-par'!F51</f>
        <v>0</v>
      </c>
      <c r="D50" s="30">
        <f>'One-par'!F51</f>
        <v>2337</v>
      </c>
      <c r="E50" s="30">
        <f>'Zero-par'!F51</f>
        <v>6628</v>
      </c>
      <c r="F50" s="30">
        <f>TRec!F51</f>
        <v>17593</v>
      </c>
      <c r="G50" s="30">
        <f>Adults!F51</f>
        <v>2337</v>
      </c>
      <c r="H50" s="30">
        <f>Children!F51</f>
        <v>15256</v>
      </c>
    </row>
    <row r="51" spans="1:18" s="31" customFormat="1" x14ac:dyDescent="0.2">
      <c r="A51" s="38" t="s">
        <v>49</v>
      </c>
      <c r="B51" s="30">
        <f>TFam!F52</f>
        <v>1859</v>
      </c>
      <c r="C51" s="30">
        <f>'Two-par'!F52</f>
        <v>0</v>
      </c>
      <c r="D51" s="30">
        <f>'One-par'!F52</f>
        <v>782</v>
      </c>
      <c r="E51" s="30">
        <f>'Zero-par'!F52</f>
        <v>1077</v>
      </c>
      <c r="F51" s="30">
        <f>TRec!F52</f>
        <v>4265</v>
      </c>
      <c r="G51" s="30">
        <f>Adults!F52</f>
        <v>1098</v>
      </c>
      <c r="H51" s="30">
        <f>Children!F52</f>
        <v>3167</v>
      </c>
    </row>
    <row r="52" spans="1:18" s="31" customFormat="1" x14ac:dyDescent="0.2">
      <c r="A52" s="38" t="s">
        <v>50</v>
      </c>
      <c r="B52" s="30">
        <f>TFam!F53</f>
        <v>1711</v>
      </c>
      <c r="C52" s="30">
        <f>'Two-par'!F53</f>
        <v>114</v>
      </c>
      <c r="D52" s="30">
        <f>'One-par'!F53</f>
        <v>648</v>
      </c>
      <c r="E52" s="30">
        <f>'Zero-par'!F53</f>
        <v>949</v>
      </c>
      <c r="F52" s="30">
        <f>TRec!F53</f>
        <v>3616</v>
      </c>
      <c r="G52" s="30">
        <f>Adults!F53</f>
        <v>879</v>
      </c>
      <c r="H52" s="30">
        <f>Children!F53</f>
        <v>2737</v>
      </c>
    </row>
    <row r="53" spans="1:18" s="31" customFormat="1" x14ac:dyDescent="0.2">
      <c r="A53" s="38" t="s">
        <v>51</v>
      </c>
      <c r="B53" s="32">
        <f>TFam!F54</f>
        <v>57</v>
      </c>
      <c r="C53" s="32">
        <f>'Two-par'!F54</f>
        <v>0</v>
      </c>
      <c r="D53" s="32">
        <f>'One-par'!F54</f>
        <v>47</v>
      </c>
      <c r="E53" s="32">
        <f>'Zero-par'!F54</f>
        <v>10</v>
      </c>
      <c r="F53" s="32">
        <f>TRec!F54</f>
        <v>198</v>
      </c>
      <c r="G53" s="32">
        <f>Adults!F54</f>
        <v>57</v>
      </c>
      <c r="H53" s="32">
        <f>Children!F54</f>
        <v>141</v>
      </c>
    </row>
    <row r="54" spans="1:18" s="31" customFormat="1" x14ac:dyDescent="0.2">
      <c r="A54" s="38" t="s">
        <v>52</v>
      </c>
      <c r="B54" s="30">
        <f>TFam!F55</f>
        <v>13282</v>
      </c>
      <c r="C54" s="30">
        <f>'Two-par'!F55</f>
        <v>0</v>
      </c>
      <c r="D54" s="30">
        <f>'One-par'!F55</f>
        <v>6954</v>
      </c>
      <c r="E54" s="30">
        <f>'Zero-par'!F55</f>
        <v>6328</v>
      </c>
      <c r="F54" s="30">
        <f>TRec!F55</f>
        <v>29977</v>
      </c>
      <c r="G54" s="30">
        <f>Adults!F55</f>
        <v>6859</v>
      </c>
      <c r="H54" s="30">
        <f>Children!F55</f>
        <v>23118</v>
      </c>
    </row>
    <row r="55" spans="1:18" s="31" customFormat="1" x14ac:dyDescent="0.2">
      <c r="A55" s="38" t="s">
        <v>53</v>
      </c>
      <c r="B55" s="30">
        <f>TFam!F56</f>
        <v>32843</v>
      </c>
      <c r="C55" s="30">
        <f>'Two-par'!F56</f>
        <v>4424</v>
      </c>
      <c r="D55" s="30">
        <f>'One-par'!F56</f>
        <v>17797</v>
      </c>
      <c r="E55" s="30">
        <f>'Zero-par'!F56</f>
        <v>10622</v>
      </c>
      <c r="F55" s="30">
        <f>TRec!F56</f>
        <v>82620</v>
      </c>
      <c r="G55" s="30">
        <f>Adults!F56</f>
        <v>27090</v>
      </c>
      <c r="H55" s="30">
        <f>Children!F56</f>
        <v>55530</v>
      </c>
    </row>
    <row r="56" spans="1:18" s="31" customFormat="1" x14ac:dyDescent="0.2">
      <c r="A56" s="38" t="s">
        <v>54</v>
      </c>
      <c r="B56" s="32">
        <f>TFam!F57</f>
        <v>4808</v>
      </c>
      <c r="C56" s="32">
        <f>'Two-par'!F57</f>
        <v>0</v>
      </c>
      <c r="D56" s="32">
        <f>'One-par'!F57</f>
        <v>1151</v>
      </c>
      <c r="E56" s="32">
        <f>'Zero-par'!F57</f>
        <v>3657</v>
      </c>
      <c r="F56" s="32">
        <f>TRec!F57</f>
        <v>9342</v>
      </c>
      <c r="G56" s="32">
        <f>Adults!F57</f>
        <v>1532</v>
      </c>
      <c r="H56" s="32">
        <f>Children!F57</f>
        <v>7810</v>
      </c>
    </row>
    <row r="57" spans="1:18" s="31" customFormat="1" x14ac:dyDescent="0.2">
      <c r="A57" s="38" t="s">
        <v>55</v>
      </c>
      <c r="B57" s="30">
        <f>TFam!F58</f>
        <v>11322</v>
      </c>
      <c r="C57" s="30">
        <f>'Two-par'!F58</f>
        <v>73</v>
      </c>
      <c r="D57" s="30">
        <f>'One-par'!F58</f>
        <v>3071</v>
      </c>
      <c r="E57" s="30">
        <f>'Zero-par'!F58</f>
        <v>8178</v>
      </c>
      <c r="F57" s="30">
        <f>TRec!F58</f>
        <v>23596</v>
      </c>
      <c r="G57" s="30">
        <f>Adults!F58</f>
        <v>3422</v>
      </c>
      <c r="H57" s="30">
        <f>Children!F58</f>
        <v>20174</v>
      </c>
    </row>
    <row r="58" spans="1:18" s="31" customFormat="1" x14ac:dyDescent="0.2">
      <c r="A58" s="39" t="s">
        <v>56</v>
      </c>
      <c r="B58" s="33">
        <f>TFam!F59</f>
        <v>476</v>
      </c>
      <c r="C58" s="33">
        <f>'Two-par'!F59</f>
        <v>17</v>
      </c>
      <c r="D58" s="33">
        <f>'One-par'!F59</f>
        <v>249</v>
      </c>
      <c r="E58" s="33">
        <f>'Zero-par'!F59</f>
        <v>210</v>
      </c>
      <c r="F58" s="33">
        <f>TRec!F59</f>
        <v>1184</v>
      </c>
      <c r="G58" s="33">
        <f>Adults!F59</f>
        <v>282</v>
      </c>
      <c r="H58" s="33">
        <f>Children!F59</f>
        <v>902</v>
      </c>
    </row>
    <row r="59" spans="1:18" x14ac:dyDescent="0.2">
      <c r="A59" s="82">
        <f>TFam!$A$3</f>
        <v>45687</v>
      </c>
      <c r="B59" s="71"/>
      <c r="C59" s="71"/>
      <c r="D59" s="71"/>
      <c r="E59" s="71"/>
      <c r="F59" s="71"/>
      <c r="G59" s="71"/>
      <c r="H59" s="71"/>
      <c r="I59" s="58"/>
      <c r="J59" s="58"/>
      <c r="K59" s="58"/>
      <c r="L59" s="58"/>
      <c r="M59" s="58"/>
      <c r="N59" s="58"/>
      <c r="O59" s="58"/>
      <c r="P59" s="58"/>
      <c r="Q59" s="58"/>
      <c r="R59" s="58"/>
    </row>
    <row r="60" spans="1:18" x14ac:dyDescent="0.2">
      <c r="A60" s="73" t="str">
        <f>'Oct23'!A60</f>
        <v xml:space="preserve">    </v>
      </c>
      <c r="B60" s="83"/>
      <c r="C60" s="83"/>
      <c r="D60" s="83"/>
      <c r="E60" s="83"/>
      <c r="F60" s="83"/>
      <c r="G60" s="83"/>
      <c r="H60" s="83"/>
    </row>
    <row r="61" spans="1:18" x14ac:dyDescent="0.2">
      <c r="A61" s="73" t="str">
        <f>'Oct23'!A61</f>
        <v xml:space="preserve">Notes: </v>
      </c>
      <c r="B61" s="83"/>
      <c r="C61" s="83"/>
      <c r="D61" s="83"/>
      <c r="E61" s="83"/>
      <c r="F61" s="83"/>
      <c r="G61" s="83"/>
      <c r="H61" s="83"/>
    </row>
    <row r="62" spans="1:18" x14ac:dyDescent="0.2">
      <c r="A62" s="73" t="str">
        <f>'Oct23'!A62</f>
        <v>"-" - data inapplicable</v>
      </c>
      <c r="B62" s="83"/>
      <c r="C62" s="83"/>
      <c r="D62" s="83"/>
      <c r="E62" s="83"/>
      <c r="F62" s="83"/>
      <c r="G62" s="83"/>
      <c r="H62" s="83"/>
    </row>
    <row r="63" spans="1:18" x14ac:dyDescent="0.2">
      <c r="A63" s="40"/>
      <c r="B63" s="36"/>
      <c r="D63" s="36"/>
      <c r="E63" s="36"/>
    </row>
    <row r="64" spans="1:18" x14ac:dyDescent="0.2">
      <c r="A64" s="40"/>
      <c r="B64" s="36"/>
      <c r="D64" s="36"/>
      <c r="E64" s="36"/>
    </row>
    <row r="65" spans="1:5" x14ac:dyDescent="0.2">
      <c r="A65" s="40"/>
      <c r="B65" s="36"/>
      <c r="E65" s="36"/>
    </row>
    <row r="66" spans="1:5" x14ac:dyDescent="0.2">
      <c r="A66" s="40"/>
      <c r="B66" s="36"/>
    </row>
    <row r="67" spans="1:5" x14ac:dyDescent="0.2">
      <c r="A67" s="40"/>
      <c r="B67" s="36"/>
    </row>
    <row r="68" spans="1:5" x14ac:dyDescent="0.2">
      <c r="A68" s="40"/>
      <c r="B68" s="36"/>
    </row>
    <row r="69" spans="1:5" x14ac:dyDescent="0.2">
      <c r="A69" s="40"/>
      <c r="B69" s="36"/>
    </row>
    <row r="70" spans="1:5" x14ac:dyDescent="0.2">
      <c r="A70" s="40"/>
      <c r="B70" s="36"/>
    </row>
    <row r="71" spans="1:5" x14ac:dyDescent="0.2">
      <c r="A71" s="40"/>
      <c r="B71" s="36"/>
    </row>
    <row r="72" spans="1:5" x14ac:dyDescent="0.2">
      <c r="A72" s="40"/>
      <c r="B72" s="36"/>
    </row>
    <row r="73" spans="1:5" x14ac:dyDescent="0.2">
      <c r="A73" s="40"/>
      <c r="B73" s="36"/>
    </row>
    <row r="74" spans="1:5" x14ac:dyDescent="0.2">
      <c r="A74" s="40"/>
      <c r="B74" s="36"/>
    </row>
    <row r="75" spans="1:5" x14ac:dyDescent="0.2">
      <c r="A75" s="40"/>
      <c r="B75" s="36"/>
    </row>
    <row r="76" spans="1:5" x14ac:dyDescent="0.2">
      <c r="A76" s="40"/>
      <c r="B76" s="36"/>
    </row>
    <row r="77" spans="1:5" x14ac:dyDescent="0.2">
      <c r="A77" s="40"/>
      <c r="B77" s="36"/>
    </row>
    <row r="78" spans="1:5" x14ac:dyDescent="0.2">
      <c r="A78" s="40"/>
      <c r="B78" s="36"/>
    </row>
    <row r="79" spans="1:5" x14ac:dyDescent="0.2">
      <c r="A79" s="40"/>
      <c r="B79" s="36"/>
    </row>
    <row r="80" spans="1:5" x14ac:dyDescent="0.2">
      <c r="A80" s="40"/>
      <c r="B80" s="36"/>
    </row>
    <row r="81" spans="1:2" x14ac:dyDescent="0.2">
      <c r="A81" s="40"/>
      <c r="B81" s="36"/>
    </row>
    <row r="82" spans="1:2" x14ac:dyDescent="0.2">
      <c r="A82" s="40"/>
      <c r="B82" s="36"/>
    </row>
    <row r="83" spans="1:2" x14ac:dyDescent="0.2">
      <c r="A83" s="40"/>
      <c r="B83" s="36"/>
    </row>
    <row r="84" spans="1:2" x14ac:dyDescent="0.2">
      <c r="A84" s="40"/>
      <c r="B84" s="36"/>
    </row>
    <row r="85" spans="1:2" x14ac:dyDescent="0.2">
      <c r="A85" s="40"/>
      <c r="B85" s="36"/>
    </row>
    <row r="86" spans="1:2" x14ac:dyDescent="0.2">
      <c r="A86" s="40"/>
      <c r="B86" s="36"/>
    </row>
    <row r="87" spans="1:2" x14ac:dyDescent="0.2">
      <c r="A87" s="40"/>
      <c r="B87" s="36"/>
    </row>
    <row r="88" spans="1:2" x14ac:dyDescent="0.2">
      <c r="A88" s="40"/>
      <c r="B88" s="36"/>
    </row>
    <row r="89" spans="1:2" x14ac:dyDescent="0.2">
      <c r="A89" s="40"/>
      <c r="B89" s="36"/>
    </row>
    <row r="90" spans="1:2" x14ac:dyDescent="0.2">
      <c r="A90" s="40"/>
      <c r="B90" s="36"/>
    </row>
    <row r="91" spans="1:2" x14ac:dyDescent="0.2">
      <c r="A91" s="40"/>
      <c r="B91" s="36"/>
    </row>
    <row r="92" spans="1:2" x14ac:dyDescent="0.2">
      <c r="A92" s="40"/>
      <c r="B92" s="36"/>
    </row>
    <row r="93" spans="1:2" x14ac:dyDescent="0.2">
      <c r="A93" s="40"/>
      <c r="B93" s="36"/>
    </row>
    <row r="94" spans="1:2" x14ac:dyDescent="0.2">
      <c r="A94" s="40"/>
      <c r="B94" s="36"/>
    </row>
    <row r="95" spans="1:2" x14ac:dyDescent="0.2">
      <c r="A95" s="40"/>
      <c r="B95" s="36"/>
    </row>
    <row r="96" spans="1:2" x14ac:dyDescent="0.2">
      <c r="A96" s="40"/>
      <c r="B96" s="36"/>
    </row>
    <row r="97" spans="1:2" x14ac:dyDescent="0.2">
      <c r="A97" s="40"/>
      <c r="B97" s="36"/>
    </row>
    <row r="98" spans="1:2" x14ac:dyDescent="0.2">
      <c r="A98" s="40"/>
      <c r="B98" s="36"/>
    </row>
    <row r="99" spans="1:2" x14ac:dyDescent="0.2">
      <c r="A99" s="40"/>
      <c r="B99" s="36"/>
    </row>
    <row r="100" spans="1:2" x14ac:dyDescent="0.2">
      <c r="A100" s="40"/>
      <c r="B100" s="36"/>
    </row>
    <row r="101" spans="1:2" x14ac:dyDescent="0.2">
      <c r="A101" s="40"/>
      <c r="B101" s="36"/>
    </row>
    <row r="102" spans="1:2" x14ac:dyDescent="0.2">
      <c r="A102" s="40"/>
      <c r="B102" s="36"/>
    </row>
    <row r="103" spans="1:2" x14ac:dyDescent="0.2">
      <c r="A103" s="40"/>
      <c r="B103" s="36"/>
    </row>
    <row r="104" spans="1:2" x14ac:dyDescent="0.2">
      <c r="A104" s="40"/>
      <c r="B104" s="36"/>
    </row>
    <row r="105" spans="1:2" x14ac:dyDescent="0.2">
      <c r="A105" s="40"/>
      <c r="B105" s="36"/>
    </row>
    <row r="106" spans="1:2" x14ac:dyDescent="0.2">
      <c r="A106" s="40"/>
      <c r="B106" s="36"/>
    </row>
    <row r="107" spans="1:2" x14ac:dyDescent="0.2">
      <c r="A107" s="40"/>
      <c r="B107" s="36"/>
    </row>
    <row r="108" spans="1:2" x14ac:dyDescent="0.2">
      <c r="A108" s="40"/>
      <c r="B108" s="36"/>
    </row>
    <row r="109" spans="1:2" x14ac:dyDescent="0.2">
      <c r="A109" s="40"/>
      <c r="B109" s="36"/>
    </row>
    <row r="110" spans="1:2" x14ac:dyDescent="0.2">
      <c r="A110" s="40"/>
      <c r="B110" s="36"/>
    </row>
    <row r="111" spans="1:2" x14ac:dyDescent="0.2">
      <c r="A111" s="40"/>
      <c r="B111" s="36"/>
    </row>
    <row r="112" spans="1:2" x14ac:dyDescent="0.2">
      <c r="A112" s="40"/>
      <c r="B112" s="36"/>
    </row>
    <row r="113" spans="1:2" x14ac:dyDescent="0.2">
      <c r="A113" s="40"/>
      <c r="B113" s="36"/>
    </row>
    <row r="114" spans="1:2" x14ac:dyDescent="0.2">
      <c r="A114" s="40"/>
      <c r="B114" s="36"/>
    </row>
    <row r="115" spans="1:2" x14ac:dyDescent="0.2">
      <c r="A115" s="40"/>
      <c r="B115" s="36"/>
    </row>
    <row r="116" spans="1:2" x14ac:dyDescent="0.2">
      <c r="A116" s="40"/>
      <c r="B116" s="36"/>
    </row>
    <row r="117" spans="1:2" x14ac:dyDescent="0.2">
      <c r="A117" s="40"/>
      <c r="B117" s="36"/>
    </row>
    <row r="118" spans="1:2" x14ac:dyDescent="0.2">
      <c r="A118" s="40"/>
      <c r="B118" s="36"/>
    </row>
    <row r="119" spans="1:2" x14ac:dyDescent="0.2">
      <c r="A119" s="40"/>
      <c r="B119" s="36"/>
    </row>
    <row r="120" spans="1:2" x14ac:dyDescent="0.2">
      <c r="A120" s="40"/>
      <c r="B120" s="36"/>
    </row>
    <row r="121" spans="1:2" x14ac:dyDescent="0.2">
      <c r="A121" s="40"/>
      <c r="B121" s="36"/>
    </row>
    <row r="122" spans="1:2" x14ac:dyDescent="0.2">
      <c r="A122" s="40"/>
      <c r="B122" s="36"/>
    </row>
    <row r="123" spans="1:2" x14ac:dyDescent="0.2">
      <c r="A123" s="40"/>
      <c r="B123" s="36"/>
    </row>
    <row r="124" spans="1:2" x14ac:dyDescent="0.2">
      <c r="A124" s="40"/>
      <c r="B124" s="36"/>
    </row>
    <row r="125" spans="1:2" x14ac:dyDescent="0.2">
      <c r="A125" s="40"/>
      <c r="B125" s="36"/>
    </row>
    <row r="126" spans="1:2" x14ac:dyDescent="0.2">
      <c r="A126" s="40"/>
      <c r="B126" s="36"/>
    </row>
    <row r="127" spans="1:2" x14ac:dyDescent="0.2">
      <c r="A127" s="40"/>
      <c r="B127" s="36"/>
    </row>
    <row r="128" spans="1:2" x14ac:dyDescent="0.2">
      <c r="A128" s="40"/>
      <c r="B128" s="36"/>
    </row>
    <row r="129" spans="1:2" x14ac:dyDescent="0.2">
      <c r="A129" s="40"/>
      <c r="B129" s="36"/>
    </row>
    <row r="130" spans="1:2" x14ac:dyDescent="0.2">
      <c r="A130" s="40"/>
      <c r="B130" s="36"/>
    </row>
    <row r="131" spans="1:2" x14ac:dyDescent="0.2">
      <c r="A131" s="40"/>
      <c r="B131" s="36"/>
    </row>
    <row r="132" spans="1:2" x14ac:dyDescent="0.2">
      <c r="A132" s="40"/>
      <c r="B132" s="36"/>
    </row>
    <row r="133" spans="1:2" x14ac:dyDescent="0.2">
      <c r="A133" s="40"/>
      <c r="B133" s="36"/>
    </row>
    <row r="134" spans="1:2" x14ac:dyDescent="0.2">
      <c r="A134" s="40"/>
      <c r="B134" s="36"/>
    </row>
    <row r="135" spans="1:2" x14ac:dyDescent="0.2">
      <c r="A135" s="40"/>
      <c r="B135" s="36"/>
    </row>
    <row r="136" spans="1:2" x14ac:dyDescent="0.2">
      <c r="A136" s="40"/>
      <c r="B136" s="36"/>
    </row>
    <row r="137" spans="1:2" x14ac:dyDescent="0.2">
      <c r="A137" s="40"/>
      <c r="B137" s="36"/>
    </row>
    <row r="138" spans="1:2" x14ac:dyDescent="0.2">
      <c r="A138" s="40"/>
      <c r="B138" s="36"/>
    </row>
    <row r="139" spans="1:2" x14ac:dyDescent="0.2">
      <c r="A139" s="40"/>
      <c r="B139" s="36"/>
    </row>
    <row r="140" spans="1:2" x14ac:dyDescent="0.2">
      <c r="A140" s="40"/>
      <c r="B140" s="36"/>
    </row>
    <row r="141" spans="1:2" x14ac:dyDescent="0.2">
      <c r="A141" s="40"/>
      <c r="B141" s="36"/>
    </row>
    <row r="142" spans="1:2" x14ac:dyDescent="0.2">
      <c r="A142" s="40"/>
      <c r="B142" s="36"/>
    </row>
    <row r="143" spans="1:2" x14ac:dyDescent="0.2">
      <c r="A143" s="40"/>
      <c r="B143" s="36"/>
    </row>
    <row r="144" spans="1:2" x14ac:dyDescent="0.2">
      <c r="A144" s="40"/>
      <c r="B144" s="36"/>
    </row>
    <row r="145" spans="1:2" x14ac:dyDescent="0.2">
      <c r="A145" s="40"/>
      <c r="B145" s="36"/>
    </row>
    <row r="146" spans="1:2" x14ac:dyDescent="0.2">
      <c r="A146" s="40"/>
      <c r="B146" s="36"/>
    </row>
    <row r="147" spans="1:2" x14ac:dyDescent="0.2">
      <c r="A147" s="40"/>
      <c r="B147" s="36"/>
    </row>
    <row r="148" spans="1:2" x14ac:dyDescent="0.2">
      <c r="A148" s="40"/>
      <c r="B148" s="36"/>
    </row>
    <row r="149" spans="1:2" x14ac:dyDescent="0.2">
      <c r="A149" s="40"/>
      <c r="B149" s="36"/>
    </row>
    <row r="150" spans="1:2" x14ac:dyDescent="0.2">
      <c r="A150" s="40"/>
      <c r="B150" s="36"/>
    </row>
    <row r="151" spans="1:2" x14ac:dyDescent="0.2">
      <c r="A151" s="40"/>
      <c r="B151" s="36"/>
    </row>
    <row r="152" spans="1:2" x14ac:dyDescent="0.2">
      <c r="A152" s="40"/>
      <c r="B152" s="36"/>
    </row>
    <row r="153" spans="1:2" x14ac:dyDescent="0.2">
      <c r="A153" s="40"/>
      <c r="B153" s="36"/>
    </row>
    <row r="154" spans="1:2" x14ac:dyDescent="0.2">
      <c r="A154" s="40"/>
      <c r="B154" s="36"/>
    </row>
    <row r="155" spans="1:2" x14ac:dyDescent="0.2">
      <c r="A155" s="40"/>
      <c r="B155" s="36"/>
    </row>
    <row r="156" spans="1:2" x14ac:dyDescent="0.2">
      <c r="A156" s="40"/>
      <c r="B156" s="36"/>
    </row>
    <row r="157" spans="1:2" x14ac:dyDescent="0.2">
      <c r="A157" s="40"/>
      <c r="B157" s="36"/>
    </row>
    <row r="158" spans="1:2" x14ac:dyDescent="0.2">
      <c r="A158" s="40"/>
      <c r="B158" s="36"/>
    </row>
    <row r="159" spans="1:2" x14ac:dyDescent="0.2">
      <c r="A159" s="40"/>
      <c r="B159" s="36"/>
    </row>
    <row r="160" spans="1:2" x14ac:dyDescent="0.2">
      <c r="A160" s="40"/>
      <c r="B160" s="36"/>
    </row>
    <row r="161" spans="1:2" x14ac:dyDescent="0.2">
      <c r="A161" s="40"/>
      <c r="B161" s="36"/>
    </row>
    <row r="162" spans="1:2" x14ac:dyDescent="0.2">
      <c r="A162" s="40"/>
      <c r="B162" s="36"/>
    </row>
    <row r="163" spans="1:2" x14ac:dyDescent="0.2">
      <c r="A163" s="40"/>
      <c r="B163" s="36"/>
    </row>
    <row r="164" spans="1:2" x14ac:dyDescent="0.2">
      <c r="A164" s="40"/>
      <c r="B164" s="36"/>
    </row>
    <row r="165" spans="1:2" x14ac:dyDescent="0.2">
      <c r="A165" s="40"/>
      <c r="B165" s="36"/>
    </row>
    <row r="166" spans="1:2" x14ac:dyDescent="0.2">
      <c r="A166" s="40"/>
      <c r="B166" s="36"/>
    </row>
    <row r="167" spans="1:2" x14ac:dyDescent="0.2">
      <c r="A167" s="40"/>
      <c r="B167" s="36"/>
    </row>
    <row r="168" spans="1:2" x14ac:dyDescent="0.2">
      <c r="A168" s="40"/>
      <c r="B168" s="36"/>
    </row>
    <row r="169" spans="1:2" x14ac:dyDescent="0.2">
      <c r="A169" s="40"/>
      <c r="B169" s="36"/>
    </row>
    <row r="170" spans="1:2" x14ac:dyDescent="0.2">
      <c r="A170" s="40"/>
      <c r="B170" s="36"/>
    </row>
    <row r="171" spans="1:2" x14ac:dyDescent="0.2">
      <c r="A171" s="40"/>
      <c r="B171" s="36"/>
    </row>
    <row r="172" spans="1:2" x14ac:dyDescent="0.2">
      <c r="A172" s="40"/>
      <c r="B172" s="36"/>
    </row>
    <row r="173" spans="1:2" x14ac:dyDescent="0.2">
      <c r="A173" s="40"/>
      <c r="B173" s="36"/>
    </row>
    <row r="174" spans="1:2" x14ac:dyDescent="0.2">
      <c r="A174" s="40"/>
      <c r="B174" s="36"/>
    </row>
    <row r="175" spans="1:2" x14ac:dyDescent="0.2">
      <c r="A175" s="40"/>
      <c r="B175" s="36"/>
    </row>
    <row r="176" spans="1:2" x14ac:dyDescent="0.2">
      <c r="A176" s="40"/>
      <c r="B176" s="36"/>
    </row>
    <row r="177" spans="1:2" x14ac:dyDescent="0.2">
      <c r="A177" s="40"/>
      <c r="B177" s="36"/>
    </row>
    <row r="178" spans="1:2" x14ac:dyDescent="0.2">
      <c r="A178" s="40"/>
      <c r="B178" s="36"/>
    </row>
    <row r="179" spans="1:2" x14ac:dyDescent="0.2">
      <c r="A179" s="40"/>
      <c r="B179" s="36"/>
    </row>
    <row r="180" spans="1:2" x14ac:dyDescent="0.2">
      <c r="A180" s="40"/>
      <c r="B180" s="36"/>
    </row>
    <row r="181" spans="1:2" x14ac:dyDescent="0.2">
      <c r="A181" s="40"/>
      <c r="B181" s="36"/>
    </row>
    <row r="182" spans="1:2" x14ac:dyDescent="0.2">
      <c r="A182" s="40"/>
      <c r="B182" s="36"/>
    </row>
    <row r="183" spans="1:2" x14ac:dyDescent="0.2">
      <c r="A183" s="40"/>
      <c r="B183" s="36"/>
    </row>
    <row r="184" spans="1:2" x14ac:dyDescent="0.2">
      <c r="A184" s="40"/>
      <c r="B184" s="36"/>
    </row>
    <row r="185" spans="1:2" x14ac:dyDescent="0.2">
      <c r="A185" s="40"/>
      <c r="B185" s="36"/>
    </row>
    <row r="186" spans="1:2" x14ac:dyDescent="0.2">
      <c r="A186" s="40"/>
      <c r="B186" s="36"/>
    </row>
    <row r="187" spans="1:2" x14ac:dyDescent="0.2">
      <c r="A187" s="40"/>
      <c r="B187" s="36"/>
    </row>
    <row r="188" spans="1:2" x14ac:dyDescent="0.2">
      <c r="A188" s="40"/>
      <c r="B188" s="36"/>
    </row>
    <row r="189" spans="1:2" x14ac:dyDescent="0.2">
      <c r="A189" s="40"/>
      <c r="B189" s="36"/>
    </row>
    <row r="190" spans="1:2" x14ac:dyDescent="0.2">
      <c r="A190" s="40"/>
      <c r="B190" s="36"/>
    </row>
    <row r="191" spans="1:2" x14ac:dyDescent="0.2">
      <c r="A191" s="40"/>
      <c r="B191" s="36"/>
    </row>
    <row r="192" spans="1:2" x14ac:dyDescent="0.2">
      <c r="A192" s="40"/>
      <c r="B192" s="36"/>
    </row>
    <row r="193" spans="1:2" x14ac:dyDescent="0.2">
      <c r="A193" s="40"/>
      <c r="B193" s="36"/>
    </row>
    <row r="194" spans="1:2" x14ac:dyDescent="0.2">
      <c r="A194" s="40"/>
      <c r="B194" s="36"/>
    </row>
    <row r="195" spans="1:2" x14ac:dyDescent="0.2">
      <c r="A195" s="40"/>
      <c r="B195" s="36"/>
    </row>
    <row r="196" spans="1:2" x14ac:dyDescent="0.2">
      <c r="A196" s="40"/>
      <c r="B196" s="36"/>
    </row>
    <row r="197" spans="1:2" x14ac:dyDescent="0.2">
      <c r="A197" s="40"/>
      <c r="B197" s="36"/>
    </row>
    <row r="198" spans="1:2" x14ac:dyDescent="0.2">
      <c r="A198" s="40"/>
      <c r="B198" s="36"/>
    </row>
    <row r="199" spans="1:2" x14ac:dyDescent="0.2">
      <c r="A199" s="40"/>
      <c r="B199" s="36"/>
    </row>
    <row r="200" spans="1:2" x14ac:dyDescent="0.2">
      <c r="A200" s="40"/>
      <c r="B200" s="36"/>
    </row>
    <row r="201" spans="1:2" x14ac:dyDescent="0.2">
      <c r="A201" s="40"/>
      <c r="B201" s="36"/>
    </row>
    <row r="202" spans="1:2" x14ac:dyDescent="0.2">
      <c r="A202" s="40"/>
      <c r="B202" s="36"/>
    </row>
    <row r="203" spans="1:2" x14ac:dyDescent="0.2">
      <c r="A203" s="40"/>
      <c r="B203" s="36"/>
    </row>
    <row r="204" spans="1:2" x14ac:dyDescent="0.2">
      <c r="A204" s="40"/>
      <c r="B204" s="36"/>
    </row>
    <row r="205" spans="1:2" x14ac:dyDescent="0.2">
      <c r="A205" s="40"/>
      <c r="B205" s="36"/>
    </row>
    <row r="206" spans="1:2" x14ac:dyDescent="0.2">
      <c r="A206" s="40"/>
      <c r="B206" s="36"/>
    </row>
    <row r="207" spans="1:2" x14ac:dyDescent="0.2">
      <c r="A207" s="40"/>
      <c r="B207" s="36"/>
    </row>
    <row r="208" spans="1:2" x14ac:dyDescent="0.2">
      <c r="A208" s="40"/>
      <c r="B208" s="36"/>
    </row>
    <row r="209" spans="1:2" x14ac:dyDescent="0.2">
      <c r="A209" s="40"/>
      <c r="B209" s="36"/>
    </row>
    <row r="210" spans="1:2" x14ac:dyDescent="0.2">
      <c r="A210" s="40"/>
      <c r="B210" s="36"/>
    </row>
    <row r="211" spans="1:2" x14ac:dyDescent="0.2">
      <c r="A211" s="40"/>
      <c r="B211" s="36"/>
    </row>
    <row r="212" spans="1:2" x14ac:dyDescent="0.2">
      <c r="A212" s="40"/>
      <c r="B212" s="36"/>
    </row>
    <row r="213" spans="1:2" x14ac:dyDescent="0.2">
      <c r="A213" s="40"/>
      <c r="B213" s="36"/>
    </row>
    <row r="214" spans="1:2" x14ac:dyDescent="0.2">
      <c r="A214" s="40"/>
      <c r="B214" s="36"/>
    </row>
    <row r="215" spans="1:2" x14ac:dyDescent="0.2">
      <c r="A215" s="40"/>
      <c r="B215" s="36"/>
    </row>
    <row r="216" spans="1:2" x14ac:dyDescent="0.2">
      <c r="A216" s="40"/>
      <c r="B216" s="36"/>
    </row>
    <row r="217" spans="1:2" x14ac:dyDescent="0.2">
      <c r="A217" s="40"/>
      <c r="B217" s="36"/>
    </row>
    <row r="218" spans="1:2" x14ac:dyDescent="0.2">
      <c r="A218" s="40"/>
      <c r="B218" s="36"/>
    </row>
    <row r="219" spans="1:2" x14ac:dyDescent="0.2">
      <c r="A219" s="40"/>
      <c r="B219" s="36"/>
    </row>
    <row r="220" spans="1:2" x14ac:dyDescent="0.2">
      <c r="A220" s="40"/>
      <c r="B220" s="36"/>
    </row>
    <row r="221" spans="1:2" x14ac:dyDescent="0.2">
      <c r="A221" s="40"/>
      <c r="B221" s="36"/>
    </row>
    <row r="222" spans="1:2" x14ac:dyDescent="0.2">
      <c r="A222" s="40"/>
      <c r="B222" s="36"/>
    </row>
    <row r="223" spans="1:2" x14ac:dyDescent="0.2">
      <c r="A223" s="40"/>
      <c r="B223" s="36"/>
    </row>
    <row r="224" spans="1:2" x14ac:dyDescent="0.2">
      <c r="A224" s="40"/>
      <c r="B224" s="36"/>
    </row>
    <row r="225" spans="1:2" x14ac:dyDescent="0.2">
      <c r="A225" s="40"/>
      <c r="B225" s="36"/>
    </row>
    <row r="226" spans="1:2" x14ac:dyDescent="0.2">
      <c r="A226" s="40"/>
      <c r="B226" s="36"/>
    </row>
    <row r="227" spans="1:2" x14ac:dyDescent="0.2">
      <c r="A227" s="40"/>
      <c r="B227" s="36"/>
    </row>
    <row r="228" spans="1:2" x14ac:dyDescent="0.2">
      <c r="A228" s="40"/>
      <c r="B228" s="36"/>
    </row>
    <row r="229" spans="1:2" x14ac:dyDescent="0.2">
      <c r="A229" s="40"/>
      <c r="B229" s="36"/>
    </row>
    <row r="230" spans="1:2" x14ac:dyDescent="0.2">
      <c r="A230" s="40"/>
      <c r="B230" s="36"/>
    </row>
    <row r="231" spans="1:2" x14ac:dyDescent="0.2">
      <c r="A231" s="40"/>
      <c r="B231" s="36"/>
    </row>
    <row r="232" spans="1:2" x14ac:dyDescent="0.2">
      <c r="A232" s="40"/>
      <c r="B232" s="36"/>
    </row>
    <row r="233" spans="1:2" x14ac:dyDescent="0.2">
      <c r="A233" s="40"/>
      <c r="B233" s="36"/>
    </row>
    <row r="234" spans="1:2" x14ac:dyDescent="0.2">
      <c r="A234" s="40"/>
      <c r="B234" s="36"/>
    </row>
    <row r="235" spans="1:2" x14ac:dyDescent="0.2">
      <c r="A235" s="40"/>
      <c r="B235" s="36"/>
    </row>
    <row r="236" spans="1:2" x14ac:dyDescent="0.2">
      <c r="A236" s="40"/>
      <c r="B236" s="36"/>
    </row>
    <row r="237" spans="1:2" x14ac:dyDescent="0.2">
      <c r="A237" s="40"/>
      <c r="B237" s="36"/>
    </row>
    <row r="238" spans="1:2" x14ac:dyDescent="0.2">
      <c r="A238" s="40"/>
      <c r="B238" s="36"/>
    </row>
    <row r="239" spans="1:2" x14ac:dyDescent="0.2">
      <c r="A239" s="40"/>
      <c r="B239" s="36"/>
    </row>
    <row r="240" spans="1:2" x14ac:dyDescent="0.2">
      <c r="A240" s="40"/>
      <c r="B240" s="36"/>
    </row>
    <row r="241" spans="1:2" x14ac:dyDescent="0.2">
      <c r="A241" s="40"/>
      <c r="B241" s="36"/>
    </row>
    <row r="242" spans="1:2" x14ac:dyDescent="0.2">
      <c r="A242" s="40"/>
      <c r="B242" s="36"/>
    </row>
    <row r="243" spans="1:2" x14ac:dyDescent="0.2">
      <c r="A243" s="40"/>
      <c r="B243" s="36"/>
    </row>
    <row r="244" spans="1:2" x14ac:dyDescent="0.2">
      <c r="A244" s="40"/>
      <c r="B244" s="36"/>
    </row>
    <row r="245" spans="1:2" x14ac:dyDescent="0.2">
      <c r="A245" s="40"/>
      <c r="B245" s="36"/>
    </row>
    <row r="246" spans="1:2" x14ac:dyDescent="0.2">
      <c r="A246" s="40"/>
      <c r="B246" s="36"/>
    </row>
    <row r="247" spans="1:2" x14ac:dyDescent="0.2">
      <c r="A247" s="40"/>
      <c r="B247" s="36"/>
    </row>
    <row r="248" spans="1:2" x14ac:dyDescent="0.2">
      <c r="A248" s="40"/>
      <c r="B248" s="36"/>
    </row>
    <row r="249" spans="1:2" x14ac:dyDescent="0.2">
      <c r="A249" s="40"/>
      <c r="B249" s="36"/>
    </row>
    <row r="250" spans="1:2" x14ac:dyDescent="0.2">
      <c r="A250" s="40"/>
      <c r="B250" s="36"/>
    </row>
    <row r="251" spans="1:2" x14ac:dyDescent="0.2">
      <c r="A251" s="40"/>
      <c r="B251" s="36"/>
    </row>
    <row r="252" spans="1:2" x14ac:dyDescent="0.2">
      <c r="A252" s="40"/>
      <c r="B252" s="36"/>
    </row>
    <row r="253" spans="1:2" x14ac:dyDescent="0.2">
      <c r="A253" s="40"/>
      <c r="B253" s="36"/>
    </row>
    <row r="254" spans="1:2" x14ac:dyDescent="0.2">
      <c r="A254" s="40"/>
      <c r="B254" s="36"/>
    </row>
    <row r="255" spans="1:2" x14ac:dyDescent="0.2">
      <c r="A255" s="40"/>
      <c r="B255" s="36"/>
    </row>
    <row r="256" spans="1:2" x14ac:dyDescent="0.2">
      <c r="A256" s="40"/>
      <c r="B256" s="36"/>
    </row>
    <row r="257" spans="1:2" x14ac:dyDescent="0.2">
      <c r="A257" s="40"/>
      <c r="B257" s="36"/>
    </row>
    <row r="258" spans="1:2" x14ac:dyDescent="0.2">
      <c r="A258" s="40"/>
      <c r="B258" s="36"/>
    </row>
    <row r="259" spans="1:2" x14ac:dyDescent="0.2">
      <c r="A259" s="40"/>
      <c r="B259" s="36"/>
    </row>
    <row r="260" spans="1:2" x14ac:dyDescent="0.2">
      <c r="A260" s="40"/>
      <c r="B260" s="36"/>
    </row>
    <row r="261" spans="1:2" x14ac:dyDescent="0.2">
      <c r="A261" s="40"/>
      <c r="B261" s="36"/>
    </row>
    <row r="262" spans="1:2" x14ac:dyDescent="0.2">
      <c r="A262" s="40"/>
      <c r="B262" s="36"/>
    </row>
    <row r="263" spans="1:2" x14ac:dyDescent="0.2">
      <c r="A263" s="40"/>
      <c r="B263" s="36"/>
    </row>
    <row r="264" spans="1:2" x14ac:dyDescent="0.2">
      <c r="A264" s="40"/>
      <c r="B264" s="36"/>
    </row>
    <row r="265" spans="1:2" x14ac:dyDescent="0.2">
      <c r="A265" s="40"/>
      <c r="B265" s="36"/>
    </row>
    <row r="266" spans="1:2" x14ac:dyDescent="0.2">
      <c r="A266" s="40"/>
      <c r="B266" s="36"/>
    </row>
    <row r="267" spans="1:2" x14ac:dyDescent="0.2">
      <c r="A267" s="40"/>
      <c r="B267" s="36"/>
    </row>
    <row r="268" spans="1:2" x14ac:dyDescent="0.2">
      <c r="A268" s="40"/>
      <c r="B268" s="36"/>
    </row>
    <row r="269" spans="1:2" x14ac:dyDescent="0.2">
      <c r="A269" s="40"/>
      <c r="B269" s="36"/>
    </row>
    <row r="270" spans="1:2" x14ac:dyDescent="0.2">
      <c r="A270" s="40"/>
      <c r="B270" s="36"/>
    </row>
    <row r="271" spans="1:2" x14ac:dyDescent="0.2">
      <c r="A271" s="40"/>
      <c r="B271" s="36"/>
    </row>
    <row r="272" spans="1:2" x14ac:dyDescent="0.2">
      <c r="A272" s="40"/>
      <c r="B272" s="36"/>
    </row>
    <row r="273" spans="1:2" x14ac:dyDescent="0.2">
      <c r="A273" s="40"/>
      <c r="B273" s="36"/>
    </row>
    <row r="274" spans="1:2" x14ac:dyDescent="0.2">
      <c r="A274" s="40"/>
      <c r="B274" s="36"/>
    </row>
    <row r="275" spans="1:2" x14ac:dyDescent="0.2">
      <c r="A275" s="40"/>
      <c r="B275" s="36"/>
    </row>
    <row r="276" spans="1:2" x14ac:dyDescent="0.2">
      <c r="A276" s="40"/>
      <c r="B276" s="36"/>
    </row>
    <row r="277" spans="1:2" x14ac:dyDescent="0.2">
      <c r="A277" s="40"/>
      <c r="B277" s="36"/>
    </row>
    <row r="278" spans="1:2" x14ac:dyDescent="0.2">
      <c r="A278" s="40"/>
      <c r="B278" s="36"/>
    </row>
    <row r="279" spans="1:2" x14ac:dyDescent="0.2">
      <c r="A279" s="40"/>
      <c r="B279" s="36"/>
    </row>
    <row r="280" spans="1:2" x14ac:dyDescent="0.2">
      <c r="A280" s="40"/>
      <c r="B280" s="36"/>
    </row>
    <row r="281" spans="1:2" x14ac:dyDescent="0.2">
      <c r="A281" s="40"/>
      <c r="B281" s="36"/>
    </row>
    <row r="282" spans="1:2" x14ac:dyDescent="0.2">
      <c r="A282" s="40"/>
      <c r="B282" s="36"/>
    </row>
    <row r="283" spans="1:2" x14ac:dyDescent="0.2">
      <c r="A283" s="40"/>
      <c r="B283" s="36"/>
    </row>
    <row r="284" spans="1:2" x14ac:dyDescent="0.2">
      <c r="A284" s="40"/>
      <c r="B284" s="36"/>
    </row>
    <row r="285" spans="1:2" x14ac:dyDescent="0.2">
      <c r="A285" s="40"/>
      <c r="B285" s="36"/>
    </row>
    <row r="286" spans="1:2" x14ac:dyDescent="0.2">
      <c r="A286" s="40"/>
      <c r="B286" s="36"/>
    </row>
    <row r="287" spans="1:2" x14ac:dyDescent="0.2">
      <c r="A287" s="40"/>
      <c r="B287" s="36"/>
    </row>
    <row r="288" spans="1:2" x14ac:dyDescent="0.2">
      <c r="A288" s="40"/>
      <c r="B288" s="36"/>
    </row>
    <row r="289" spans="1:2" x14ac:dyDescent="0.2">
      <c r="A289" s="40"/>
      <c r="B289" s="36"/>
    </row>
    <row r="290" spans="1:2" x14ac:dyDescent="0.2">
      <c r="A290" s="40"/>
      <c r="B290" s="36"/>
    </row>
    <row r="291" spans="1:2" x14ac:dyDescent="0.2">
      <c r="A291" s="40"/>
      <c r="B291" s="36"/>
    </row>
    <row r="292" spans="1:2" x14ac:dyDescent="0.2">
      <c r="A292" s="40"/>
      <c r="B292" s="36"/>
    </row>
    <row r="293" spans="1:2" x14ac:dyDescent="0.2">
      <c r="A293" s="40"/>
      <c r="B293" s="36"/>
    </row>
    <row r="294" spans="1:2" x14ac:dyDescent="0.2">
      <c r="A294" s="40"/>
      <c r="B294" s="36"/>
    </row>
    <row r="295" spans="1:2" x14ac:dyDescent="0.2">
      <c r="A295" s="40"/>
      <c r="B295" s="36"/>
    </row>
    <row r="296" spans="1:2" x14ac:dyDescent="0.2">
      <c r="A296" s="40"/>
      <c r="B296" s="36"/>
    </row>
    <row r="297" spans="1:2" x14ac:dyDescent="0.2">
      <c r="A297" s="40"/>
      <c r="B297" s="36"/>
    </row>
    <row r="298" spans="1:2" x14ac:dyDescent="0.2">
      <c r="A298" s="40"/>
      <c r="B298" s="36"/>
    </row>
    <row r="299" spans="1:2" x14ac:dyDescent="0.2">
      <c r="A299" s="40"/>
      <c r="B299" s="36"/>
    </row>
    <row r="300" spans="1:2" x14ac:dyDescent="0.2">
      <c r="A300" s="40"/>
      <c r="B300" s="36"/>
    </row>
    <row r="301" spans="1:2" x14ac:dyDescent="0.2">
      <c r="A301" s="40"/>
      <c r="B301" s="36"/>
    </row>
    <row r="302" spans="1:2" x14ac:dyDescent="0.2">
      <c r="A302" s="40"/>
      <c r="B302" s="36"/>
    </row>
    <row r="303" spans="1:2" x14ac:dyDescent="0.2">
      <c r="A303" s="40"/>
      <c r="B303" s="36"/>
    </row>
    <row r="304" spans="1:2" x14ac:dyDescent="0.2">
      <c r="A304" s="40"/>
      <c r="B304" s="36"/>
    </row>
    <row r="305" spans="1:2" x14ac:dyDescent="0.2">
      <c r="A305" s="40"/>
      <c r="B305" s="36"/>
    </row>
    <row r="306" spans="1:2" x14ac:dyDescent="0.2">
      <c r="A306" s="40"/>
      <c r="B306" s="36"/>
    </row>
    <row r="307" spans="1:2" x14ac:dyDescent="0.2">
      <c r="A307" s="40"/>
      <c r="B307" s="36"/>
    </row>
    <row r="308" spans="1:2" x14ac:dyDescent="0.2">
      <c r="A308" s="40"/>
      <c r="B308" s="36"/>
    </row>
    <row r="309" spans="1:2" x14ac:dyDescent="0.2">
      <c r="A309" s="40"/>
      <c r="B309" s="36"/>
    </row>
    <row r="310" spans="1:2" x14ac:dyDescent="0.2">
      <c r="A310" s="40"/>
      <c r="B310" s="36"/>
    </row>
    <row r="311" spans="1:2" x14ac:dyDescent="0.2">
      <c r="A311" s="40"/>
      <c r="B311" s="36"/>
    </row>
    <row r="312" spans="1:2" x14ac:dyDescent="0.2">
      <c r="A312" s="40"/>
      <c r="B312" s="36"/>
    </row>
    <row r="313" spans="1:2" x14ac:dyDescent="0.2">
      <c r="A313" s="40"/>
      <c r="B313" s="36"/>
    </row>
    <row r="314" spans="1:2" x14ac:dyDescent="0.2">
      <c r="A314" s="40"/>
      <c r="B314" s="36"/>
    </row>
    <row r="315" spans="1:2" x14ac:dyDescent="0.2">
      <c r="A315" s="40"/>
      <c r="B315" s="36"/>
    </row>
    <row r="316" spans="1:2" x14ac:dyDescent="0.2">
      <c r="A316" s="40"/>
      <c r="B316" s="36"/>
    </row>
    <row r="317" spans="1:2" x14ac:dyDescent="0.2">
      <c r="A317" s="40"/>
      <c r="B317" s="36"/>
    </row>
    <row r="318" spans="1:2" x14ac:dyDescent="0.2">
      <c r="A318" s="40"/>
      <c r="B318" s="36"/>
    </row>
    <row r="319" spans="1:2" x14ac:dyDescent="0.2">
      <c r="A319" s="40"/>
      <c r="B319" s="36"/>
    </row>
    <row r="320" spans="1:2" x14ac:dyDescent="0.2">
      <c r="A320" s="40"/>
      <c r="B320" s="36"/>
    </row>
    <row r="321" spans="1:2" x14ac:dyDescent="0.2">
      <c r="A321" s="40"/>
      <c r="B321" s="36"/>
    </row>
    <row r="322" spans="1:2" x14ac:dyDescent="0.2">
      <c r="A322" s="40"/>
      <c r="B322" s="36"/>
    </row>
    <row r="323" spans="1:2" x14ac:dyDescent="0.2">
      <c r="A323" s="40"/>
      <c r="B323" s="36"/>
    </row>
    <row r="324" spans="1:2" x14ac:dyDescent="0.2">
      <c r="A324" s="40"/>
      <c r="B324" s="36"/>
    </row>
    <row r="325" spans="1:2" x14ac:dyDescent="0.2">
      <c r="A325" s="40"/>
      <c r="B325" s="36"/>
    </row>
    <row r="326" spans="1:2" x14ac:dyDescent="0.2">
      <c r="A326" s="40"/>
      <c r="B326" s="36"/>
    </row>
    <row r="327" spans="1:2" x14ac:dyDescent="0.2">
      <c r="A327" s="40"/>
      <c r="B327" s="36"/>
    </row>
    <row r="328" spans="1:2" x14ac:dyDescent="0.2">
      <c r="A328" s="40"/>
      <c r="B328" s="36"/>
    </row>
    <row r="329" spans="1:2" x14ac:dyDescent="0.2">
      <c r="A329" s="40"/>
      <c r="B329" s="36"/>
    </row>
    <row r="330" spans="1:2" x14ac:dyDescent="0.2">
      <c r="A330" s="40"/>
      <c r="B330" s="36"/>
    </row>
    <row r="331" spans="1:2" x14ac:dyDescent="0.2">
      <c r="A331" s="40"/>
      <c r="B331" s="36"/>
    </row>
    <row r="332" spans="1:2" x14ac:dyDescent="0.2">
      <c r="A332" s="40"/>
      <c r="B332" s="36"/>
    </row>
    <row r="333" spans="1:2" x14ac:dyDescent="0.2">
      <c r="A333" s="40"/>
      <c r="B333" s="36"/>
    </row>
    <row r="334" spans="1:2" x14ac:dyDescent="0.2">
      <c r="A334" s="40"/>
      <c r="B334" s="36"/>
    </row>
    <row r="335" spans="1:2" x14ac:dyDescent="0.2">
      <c r="A335" s="40"/>
      <c r="B335" s="36"/>
    </row>
    <row r="336" spans="1:2" x14ac:dyDescent="0.2">
      <c r="A336" s="40"/>
      <c r="B336" s="36"/>
    </row>
    <row r="337" spans="1:2" x14ac:dyDescent="0.2">
      <c r="A337" s="40"/>
      <c r="B337" s="36"/>
    </row>
    <row r="338" spans="1:2" x14ac:dyDescent="0.2">
      <c r="A338" s="40"/>
      <c r="B338" s="36"/>
    </row>
    <row r="339" spans="1:2" x14ac:dyDescent="0.2">
      <c r="A339" s="40"/>
      <c r="B339" s="36"/>
    </row>
    <row r="340" spans="1:2" x14ac:dyDescent="0.2">
      <c r="A340" s="40"/>
      <c r="B340" s="36"/>
    </row>
    <row r="341" spans="1:2" x14ac:dyDescent="0.2">
      <c r="A341" s="40"/>
      <c r="B341" s="36"/>
    </row>
    <row r="342" spans="1:2" x14ac:dyDescent="0.2">
      <c r="A342" s="40"/>
      <c r="B342" s="36"/>
    </row>
    <row r="343" spans="1:2" x14ac:dyDescent="0.2">
      <c r="A343" s="40"/>
      <c r="B343" s="36"/>
    </row>
    <row r="344" spans="1:2" x14ac:dyDescent="0.2">
      <c r="A344" s="40"/>
      <c r="B344" s="36"/>
    </row>
    <row r="345" spans="1:2" x14ac:dyDescent="0.2">
      <c r="A345" s="40"/>
      <c r="B345" s="36"/>
    </row>
    <row r="346" spans="1:2" x14ac:dyDescent="0.2">
      <c r="A346" s="40"/>
      <c r="B346" s="36"/>
    </row>
    <row r="347" spans="1:2" x14ac:dyDescent="0.2">
      <c r="A347" s="40"/>
      <c r="B347" s="36"/>
    </row>
    <row r="348" spans="1:2" x14ac:dyDescent="0.2">
      <c r="A348" s="40"/>
      <c r="B348" s="36"/>
    </row>
    <row r="349" spans="1:2" x14ac:dyDescent="0.2">
      <c r="A349" s="40"/>
      <c r="B349" s="36"/>
    </row>
    <row r="350" spans="1:2" x14ac:dyDescent="0.2">
      <c r="A350" s="40"/>
      <c r="B350" s="36"/>
    </row>
    <row r="351" spans="1:2" x14ac:dyDescent="0.2">
      <c r="A351" s="40"/>
      <c r="B351" s="36"/>
    </row>
    <row r="352" spans="1:2" x14ac:dyDescent="0.2">
      <c r="A352" s="40"/>
      <c r="B352" s="36"/>
    </row>
    <row r="353" spans="1:2" x14ac:dyDescent="0.2">
      <c r="A353" s="40"/>
      <c r="B353" s="36"/>
    </row>
    <row r="354" spans="1:2" x14ac:dyDescent="0.2">
      <c r="A354" s="40"/>
      <c r="B354" s="36"/>
    </row>
    <row r="355" spans="1:2" x14ac:dyDescent="0.2">
      <c r="A355" s="40"/>
      <c r="B355" s="36"/>
    </row>
    <row r="356" spans="1:2" x14ac:dyDescent="0.2">
      <c r="A356" s="40"/>
      <c r="B356" s="36"/>
    </row>
    <row r="357" spans="1:2" x14ac:dyDescent="0.2">
      <c r="A357" s="40"/>
      <c r="B357" s="36"/>
    </row>
    <row r="358" spans="1:2" x14ac:dyDescent="0.2">
      <c r="A358" s="40"/>
      <c r="B358" s="36"/>
    </row>
    <row r="359" spans="1:2" x14ac:dyDescent="0.2">
      <c r="A359" s="40"/>
      <c r="B359" s="36"/>
    </row>
    <row r="360" spans="1:2" x14ac:dyDescent="0.2">
      <c r="A360" s="40"/>
      <c r="B360" s="36"/>
    </row>
    <row r="361" spans="1:2" x14ac:dyDescent="0.2">
      <c r="A361" s="40"/>
      <c r="B361" s="36"/>
    </row>
    <row r="362" spans="1:2" x14ac:dyDescent="0.2">
      <c r="A362" s="40"/>
      <c r="B362" s="36"/>
    </row>
    <row r="363" spans="1:2" x14ac:dyDescent="0.2">
      <c r="A363" s="40"/>
      <c r="B363" s="36"/>
    </row>
    <row r="364" spans="1:2" x14ac:dyDescent="0.2">
      <c r="A364" s="40"/>
      <c r="B364" s="36"/>
    </row>
    <row r="365" spans="1:2" x14ac:dyDescent="0.2">
      <c r="A365" s="40"/>
      <c r="B365" s="36"/>
    </row>
    <row r="366" spans="1:2" x14ac:dyDescent="0.2">
      <c r="A366" s="40"/>
      <c r="B366" s="36"/>
    </row>
    <row r="367" spans="1:2" x14ac:dyDescent="0.2">
      <c r="A367" s="40"/>
      <c r="B367" s="36"/>
    </row>
    <row r="368" spans="1:2" x14ac:dyDescent="0.2">
      <c r="A368" s="40"/>
      <c r="B368" s="36"/>
    </row>
    <row r="369" spans="1:2" x14ac:dyDescent="0.2">
      <c r="A369" s="40"/>
      <c r="B369" s="36"/>
    </row>
    <row r="370" spans="1:2" x14ac:dyDescent="0.2">
      <c r="A370" s="40"/>
      <c r="B370" s="36"/>
    </row>
    <row r="371" spans="1:2" x14ac:dyDescent="0.2">
      <c r="A371" s="40"/>
      <c r="B371" s="36"/>
    </row>
    <row r="372" spans="1:2" x14ac:dyDescent="0.2">
      <c r="A372" s="40"/>
      <c r="B372" s="36"/>
    </row>
    <row r="373" spans="1:2" x14ac:dyDescent="0.2">
      <c r="A373" s="40"/>
      <c r="B373" s="36"/>
    </row>
    <row r="374" spans="1:2" x14ac:dyDescent="0.2">
      <c r="A374" s="40"/>
      <c r="B374" s="36"/>
    </row>
    <row r="375" spans="1:2" x14ac:dyDescent="0.2">
      <c r="A375" s="40"/>
      <c r="B375" s="36"/>
    </row>
    <row r="376" spans="1:2" x14ac:dyDescent="0.2">
      <c r="A376" s="40"/>
      <c r="B376" s="36"/>
    </row>
    <row r="377" spans="1:2" x14ac:dyDescent="0.2">
      <c r="A377" s="40"/>
      <c r="B377" s="36"/>
    </row>
    <row r="378" spans="1:2" x14ac:dyDescent="0.2">
      <c r="B378" s="36"/>
    </row>
    <row r="379" spans="1:2" x14ac:dyDescent="0.2">
      <c r="B379" s="36"/>
    </row>
    <row r="380" spans="1:2" x14ac:dyDescent="0.2">
      <c r="B380" s="36"/>
    </row>
    <row r="381" spans="1:2" x14ac:dyDescent="0.2">
      <c r="B381" s="36"/>
    </row>
    <row r="382" spans="1:2" x14ac:dyDescent="0.2">
      <c r="B382" s="36"/>
    </row>
    <row r="383" spans="1:2" x14ac:dyDescent="0.2">
      <c r="B383" s="36"/>
    </row>
    <row r="384" spans="1:2" x14ac:dyDescent="0.2">
      <c r="B384" s="36"/>
    </row>
    <row r="385" spans="2:2" s="34" customFormat="1" x14ac:dyDescent="0.2">
      <c r="B385" s="36"/>
    </row>
    <row r="386" spans="2:2" s="34" customFormat="1" x14ac:dyDescent="0.2">
      <c r="B386" s="36"/>
    </row>
    <row r="387" spans="2:2" s="34" customFormat="1" x14ac:dyDescent="0.2">
      <c r="B387" s="36"/>
    </row>
    <row r="388" spans="2:2" s="34" customFormat="1" x14ac:dyDescent="0.2">
      <c r="B388" s="36"/>
    </row>
    <row r="389" spans="2:2" s="34" customFormat="1" x14ac:dyDescent="0.2">
      <c r="B389" s="36"/>
    </row>
    <row r="390" spans="2:2" s="34" customFormat="1" x14ac:dyDescent="0.2">
      <c r="B390" s="36"/>
    </row>
    <row r="391" spans="2:2" s="34" customFormat="1" x14ac:dyDescent="0.2">
      <c r="B391" s="36"/>
    </row>
    <row r="392" spans="2:2" s="34" customFormat="1" x14ac:dyDescent="0.2">
      <c r="B392" s="36"/>
    </row>
    <row r="393" spans="2:2" s="34" customFormat="1" x14ac:dyDescent="0.2">
      <c r="B393" s="36"/>
    </row>
    <row r="394" spans="2:2" s="34" customFormat="1" x14ac:dyDescent="0.2">
      <c r="B394" s="36"/>
    </row>
    <row r="395" spans="2:2" s="34" customFormat="1" x14ac:dyDescent="0.2">
      <c r="B395" s="36"/>
    </row>
    <row r="396" spans="2:2" s="34" customFormat="1" x14ac:dyDescent="0.2">
      <c r="B396" s="36"/>
    </row>
    <row r="397" spans="2:2" s="34" customFormat="1" x14ac:dyDescent="0.2">
      <c r="B397" s="36"/>
    </row>
    <row r="398" spans="2:2" s="34" customFormat="1" x14ac:dyDescent="0.2">
      <c r="B398" s="36"/>
    </row>
    <row r="399" spans="2:2" s="34" customFormat="1" x14ac:dyDescent="0.2">
      <c r="B399" s="36"/>
    </row>
    <row r="400" spans="2:2" s="34" customFormat="1" x14ac:dyDescent="0.2">
      <c r="B400" s="36"/>
    </row>
    <row r="401" spans="2:2" s="34" customFormat="1" x14ac:dyDescent="0.2">
      <c r="B401" s="36"/>
    </row>
    <row r="402" spans="2:2" s="34" customFormat="1" x14ac:dyDescent="0.2">
      <c r="B402" s="36"/>
    </row>
    <row r="403" spans="2:2" s="34" customFormat="1" x14ac:dyDescent="0.2">
      <c r="B403" s="36"/>
    </row>
    <row r="404" spans="2:2" s="34" customFormat="1" x14ac:dyDescent="0.2">
      <c r="B404" s="36"/>
    </row>
    <row r="405" spans="2:2" s="34" customFormat="1" x14ac:dyDescent="0.2">
      <c r="B405" s="36"/>
    </row>
    <row r="406" spans="2:2" s="34" customFormat="1" x14ac:dyDescent="0.2">
      <c r="B406" s="36"/>
    </row>
    <row r="407" spans="2:2" s="34" customFormat="1" x14ac:dyDescent="0.2">
      <c r="B407" s="36"/>
    </row>
    <row r="408" spans="2:2" s="34" customFormat="1" x14ac:dyDescent="0.2">
      <c r="B408" s="36"/>
    </row>
    <row r="409" spans="2:2" s="34" customFormat="1" x14ac:dyDescent="0.2">
      <c r="B409" s="36"/>
    </row>
    <row r="410" spans="2:2" s="34" customFormat="1" x14ac:dyDescent="0.2">
      <c r="B410" s="36"/>
    </row>
    <row r="411" spans="2:2" s="34" customFormat="1" x14ac:dyDescent="0.2">
      <c r="B411" s="36"/>
    </row>
    <row r="412" spans="2:2" s="34" customFormat="1" x14ac:dyDescent="0.2">
      <c r="B412" s="36"/>
    </row>
    <row r="413" spans="2:2" s="34" customFormat="1" x14ac:dyDescent="0.2">
      <c r="B413" s="36"/>
    </row>
    <row r="414" spans="2:2" s="34" customFormat="1" x14ac:dyDescent="0.2">
      <c r="B414" s="36"/>
    </row>
    <row r="415" spans="2:2" s="34" customFormat="1" x14ac:dyDescent="0.2">
      <c r="B415" s="36"/>
    </row>
    <row r="416" spans="2:2" s="34" customFormat="1" x14ac:dyDescent="0.2">
      <c r="B416" s="36"/>
    </row>
    <row r="417" spans="2:2" s="34" customFormat="1" x14ac:dyDescent="0.2">
      <c r="B417" s="36"/>
    </row>
    <row r="418" spans="2:2" s="34" customFormat="1" x14ac:dyDescent="0.2">
      <c r="B418" s="36"/>
    </row>
    <row r="419" spans="2:2" s="34" customFormat="1" x14ac:dyDescent="0.2">
      <c r="B419" s="36"/>
    </row>
    <row r="420" spans="2:2" s="34" customFormat="1" x14ac:dyDescent="0.2">
      <c r="B420" s="36"/>
    </row>
    <row r="421" spans="2:2" s="34" customFormat="1" x14ac:dyDescent="0.2">
      <c r="B421" s="36"/>
    </row>
    <row r="422" spans="2:2" s="34" customFormat="1" x14ac:dyDescent="0.2">
      <c r="B422" s="36"/>
    </row>
    <row r="423" spans="2:2" s="34" customFormat="1" x14ac:dyDescent="0.2">
      <c r="B423" s="36"/>
    </row>
    <row r="424" spans="2:2" s="34" customFormat="1" x14ac:dyDescent="0.2">
      <c r="B424" s="36"/>
    </row>
    <row r="425" spans="2:2" s="34" customFormat="1" x14ac:dyDescent="0.2">
      <c r="B425" s="36"/>
    </row>
    <row r="426" spans="2:2" s="34" customFormat="1" x14ac:dyDescent="0.2">
      <c r="B426" s="36"/>
    </row>
    <row r="427" spans="2:2" s="34" customFormat="1" x14ac:dyDescent="0.2">
      <c r="B427" s="36"/>
    </row>
    <row r="428" spans="2:2" s="34" customFormat="1" x14ac:dyDescent="0.2">
      <c r="B428" s="36"/>
    </row>
    <row r="429" spans="2:2" s="34" customFormat="1" x14ac:dyDescent="0.2">
      <c r="B429" s="36"/>
    </row>
    <row r="430" spans="2:2" s="34" customFormat="1" x14ac:dyDescent="0.2">
      <c r="B430" s="36"/>
    </row>
    <row r="431" spans="2:2" s="34" customFormat="1" x14ac:dyDescent="0.2">
      <c r="B431" s="36"/>
    </row>
    <row r="432" spans="2:2" s="34" customFormat="1" x14ac:dyDescent="0.2">
      <c r="B432" s="36"/>
    </row>
    <row r="433" spans="2:2" s="34" customFormat="1" x14ac:dyDescent="0.2">
      <c r="B433" s="36"/>
    </row>
    <row r="434" spans="2:2" s="34" customFormat="1" x14ac:dyDescent="0.2">
      <c r="B434" s="36"/>
    </row>
    <row r="435" spans="2:2" s="34" customFormat="1" x14ac:dyDescent="0.2">
      <c r="B435" s="36"/>
    </row>
    <row r="436" spans="2:2" s="34" customFormat="1" x14ac:dyDescent="0.2">
      <c r="B436" s="36"/>
    </row>
    <row r="437" spans="2:2" s="34" customFormat="1" x14ac:dyDescent="0.2">
      <c r="B437" s="36"/>
    </row>
    <row r="438" spans="2:2" s="34" customFormat="1" x14ac:dyDescent="0.2">
      <c r="B438" s="36"/>
    </row>
    <row r="439" spans="2:2" s="34" customFormat="1" x14ac:dyDescent="0.2">
      <c r="B439" s="36"/>
    </row>
    <row r="440" spans="2:2" s="34" customFormat="1" x14ac:dyDescent="0.2">
      <c r="B440" s="36"/>
    </row>
    <row r="441" spans="2:2" s="34" customFormat="1" x14ac:dyDescent="0.2">
      <c r="B441" s="36"/>
    </row>
    <row r="442" spans="2:2" s="34" customFormat="1" x14ac:dyDescent="0.2">
      <c r="B442" s="36"/>
    </row>
    <row r="443" spans="2:2" s="34" customFormat="1" x14ac:dyDescent="0.2">
      <c r="B443" s="36"/>
    </row>
    <row r="444" spans="2:2" s="34" customFormat="1" x14ac:dyDescent="0.2">
      <c r="B444" s="36"/>
    </row>
    <row r="445" spans="2:2" s="34" customFormat="1" x14ac:dyDescent="0.2">
      <c r="B445" s="36"/>
    </row>
    <row r="446" spans="2:2" s="34" customFormat="1" x14ac:dyDescent="0.2">
      <c r="B446" s="36"/>
    </row>
    <row r="447" spans="2:2" s="34" customFormat="1" x14ac:dyDescent="0.2">
      <c r="B447" s="36"/>
    </row>
    <row r="448" spans="2:2" s="34" customFormat="1" x14ac:dyDescent="0.2">
      <c r="B448" s="36"/>
    </row>
    <row r="449" spans="2:2" s="34" customFormat="1" x14ac:dyDescent="0.2">
      <c r="B449" s="36"/>
    </row>
    <row r="450" spans="2:2" s="34" customFormat="1" x14ac:dyDescent="0.2">
      <c r="B450" s="36"/>
    </row>
    <row r="451" spans="2:2" s="34" customFormat="1" x14ac:dyDescent="0.2">
      <c r="B451" s="36"/>
    </row>
    <row r="452" spans="2:2" s="34" customFormat="1" x14ac:dyDescent="0.2">
      <c r="B452" s="36"/>
    </row>
    <row r="453" spans="2:2" s="34" customFormat="1" x14ac:dyDescent="0.2">
      <c r="B453" s="36"/>
    </row>
    <row r="454" spans="2:2" s="34" customFormat="1" x14ac:dyDescent="0.2">
      <c r="B454" s="36"/>
    </row>
    <row r="455" spans="2:2" s="34" customFormat="1" x14ac:dyDescent="0.2">
      <c r="B455" s="36"/>
    </row>
    <row r="456" spans="2:2" s="34" customFormat="1" x14ac:dyDescent="0.2">
      <c r="B456" s="36"/>
    </row>
    <row r="457" spans="2:2" s="34" customFormat="1" x14ac:dyDescent="0.2">
      <c r="B457" s="36"/>
    </row>
    <row r="458" spans="2:2" s="34" customFormat="1" x14ac:dyDescent="0.2">
      <c r="B458" s="36"/>
    </row>
    <row r="459" spans="2:2" s="34" customFormat="1" x14ac:dyDescent="0.2">
      <c r="B459" s="36"/>
    </row>
    <row r="460" spans="2:2" s="34" customFormat="1" x14ac:dyDescent="0.2">
      <c r="B460" s="36"/>
    </row>
    <row r="461" spans="2:2" s="34" customFormat="1" x14ac:dyDescent="0.2">
      <c r="B461" s="36"/>
    </row>
    <row r="462" spans="2:2" s="34" customFormat="1" x14ac:dyDescent="0.2">
      <c r="B462" s="36"/>
    </row>
    <row r="463" spans="2:2" s="34" customFormat="1" x14ac:dyDescent="0.2">
      <c r="B463" s="36"/>
    </row>
    <row r="464" spans="2:2" s="34" customFormat="1" x14ac:dyDescent="0.2">
      <c r="B464" s="36"/>
    </row>
    <row r="465" spans="2:2" s="34" customFormat="1" x14ac:dyDescent="0.2">
      <c r="B465" s="36"/>
    </row>
    <row r="466" spans="2:2" s="34" customFormat="1" x14ac:dyDescent="0.2">
      <c r="B466" s="37"/>
    </row>
    <row r="467" spans="2:2" s="34" customFormat="1" x14ac:dyDescent="0.2">
      <c r="B467" s="37"/>
    </row>
    <row r="468" spans="2:2" s="34" customFormat="1" x14ac:dyDescent="0.2">
      <c r="B468" s="37"/>
    </row>
    <row r="469" spans="2:2" s="34" customFormat="1" x14ac:dyDescent="0.2">
      <c r="B469" s="37"/>
    </row>
    <row r="470" spans="2:2" s="34" customFormat="1" x14ac:dyDescent="0.2">
      <c r="B470" s="37"/>
    </row>
    <row r="471" spans="2:2" s="34" customFormat="1" x14ac:dyDescent="0.2">
      <c r="B471" s="37"/>
    </row>
    <row r="472" spans="2:2" s="34" customFormat="1" x14ac:dyDescent="0.2">
      <c r="B472" s="37"/>
    </row>
    <row r="473" spans="2:2" s="34" customFormat="1" x14ac:dyDescent="0.2">
      <c r="B473" s="37"/>
    </row>
    <row r="474" spans="2:2" s="34" customFormat="1" x14ac:dyDescent="0.2">
      <c r="B474" s="37"/>
    </row>
    <row r="475" spans="2:2" s="34" customFormat="1" x14ac:dyDescent="0.2">
      <c r="B475" s="37"/>
    </row>
    <row r="476" spans="2:2" s="34" customFormat="1" x14ac:dyDescent="0.2">
      <c r="B476" s="37"/>
    </row>
    <row r="477" spans="2:2" s="34" customFormat="1" x14ac:dyDescent="0.2">
      <c r="B477" s="37"/>
    </row>
    <row r="478" spans="2:2" s="34" customFormat="1" x14ac:dyDescent="0.2">
      <c r="B478" s="37"/>
    </row>
    <row r="479" spans="2:2" s="34" customFormat="1" x14ac:dyDescent="0.2">
      <c r="B479" s="37"/>
    </row>
    <row r="480" spans="2:2" s="34" customFormat="1" x14ac:dyDescent="0.2">
      <c r="B480" s="37"/>
    </row>
    <row r="481" spans="2:2" s="34" customFormat="1" x14ac:dyDescent="0.2">
      <c r="B481" s="37"/>
    </row>
    <row r="482" spans="2:2" s="34" customFormat="1" x14ac:dyDescent="0.2">
      <c r="B482" s="37"/>
    </row>
    <row r="483" spans="2:2" s="34" customFormat="1" x14ac:dyDescent="0.2">
      <c r="B483" s="37"/>
    </row>
    <row r="484" spans="2:2" s="34" customFormat="1" x14ac:dyDescent="0.2">
      <c r="B484" s="37"/>
    </row>
    <row r="485" spans="2:2" s="34" customFormat="1" x14ac:dyDescent="0.2">
      <c r="B485" s="37"/>
    </row>
    <row r="486" spans="2:2" s="34" customFormat="1" x14ac:dyDescent="0.2">
      <c r="B486" s="37"/>
    </row>
    <row r="487" spans="2:2" s="34" customFormat="1" x14ac:dyDescent="0.2">
      <c r="B487" s="37"/>
    </row>
    <row r="488" spans="2:2" s="34" customFormat="1" x14ac:dyDescent="0.2">
      <c r="B488" s="37"/>
    </row>
    <row r="489" spans="2:2" s="34" customFormat="1" x14ac:dyDescent="0.2">
      <c r="B489" s="37"/>
    </row>
    <row r="490" spans="2:2" s="34" customFormat="1" x14ac:dyDescent="0.2">
      <c r="B490" s="37"/>
    </row>
    <row r="491" spans="2:2" s="34" customFormat="1" x14ac:dyDescent="0.2">
      <c r="B491" s="37"/>
    </row>
    <row r="492" spans="2:2" s="34" customFormat="1" x14ac:dyDescent="0.2">
      <c r="B492" s="37"/>
    </row>
    <row r="493" spans="2:2" s="34" customFormat="1" x14ac:dyDescent="0.2">
      <c r="B493" s="37"/>
    </row>
    <row r="494" spans="2:2" s="34" customFormat="1" x14ac:dyDescent="0.2">
      <c r="B494" s="37"/>
    </row>
    <row r="495" spans="2:2" s="34" customFormat="1" x14ac:dyDescent="0.2">
      <c r="B495" s="37"/>
    </row>
    <row r="496" spans="2:2" s="34" customFormat="1" x14ac:dyDescent="0.2">
      <c r="B496" s="37"/>
    </row>
    <row r="497" spans="2:2" s="34" customFormat="1" x14ac:dyDescent="0.2">
      <c r="B497" s="37"/>
    </row>
    <row r="498" spans="2:2" s="34" customFormat="1" x14ac:dyDescent="0.2">
      <c r="B498" s="37"/>
    </row>
    <row r="499" spans="2:2" s="34" customFormat="1" x14ac:dyDescent="0.2">
      <c r="B499" s="37"/>
    </row>
    <row r="500" spans="2:2" s="34" customFormat="1" x14ac:dyDescent="0.2">
      <c r="B500" s="37"/>
    </row>
    <row r="501" spans="2:2" s="34" customFormat="1" x14ac:dyDescent="0.2">
      <c r="B501" s="37"/>
    </row>
    <row r="502" spans="2:2" s="34" customFormat="1" x14ac:dyDescent="0.2">
      <c r="B502" s="37"/>
    </row>
    <row r="503" spans="2:2" s="34" customFormat="1" x14ac:dyDescent="0.2">
      <c r="B503" s="37"/>
    </row>
    <row r="504" spans="2:2" s="34" customFormat="1" x14ac:dyDescent="0.2">
      <c r="B504" s="37"/>
    </row>
    <row r="505" spans="2:2" s="34" customFormat="1" x14ac:dyDescent="0.2">
      <c r="B505" s="37"/>
    </row>
    <row r="506" spans="2:2" s="34" customFormat="1" x14ac:dyDescent="0.2">
      <c r="B506" s="37"/>
    </row>
    <row r="507" spans="2:2" s="34" customFormat="1" x14ac:dyDescent="0.2">
      <c r="B507" s="37"/>
    </row>
    <row r="508" spans="2:2" s="34" customFormat="1" x14ac:dyDescent="0.2">
      <c r="B508" s="37"/>
    </row>
    <row r="509" spans="2:2" s="34" customFormat="1" x14ac:dyDescent="0.2">
      <c r="B509" s="37"/>
    </row>
    <row r="510" spans="2:2" s="34" customFormat="1" x14ac:dyDescent="0.2">
      <c r="B510" s="37"/>
    </row>
    <row r="511" spans="2:2" s="34" customFormat="1" x14ac:dyDescent="0.2">
      <c r="B511" s="37"/>
    </row>
    <row r="512" spans="2:2" s="34" customFormat="1" x14ac:dyDescent="0.2">
      <c r="B512" s="37"/>
    </row>
    <row r="513" spans="2:2" s="34" customFormat="1" x14ac:dyDescent="0.2">
      <c r="B513" s="37"/>
    </row>
    <row r="514" spans="2:2" s="34" customFormat="1" x14ac:dyDescent="0.2">
      <c r="B514" s="37"/>
    </row>
    <row r="515" spans="2:2" s="34" customFormat="1" x14ac:dyDescent="0.2">
      <c r="B515" s="37"/>
    </row>
    <row r="516" spans="2:2" s="34" customFormat="1" x14ac:dyDescent="0.2">
      <c r="B516" s="37"/>
    </row>
    <row r="517" spans="2:2" s="34" customFormat="1" x14ac:dyDescent="0.2">
      <c r="B517" s="37"/>
    </row>
    <row r="518" spans="2:2" s="34" customFormat="1" x14ac:dyDescent="0.2">
      <c r="B518" s="37"/>
    </row>
    <row r="519" spans="2:2" s="34" customFormat="1" x14ac:dyDescent="0.2">
      <c r="B519" s="37"/>
    </row>
    <row r="520" spans="2:2" s="34" customFormat="1" x14ac:dyDescent="0.2">
      <c r="B520" s="37"/>
    </row>
    <row r="521" spans="2:2" s="34" customFormat="1" x14ac:dyDescent="0.2">
      <c r="B521" s="37"/>
    </row>
    <row r="522" spans="2:2" s="34" customFormat="1" x14ac:dyDescent="0.2">
      <c r="B522" s="37"/>
    </row>
    <row r="523" spans="2:2" s="34" customFormat="1" x14ac:dyDescent="0.2">
      <c r="B523" s="37"/>
    </row>
    <row r="524" spans="2:2" s="34" customFormat="1" x14ac:dyDescent="0.2">
      <c r="B524" s="37"/>
    </row>
    <row r="525" spans="2:2" s="34" customFormat="1" x14ac:dyDescent="0.2">
      <c r="B525" s="37"/>
    </row>
    <row r="526" spans="2:2" s="34" customFormat="1" x14ac:dyDescent="0.2">
      <c r="B526" s="37"/>
    </row>
    <row r="527" spans="2:2" s="34" customFormat="1" x14ac:dyDescent="0.2">
      <c r="B527" s="37"/>
    </row>
    <row r="528" spans="2:2" s="34" customFormat="1" x14ac:dyDescent="0.2">
      <c r="B528" s="37"/>
    </row>
    <row r="529" spans="2:2" s="34" customFormat="1" x14ac:dyDescent="0.2">
      <c r="B529" s="37"/>
    </row>
    <row r="530" spans="2:2" s="34" customFormat="1" x14ac:dyDescent="0.2">
      <c r="B530" s="37"/>
    </row>
    <row r="531" spans="2:2" s="34" customFormat="1" x14ac:dyDescent="0.2">
      <c r="B531" s="37"/>
    </row>
    <row r="532" spans="2:2" s="34" customFormat="1" x14ac:dyDescent="0.2">
      <c r="B532" s="37"/>
    </row>
    <row r="533" spans="2:2" s="34" customFormat="1" x14ac:dyDescent="0.2">
      <c r="B533" s="37"/>
    </row>
    <row r="534" spans="2:2" s="34" customFormat="1" x14ac:dyDescent="0.2">
      <c r="B534" s="37"/>
    </row>
    <row r="535" spans="2:2" s="34" customFormat="1" x14ac:dyDescent="0.2">
      <c r="B535" s="37"/>
    </row>
    <row r="536" spans="2:2" s="34" customFormat="1" x14ac:dyDescent="0.2">
      <c r="B536" s="37"/>
    </row>
    <row r="537" spans="2:2" s="34" customFormat="1" x14ac:dyDescent="0.2">
      <c r="B537" s="37"/>
    </row>
    <row r="538" spans="2:2" s="34" customFormat="1" x14ac:dyDescent="0.2">
      <c r="B538" s="37"/>
    </row>
    <row r="539" spans="2:2" s="34" customFormat="1" x14ac:dyDescent="0.2">
      <c r="B539" s="37"/>
    </row>
    <row r="540" spans="2:2" s="34" customFormat="1" x14ac:dyDescent="0.2">
      <c r="B540" s="37"/>
    </row>
    <row r="541" spans="2:2" s="34" customFormat="1" x14ac:dyDescent="0.2">
      <c r="B541" s="37"/>
    </row>
    <row r="542" spans="2:2" s="34" customFormat="1" x14ac:dyDescent="0.2">
      <c r="B542" s="37"/>
    </row>
    <row r="543" spans="2:2" s="34" customFormat="1" x14ac:dyDescent="0.2">
      <c r="B543" s="37"/>
    </row>
    <row r="544" spans="2:2" s="34" customFormat="1" x14ac:dyDescent="0.2">
      <c r="B544" s="37"/>
    </row>
    <row r="545" spans="2:2" s="34" customFormat="1" x14ac:dyDescent="0.2">
      <c r="B545" s="37"/>
    </row>
    <row r="546" spans="2:2" s="34" customFormat="1" x14ac:dyDescent="0.2">
      <c r="B546" s="37"/>
    </row>
    <row r="547" spans="2:2" s="34" customFormat="1" x14ac:dyDescent="0.2">
      <c r="B547" s="37"/>
    </row>
    <row r="548" spans="2:2" s="34" customFormat="1" x14ac:dyDescent="0.2">
      <c r="B548" s="37"/>
    </row>
    <row r="549" spans="2:2" s="34" customFormat="1" x14ac:dyDescent="0.2">
      <c r="B549" s="37"/>
    </row>
    <row r="550" spans="2:2" s="34" customFormat="1" x14ac:dyDescent="0.2">
      <c r="B550" s="37"/>
    </row>
    <row r="551" spans="2:2" s="34" customFormat="1" x14ac:dyDescent="0.2">
      <c r="B551" s="37"/>
    </row>
    <row r="552" spans="2:2" s="34" customFormat="1" x14ac:dyDescent="0.2">
      <c r="B552" s="37"/>
    </row>
    <row r="553" spans="2:2" s="34" customFormat="1" x14ac:dyDescent="0.2">
      <c r="B553" s="37"/>
    </row>
    <row r="554" spans="2:2" s="34" customFormat="1" x14ac:dyDescent="0.2">
      <c r="B554" s="37"/>
    </row>
    <row r="555" spans="2:2" s="34" customFormat="1" x14ac:dyDescent="0.2">
      <c r="B555" s="37"/>
    </row>
    <row r="556" spans="2:2" s="34" customFormat="1" x14ac:dyDescent="0.2">
      <c r="B556" s="37"/>
    </row>
    <row r="557" spans="2:2" s="34" customFormat="1" x14ac:dyDescent="0.2">
      <c r="B557" s="37"/>
    </row>
    <row r="558" spans="2:2" s="34" customFormat="1" x14ac:dyDescent="0.2">
      <c r="B558" s="37"/>
    </row>
    <row r="559" spans="2:2" s="34" customFormat="1" x14ac:dyDescent="0.2">
      <c r="B559" s="37"/>
    </row>
    <row r="560" spans="2:2" s="34" customFormat="1" x14ac:dyDescent="0.2">
      <c r="B560" s="37"/>
    </row>
    <row r="561" spans="2:2" s="34" customFormat="1" x14ac:dyDescent="0.2">
      <c r="B561" s="37"/>
    </row>
    <row r="562" spans="2:2" s="34" customFormat="1" x14ac:dyDescent="0.2">
      <c r="B562" s="37"/>
    </row>
    <row r="563" spans="2:2" s="34" customFormat="1" x14ac:dyDescent="0.2">
      <c r="B563" s="37"/>
    </row>
    <row r="564" spans="2:2" s="34" customFormat="1" x14ac:dyDescent="0.2">
      <c r="B564" s="37"/>
    </row>
    <row r="565" spans="2:2" s="34" customFormat="1" x14ac:dyDescent="0.2">
      <c r="B565" s="37"/>
    </row>
    <row r="566" spans="2:2" s="34" customFormat="1" x14ac:dyDescent="0.2">
      <c r="B566" s="37"/>
    </row>
    <row r="567" spans="2:2" s="34" customFormat="1" x14ac:dyDescent="0.2">
      <c r="B567" s="37"/>
    </row>
    <row r="568" spans="2:2" s="34" customFormat="1" x14ac:dyDescent="0.2">
      <c r="B568" s="37"/>
    </row>
    <row r="569" spans="2:2" s="34" customFormat="1" x14ac:dyDescent="0.2">
      <c r="B569" s="37"/>
    </row>
    <row r="570" spans="2:2" s="34" customFormat="1" x14ac:dyDescent="0.2">
      <c r="B570" s="37"/>
    </row>
    <row r="571" spans="2:2" s="34" customFormat="1" x14ac:dyDescent="0.2">
      <c r="B571" s="37"/>
    </row>
    <row r="572" spans="2:2" s="34" customFormat="1" x14ac:dyDescent="0.2">
      <c r="B572" s="37"/>
    </row>
    <row r="573" spans="2:2" s="34" customFormat="1" x14ac:dyDescent="0.2">
      <c r="B573" s="37"/>
    </row>
    <row r="574" spans="2:2" s="34" customFormat="1" x14ac:dyDescent="0.2">
      <c r="B574" s="37"/>
    </row>
    <row r="575" spans="2:2" s="34" customFormat="1" x14ac:dyDescent="0.2">
      <c r="B575" s="37"/>
    </row>
    <row r="576" spans="2:2" s="34" customFormat="1" x14ac:dyDescent="0.2">
      <c r="B576" s="37"/>
    </row>
    <row r="577" spans="2:2" s="34" customFormat="1" x14ac:dyDescent="0.2">
      <c r="B577" s="37"/>
    </row>
    <row r="578" spans="2:2" s="34" customFormat="1" x14ac:dyDescent="0.2">
      <c r="B578" s="37"/>
    </row>
    <row r="579" spans="2:2" s="34" customFormat="1" x14ac:dyDescent="0.2">
      <c r="B579" s="37"/>
    </row>
    <row r="580" spans="2:2" s="34" customFormat="1" x14ac:dyDescent="0.2">
      <c r="B580" s="37"/>
    </row>
    <row r="581" spans="2:2" s="34" customFormat="1" x14ac:dyDescent="0.2">
      <c r="B581" s="37"/>
    </row>
    <row r="582" spans="2:2" s="34" customFormat="1" x14ac:dyDescent="0.2">
      <c r="B582" s="37"/>
    </row>
    <row r="583" spans="2:2" s="34" customFormat="1" x14ac:dyDescent="0.2">
      <c r="B583" s="37"/>
    </row>
    <row r="584" spans="2:2" s="34" customFormat="1" x14ac:dyDescent="0.2">
      <c r="B584" s="37"/>
    </row>
    <row r="585" spans="2:2" s="34" customFormat="1" x14ac:dyDescent="0.2">
      <c r="B585" s="37"/>
    </row>
    <row r="586" spans="2:2" s="34" customFormat="1" x14ac:dyDescent="0.2">
      <c r="B586" s="37"/>
    </row>
    <row r="587" spans="2:2" s="34" customFormat="1" x14ac:dyDescent="0.2">
      <c r="B587" s="37"/>
    </row>
    <row r="588" spans="2:2" s="34" customFormat="1" x14ac:dyDescent="0.2">
      <c r="B588" s="37"/>
    </row>
    <row r="589" spans="2:2" s="34" customFormat="1" x14ac:dyDescent="0.2">
      <c r="B589" s="37"/>
    </row>
    <row r="590" spans="2:2" s="34" customFormat="1" x14ac:dyDescent="0.2">
      <c r="B590" s="37"/>
    </row>
    <row r="591" spans="2:2" s="34" customFormat="1" x14ac:dyDescent="0.2">
      <c r="B591" s="37"/>
    </row>
    <row r="592" spans="2:2" s="34" customFormat="1" x14ac:dyDescent="0.2">
      <c r="B592" s="37"/>
    </row>
    <row r="593" spans="2:2" s="34" customFormat="1" x14ac:dyDescent="0.2">
      <c r="B593" s="37"/>
    </row>
    <row r="594" spans="2:2" s="34" customFormat="1" x14ac:dyDescent="0.2">
      <c r="B594" s="37"/>
    </row>
    <row r="595" spans="2:2" s="34" customFormat="1" x14ac:dyDescent="0.2">
      <c r="B595" s="37"/>
    </row>
    <row r="596" spans="2:2" s="34" customFormat="1" x14ac:dyDescent="0.2">
      <c r="B596" s="37"/>
    </row>
    <row r="597" spans="2:2" s="34" customFormat="1" x14ac:dyDescent="0.2">
      <c r="B597" s="37"/>
    </row>
    <row r="598" spans="2:2" s="34" customFormat="1" x14ac:dyDescent="0.2">
      <c r="B598" s="37"/>
    </row>
    <row r="599" spans="2:2" s="34" customFormat="1" x14ac:dyDescent="0.2">
      <c r="B599" s="37"/>
    </row>
    <row r="600" spans="2:2" s="34" customFormat="1" x14ac:dyDescent="0.2">
      <c r="B600" s="37"/>
    </row>
    <row r="601" spans="2:2" s="34" customFormat="1" x14ac:dyDescent="0.2">
      <c r="B601" s="37"/>
    </row>
    <row r="602" spans="2:2" s="34" customFormat="1" x14ac:dyDescent="0.2">
      <c r="B602" s="37"/>
    </row>
    <row r="603" spans="2:2" s="34" customFormat="1" x14ac:dyDescent="0.2">
      <c r="B603" s="37"/>
    </row>
    <row r="604" spans="2:2" s="34" customFormat="1" x14ac:dyDescent="0.2">
      <c r="B604" s="37"/>
    </row>
    <row r="605" spans="2:2" s="34" customFormat="1" x14ac:dyDescent="0.2">
      <c r="B605" s="37"/>
    </row>
    <row r="606" spans="2:2" s="34" customFormat="1" x14ac:dyDescent="0.2">
      <c r="B606" s="37"/>
    </row>
    <row r="607" spans="2:2" s="34" customFormat="1" x14ac:dyDescent="0.2">
      <c r="B607" s="37"/>
    </row>
    <row r="608" spans="2:2" s="34" customFormat="1" x14ac:dyDescent="0.2">
      <c r="B608" s="37"/>
    </row>
    <row r="609" spans="2:2" s="34" customFormat="1" x14ac:dyDescent="0.2">
      <c r="B609" s="37"/>
    </row>
    <row r="610" spans="2:2" s="34" customFormat="1" x14ac:dyDescent="0.2">
      <c r="B610" s="37"/>
    </row>
    <row r="611" spans="2:2" s="34" customFormat="1" x14ac:dyDescent="0.2">
      <c r="B611" s="37"/>
    </row>
    <row r="612" spans="2:2" s="34" customFormat="1" x14ac:dyDescent="0.2">
      <c r="B612" s="37"/>
    </row>
    <row r="613" spans="2:2" s="34" customFormat="1" x14ac:dyDescent="0.2">
      <c r="B613" s="37"/>
    </row>
    <row r="614" spans="2:2" s="34" customFormat="1" x14ac:dyDescent="0.2">
      <c r="B614" s="37"/>
    </row>
    <row r="615" spans="2:2" s="34" customFormat="1" x14ac:dyDescent="0.2">
      <c r="B615" s="37"/>
    </row>
    <row r="616" spans="2:2" s="34" customFormat="1" x14ac:dyDescent="0.2">
      <c r="B616" s="37"/>
    </row>
    <row r="617" spans="2:2" s="34" customFormat="1" x14ac:dyDescent="0.2">
      <c r="B617" s="37"/>
    </row>
    <row r="618" spans="2:2" s="34" customFormat="1" x14ac:dyDescent="0.2">
      <c r="B618" s="37"/>
    </row>
    <row r="619" spans="2:2" s="34" customFormat="1" x14ac:dyDescent="0.2">
      <c r="B619" s="37"/>
    </row>
    <row r="620" spans="2:2" s="34" customFormat="1" x14ac:dyDescent="0.2">
      <c r="B620" s="37"/>
    </row>
    <row r="621" spans="2:2" s="34" customFormat="1" x14ac:dyDescent="0.2">
      <c r="B621" s="37"/>
    </row>
    <row r="622" spans="2:2" s="34" customFormat="1" x14ac:dyDescent="0.2">
      <c r="B622" s="37"/>
    </row>
    <row r="623" spans="2:2" s="34" customFormat="1" x14ac:dyDescent="0.2">
      <c r="B623" s="37"/>
    </row>
    <row r="624" spans="2:2" s="34" customFormat="1" x14ac:dyDescent="0.2">
      <c r="B624" s="37"/>
    </row>
    <row r="625" spans="2:2" s="34" customFormat="1" x14ac:dyDescent="0.2">
      <c r="B625" s="37"/>
    </row>
    <row r="626" spans="2:2" s="34" customFormat="1" x14ac:dyDescent="0.2">
      <c r="B626" s="37"/>
    </row>
    <row r="627" spans="2:2" s="34" customFormat="1" x14ac:dyDescent="0.2">
      <c r="B627" s="37"/>
    </row>
    <row r="628" spans="2:2" s="34" customFormat="1" x14ac:dyDescent="0.2">
      <c r="B628" s="37"/>
    </row>
    <row r="629" spans="2:2" s="34" customFormat="1" x14ac:dyDescent="0.2">
      <c r="B629" s="37"/>
    </row>
    <row r="630" spans="2:2" s="34" customFormat="1" x14ac:dyDescent="0.2">
      <c r="B630" s="37"/>
    </row>
    <row r="631" spans="2:2" s="34" customFormat="1" x14ac:dyDescent="0.2">
      <c r="B631" s="37"/>
    </row>
    <row r="632" spans="2:2" s="34" customFormat="1" x14ac:dyDescent="0.2">
      <c r="B632" s="37"/>
    </row>
    <row r="633" spans="2:2" s="34" customFormat="1" x14ac:dyDescent="0.2">
      <c r="B633" s="37"/>
    </row>
    <row r="634" spans="2:2" s="34" customFormat="1" x14ac:dyDescent="0.2">
      <c r="B634" s="37"/>
    </row>
    <row r="635" spans="2:2" s="34" customFormat="1" x14ac:dyDescent="0.2">
      <c r="B635" s="37"/>
    </row>
    <row r="636" spans="2:2" s="34" customFormat="1" x14ac:dyDescent="0.2">
      <c r="B636" s="37"/>
    </row>
    <row r="637" spans="2:2" s="34" customFormat="1" x14ac:dyDescent="0.2">
      <c r="B637" s="37"/>
    </row>
    <row r="638" spans="2:2" s="34" customFormat="1" x14ac:dyDescent="0.2">
      <c r="B638" s="37"/>
    </row>
    <row r="639" spans="2:2" s="34" customFormat="1" x14ac:dyDescent="0.2">
      <c r="B639" s="37"/>
    </row>
    <row r="640" spans="2:2" s="34" customFormat="1" x14ac:dyDescent="0.2">
      <c r="B640" s="37"/>
    </row>
    <row r="641" spans="2:2" s="34" customFormat="1" x14ac:dyDescent="0.2">
      <c r="B641" s="37"/>
    </row>
    <row r="642" spans="2:2" s="34" customFormat="1" x14ac:dyDescent="0.2">
      <c r="B642" s="37"/>
    </row>
    <row r="643" spans="2:2" s="34" customFormat="1" x14ac:dyDescent="0.2">
      <c r="B643" s="37"/>
    </row>
    <row r="644" spans="2:2" s="34" customFormat="1" x14ac:dyDescent="0.2">
      <c r="B644" s="37"/>
    </row>
    <row r="645" spans="2:2" s="34" customFormat="1" x14ac:dyDescent="0.2">
      <c r="B645" s="37"/>
    </row>
    <row r="646" spans="2:2" s="34" customFormat="1" x14ac:dyDescent="0.2">
      <c r="B646" s="37"/>
    </row>
    <row r="647" spans="2:2" s="34" customFormat="1" x14ac:dyDescent="0.2">
      <c r="B647" s="37"/>
    </row>
    <row r="648" spans="2:2" s="34" customFormat="1" x14ac:dyDescent="0.2">
      <c r="B648" s="37"/>
    </row>
    <row r="649" spans="2:2" s="34" customFormat="1" x14ac:dyDescent="0.2">
      <c r="B649" s="37"/>
    </row>
    <row r="650" spans="2:2" s="34" customFormat="1" x14ac:dyDescent="0.2">
      <c r="B650" s="37"/>
    </row>
    <row r="651" spans="2:2" s="34" customFormat="1" x14ac:dyDescent="0.2">
      <c r="B651" s="37"/>
    </row>
    <row r="652" spans="2:2" s="34" customFormat="1" x14ac:dyDescent="0.2">
      <c r="B652" s="37"/>
    </row>
    <row r="653" spans="2:2" s="34" customFormat="1" x14ac:dyDescent="0.2">
      <c r="B653" s="37"/>
    </row>
    <row r="654" spans="2:2" s="34" customFormat="1" x14ac:dyDescent="0.2">
      <c r="B654" s="37"/>
    </row>
    <row r="655" spans="2:2" s="34" customFormat="1" x14ac:dyDescent="0.2">
      <c r="B655" s="37"/>
    </row>
    <row r="656" spans="2:2" s="34" customFormat="1" x14ac:dyDescent="0.2">
      <c r="B656" s="37"/>
    </row>
    <row r="657" spans="2:2" s="34" customFormat="1" x14ac:dyDescent="0.2">
      <c r="B657" s="37"/>
    </row>
    <row r="658" spans="2:2" s="34" customFormat="1" x14ac:dyDescent="0.2">
      <c r="B658" s="37"/>
    </row>
    <row r="659" spans="2:2" s="34" customFormat="1" x14ac:dyDescent="0.2">
      <c r="B659" s="37"/>
    </row>
    <row r="660" spans="2:2" s="34" customFormat="1" x14ac:dyDescent="0.2">
      <c r="B660" s="37"/>
    </row>
    <row r="661" spans="2:2" s="34" customFormat="1" x14ac:dyDescent="0.2">
      <c r="B661" s="37"/>
    </row>
    <row r="662" spans="2:2" s="34" customFormat="1" x14ac:dyDescent="0.2">
      <c r="B662" s="37"/>
    </row>
    <row r="663" spans="2:2" s="34" customFormat="1" x14ac:dyDescent="0.2">
      <c r="B663" s="37"/>
    </row>
    <row r="664" spans="2:2" s="34" customFormat="1" x14ac:dyDescent="0.2">
      <c r="B664" s="37"/>
    </row>
    <row r="665" spans="2:2" s="34" customFormat="1" x14ac:dyDescent="0.2">
      <c r="B665" s="37"/>
    </row>
    <row r="666" spans="2:2" s="34" customFormat="1" x14ac:dyDescent="0.2">
      <c r="B666" s="37"/>
    </row>
    <row r="667" spans="2:2" s="34" customFormat="1" x14ac:dyDescent="0.2">
      <c r="B667" s="37"/>
    </row>
    <row r="668" spans="2:2" s="34" customFormat="1" x14ac:dyDescent="0.2">
      <c r="B668" s="37"/>
    </row>
    <row r="669" spans="2:2" s="34" customFormat="1" x14ac:dyDescent="0.2">
      <c r="B669" s="37"/>
    </row>
    <row r="670" spans="2:2" s="34" customFormat="1" x14ac:dyDescent="0.2">
      <c r="B670" s="37"/>
    </row>
    <row r="671" spans="2:2" s="34" customFormat="1" x14ac:dyDescent="0.2">
      <c r="B671" s="37"/>
    </row>
    <row r="672" spans="2:2" s="34" customFormat="1" x14ac:dyDescent="0.2">
      <c r="B672" s="37"/>
    </row>
    <row r="673" spans="2:2" s="34" customFormat="1" x14ac:dyDescent="0.2">
      <c r="B673" s="37"/>
    </row>
    <row r="674" spans="2:2" s="34" customFormat="1" x14ac:dyDescent="0.2">
      <c r="B674" s="37"/>
    </row>
    <row r="675" spans="2:2" s="34" customFormat="1" x14ac:dyDescent="0.2">
      <c r="B675" s="37"/>
    </row>
    <row r="676" spans="2:2" s="34" customFormat="1" x14ac:dyDescent="0.2">
      <c r="B676" s="37"/>
    </row>
    <row r="677" spans="2:2" s="34" customFormat="1" x14ac:dyDescent="0.2">
      <c r="B677" s="37"/>
    </row>
    <row r="678" spans="2:2" s="34" customFormat="1" x14ac:dyDescent="0.2">
      <c r="B678" s="37"/>
    </row>
    <row r="679" spans="2:2" s="34" customFormat="1" x14ac:dyDescent="0.2">
      <c r="B679" s="37"/>
    </row>
    <row r="680" spans="2:2" s="34" customFormat="1" x14ac:dyDescent="0.2">
      <c r="B680" s="37"/>
    </row>
    <row r="681" spans="2:2" s="34" customFormat="1" x14ac:dyDescent="0.2">
      <c r="B681" s="37"/>
    </row>
    <row r="682" spans="2:2" s="34" customFormat="1" x14ac:dyDescent="0.2">
      <c r="B682" s="37"/>
    </row>
    <row r="683" spans="2:2" s="34" customFormat="1" x14ac:dyDescent="0.2">
      <c r="B683" s="37"/>
    </row>
    <row r="684" spans="2:2" s="34" customFormat="1" x14ac:dyDescent="0.2">
      <c r="B684" s="37"/>
    </row>
    <row r="685" spans="2:2" s="34" customFormat="1" x14ac:dyDescent="0.2">
      <c r="B685" s="37"/>
    </row>
    <row r="686" spans="2:2" s="34" customFormat="1" x14ac:dyDescent="0.2">
      <c r="B686" s="37"/>
    </row>
    <row r="687" spans="2:2" s="34" customFormat="1" x14ac:dyDescent="0.2">
      <c r="B687" s="37"/>
    </row>
    <row r="688" spans="2:2" s="34" customFormat="1" x14ac:dyDescent="0.2">
      <c r="B688" s="37"/>
    </row>
    <row r="689" spans="2:2" s="34" customFormat="1" x14ac:dyDescent="0.2">
      <c r="B689" s="37"/>
    </row>
    <row r="690" spans="2:2" s="34" customFormat="1" x14ac:dyDescent="0.2">
      <c r="B690" s="37"/>
    </row>
    <row r="691" spans="2:2" s="34" customFormat="1" x14ac:dyDescent="0.2">
      <c r="B691" s="37"/>
    </row>
    <row r="692" spans="2:2" s="34" customFormat="1" x14ac:dyDescent="0.2">
      <c r="B692" s="37"/>
    </row>
    <row r="693" spans="2:2" s="34" customFormat="1" x14ac:dyDescent="0.2">
      <c r="B693" s="37"/>
    </row>
    <row r="694" spans="2:2" s="34" customFormat="1" x14ac:dyDescent="0.2">
      <c r="B694" s="37"/>
    </row>
    <row r="695" spans="2:2" s="34" customFormat="1" x14ac:dyDescent="0.2">
      <c r="B695" s="37"/>
    </row>
    <row r="696" spans="2:2" s="34" customFormat="1" x14ac:dyDescent="0.2">
      <c r="B696" s="37"/>
    </row>
    <row r="697" spans="2:2" s="34" customFormat="1" x14ac:dyDescent="0.2">
      <c r="B697" s="37"/>
    </row>
    <row r="698" spans="2:2" s="34" customFormat="1" x14ac:dyDescent="0.2">
      <c r="B698" s="37"/>
    </row>
    <row r="699" spans="2:2" s="34" customFormat="1" x14ac:dyDescent="0.2">
      <c r="B699" s="37"/>
    </row>
    <row r="700" spans="2:2" s="34" customFormat="1" x14ac:dyDescent="0.2">
      <c r="B700" s="37"/>
    </row>
    <row r="701" spans="2:2" s="34" customFormat="1" x14ac:dyDescent="0.2">
      <c r="B701" s="37"/>
    </row>
    <row r="702" spans="2:2" s="34" customFormat="1" x14ac:dyDescent="0.2">
      <c r="B702" s="37"/>
    </row>
    <row r="703" spans="2:2" s="34" customFormat="1" x14ac:dyDescent="0.2">
      <c r="B703" s="37"/>
    </row>
    <row r="704" spans="2:2" s="34" customFormat="1" x14ac:dyDescent="0.2">
      <c r="B704" s="37"/>
    </row>
    <row r="705" spans="2:2" s="34" customFormat="1" x14ac:dyDescent="0.2">
      <c r="B705" s="37"/>
    </row>
    <row r="706" spans="2:2" s="34" customFormat="1" x14ac:dyDescent="0.2">
      <c r="B706" s="37"/>
    </row>
    <row r="707" spans="2:2" s="34" customFormat="1" x14ac:dyDescent="0.2">
      <c r="B707" s="37"/>
    </row>
    <row r="708" spans="2:2" s="34" customFormat="1" x14ac:dyDescent="0.2">
      <c r="B708" s="37"/>
    </row>
    <row r="709" spans="2:2" s="34" customFormat="1" x14ac:dyDescent="0.2">
      <c r="B709" s="37"/>
    </row>
    <row r="710" spans="2:2" s="34" customFormat="1" x14ac:dyDescent="0.2">
      <c r="B710" s="37"/>
    </row>
    <row r="711" spans="2:2" s="34" customFormat="1" x14ac:dyDescent="0.2">
      <c r="B711" s="37"/>
    </row>
    <row r="712" spans="2:2" s="34" customFormat="1" x14ac:dyDescent="0.2">
      <c r="B712" s="37"/>
    </row>
    <row r="713" spans="2:2" s="34" customFormat="1" x14ac:dyDescent="0.2">
      <c r="B713" s="37"/>
    </row>
    <row r="714" spans="2:2" s="34" customFormat="1" x14ac:dyDescent="0.2">
      <c r="B714" s="37"/>
    </row>
    <row r="715" spans="2:2" s="34" customFormat="1" x14ac:dyDescent="0.2">
      <c r="B715" s="37"/>
    </row>
    <row r="716" spans="2:2" s="34" customFormat="1" x14ac:dyDescent="0.2">
      <c r="B716" s="37"/>
    </row>
    <row r="717" spans="2:2" s="34" customFormat="1" x14ac:dyDescent="0.2">
      <c r="B717" s="37"/>
    </row>
    <row r="718" spans="2:2" s="34" customFormat="1" x14ac:dyDescent="0.2">
      <c r="B718" s="37"/>
    </row>
    <row r="719" spans="2:2" s="34" customFormat="1" x14ac:dyDescent="0.2">
      <c r="B719" s="37"/>
    </row>
    <row r="720" spans="2:2" s="34" customFormat="1" x14ac:dyDescent="0.2">
      <c r="B720" s="37"/>
    </row>
    <row r="721" spans="2:2" s="34" customFormat="1" x14ac:dyDescent="0.2">
      <c r="B721" s="37"/>
    </row>
    <row r="722" spans="2:2" s="34" customFormat="1" x14ac:dyDescent="0.2">
      <c r="B722" s="37"/>
    </row>
    <row r="723" spans="2:2" s="34" customFormat="1" x14ac:dyDescent="0.2">
      <c r="B723" s="37"/>
    </row>
    <row r="724" spans="2:2" s="34" customFormat="1" x14ac:dyDescent="0.2">
      <c r="B724" s="37"/>
    </row>
    <row r="725" spans="2:2" s="34" customFormat="1" x14ac:dyDescent="0.2">
      <c r="B725" s="37"/>
    </row>
    <row r="726" spans="2:2" s="34" customFormat="1" x14ac:dyDescent="0.2">
      <c r="B726" s="37"/>
    </row>
    <row r="727" spans="2:2" s="34" customFormat="1" x14ac:dyDescent="0.2">
      <c r="B727" s="37"/>
    </row>
    <row r="728" spans="2:2" s="34" customFormat="1" x14ac:dyDescent="0.2">
      <c r="B728" s="37"/>
    </row>
    <row r="729" spans="2:2" s="34" customFormat="1" x14ac:dyDescent="0.2">
      <c r="B729" s="37"/>
    </row>
    <row r="730" spans="2:2" s="34" customFormat="1" x14ac:dyDescent="0.2">
      <c r="B730" s="37"/>
    </row>
    <row r="731" spans="2:2" s="34" customFormat="1" x14ac:dyDescent="0.2">
      <c r="B731" s="37"/>
    </row>
    <row r="732" spans="2:2" s="34" customFormat="1" x14ac:dyDescent="0.2">
      <c r="B732" s="37"/>
    </row>
    <row r="733" spans="2:2" s="34" customFormat="1" x14ac:dyDescent="0.2">
      <c r="B733" s="37"/>
    </row>
    <row r="734" spans="2:2" s="34" customFormat="1" x14ac:dyDescent="0.2">
      <c r="B734" s="37"/>
    </row>
    <row r="735" spans="2:2" s="34" customFormat="1" x14ac:dyDescent="0.2">
      <c r="B735" s="37"/>
    </row>
    <row r="736" spans="2:2" s="34" customFormat="1" x14ac:dyDescent="0.2">
      <c r="B736" s="37"/>
    </row>
    <row r="737" spans="2:2" s="34" customFormat="1" x14ac:dyDescent="0.2">
      <c r="B737" s="37"/>
    </row>
    <row r="738" spans="2:2" s="34" customFormat="1" x14ac:dyDescent="0.2">
      <c r="B738" s="37"/>
    </row>
    <row r="739" spans="2:2" s="34" customFormat="1" x14ac:dyDescent="0.2">
      <c r="B739" s="37"/>
    </row>
    <row r="740" spans="2:2" s="34" customFormat="1" x14ac:dyDescent="0.2">
      <c r="B740" s="37"/>
    </row>
    <row r="741" spans="2:2" s="34" customFormat="1" x14ac:dyDescent="0.2">
      <c r="B741" s="37"/>
    </row>
    <row r="742" spans="2:2" s="34" customFormat="1" x14ac:dyDescent="0.2">
      <c r="B742" s="37"/>
    </row>
    <row r="743" spans="2:2" s="34" customFormat="1" x14ac:dyDescent="0.2">
      <c r="B743" s="37"/>
    </row>
    <row r="744" spans="2:2" s="34" customFormat="1" x14ac:dyDescent="0.2">
      <c r="B744" s="37"/>
    </row>
    <row r="745" spans="2:2" s="34" customFormat="1" x14ac:dyDescent="0.2">
      <c r="B745" s="37"/>
    </row>
    <row r="746" spans="2:2" s="34" customFormat="1" x14ac:dyDescent="0.2">
      <c r="B746" s="37"/>
    </row>
    <row r="747" spans="2:2" s="34" customFormat="1" x14ac:dyDescent="0.2">
      <c r="B747" s="37"/>
    </row>
    <row r="748" spans="2:2" s="34" customFormat="1" x14ac:dyDescent="0.2">
      <c r="B748" s="37"/>
    </row>
    <row r="749" spans="2:2" s="34" customFormat="1" x14ac:dyDescent="0.2">
      <c r="B749" s="37"/>
    </row>
    <row r="750" spans="2:2" s="34" customFormat="1" x14ac:dyDescent="0.2">
      <c r="B750" s="37"/>
    </row>
    <row r="751" spans="2:2" s="34" customFormat="1" x14ac:dyDescent="0.2">
      <c r="B751" s="37"/>
    </row>
    <row r="752" spans="2:2" s="34" customFormat="1" x14ac:dyDescent="0.2">
      <c r="B752" s="37"/>
    </row>
    <row r="753" spans="2:2" s="34" customFormat="1" x14ac:dyDescent="0.2">
      <c r="B753" s="37"/>
    </row>
    <row r="754" spans="2:2" s="34" customFormat="1" x14ac:dyDescent="0.2">
      <c r="B754" s="37"/>
    </row>
    <row r="755" spans="2:2" s="34" customFormat="1" x14ac:dyDescent="0.2">
      <c r="B755" s="37"/>
    </row>
    <row r="756" spans="2:2" s="34" customFormat="1" x14ac:dyDescent="0.2">
      <c r="B756" s="37"/>
    </row>
    <row r="757" spans="2:2" s="34" customFormat="1" x14ac:dyDescent="0.2">
      <c r="B757" s="37"/>
    </row>
    <row r="758" spans="2:2" s="34" customFormat="1" x14ac:dyDescent="0.2">
      <c r="B758" s="37"/>
    </row>
    <row r="759" spans="2:2" s="34" customFormat="1" x14ac:dyDescent="0.2">
      <c r="B759" s="37"/>
    </row>
    <row r="760" spans="2:2" s="34" customFormat="1" x14ac:dyDescent="0.2">
      <c r="B760" s="37"/>
    </row>
    <row r="761" spans="2:2" s="34" customFormat="1" x14ac:dyDescent="0.2">
      <c r="B761" s="37"/>
    </row>
    <row r="762" spans="2:2" s="34" customFormat="1" x14ac:dyDescent="0.2">
      <c r="B762" s="37"/>
    </row>
    <row r="763" spans="2:2" s="34" customFormat="1" x14ac:dyDescent="0.2">
      <c r="B763" s="37"/>
    </row>
    <row r="764" spans="2:2" s="34" customFormat="1" x14ac:dyDescent="0.2">
      <c r="B764" s="37"/>
    </row>
    <row r="765" spans="2:2" s="34" customFormat="1" x14ac:dyDescent="0.2">
      <c r="B765" s="37"/>
    </row>
    <row r="766" spans="2:2" s="34" customFormat="1" x14ac:dyDescent="0.2">
      <c r="B766" s="37"/>
    </row>
    <row r="767" spans="2:2" s="34" customFormat="1" x14ac:dyDescent="0.2">
      <c r="B767" s="37"/>
    </row>
    <row r="768" spans="2:2" s="34" customFormat="1" x14ac:dyDescent="0.2">
      <c r="B768" s="37"/>
    </row>
    <row r="769" spans="2:2" s="34" customFormat="1" x14ac:dyDescent="0.2">
      <c r="B769" s="37"/>
    </row>
    <row r="770" spans="2:2" s="34" customFormat="1" x14ac:dyDescent="0.2">
      <c r="B770" s="37"/>
    </row>
    <row r="771" spans="2:2" s="34" customFormat="1" x14ac:dyDescent="0.2">
      <c r="B771" s="37"/>
    </row>
    <row r="772" spans="2:2" s="34" customFormat="1" x14ac:dyDescent="0.2">
      <c r="B772" s="37"/>
    </row>
    <row r="773" spans="2:2" s="34" customFormat="1" x14ac:dyDescent="0.2">
      <c r="B773" s="37"/>
    </row>
    <row r="774" spans="2:2" s="34" customFormat="1" x14ac:dyDescent="0.2">
      <c r="B774" s="37"/>
    </row>
    <row r="775" spans="2:2" s="34" customFormat="1" x14ac:dyDescent="0.2">
      <c r="B775" s="37"/>
    </row>
    <row r="776" spans="2:2" s="34" customFormat="1" x14ac:dyDescent="0.2">
      <c r="B776" s="37"/>
    </row>
    <row r="777" spans="2:2" s="34" customFormat="1" x14ac:dyDescent="0.2">
      <c r="B777" s="37"/>
    </row>
    <row r="778" spans="2:2" s="34" customFormat="1" x14ac:dyDescent="0.2">
      <c r="B778" s="37"/>
    </row>
    <row r="779" spans="2:2" s="34" customFormat="1" x14ac:dyDescent="0.2">
      <c r="B779" s="37"/>
    </row>
    <row r="780" spans="2:2" s="34" customFormat="1" x14ac:dyDescent="0.2">
      <c r="B780" s="37"/>
    </row>
    <row r="781" spans="2:2" s="34" customFormat="1" x14ac:dyDescent="0.2">
      <c r="B781" s="37"/>
    </row>
    <row r="782" spans="2:2" s="34" customFormat="1" x14ac:dyDescent="0.2">
      <c r="B782" s="37"/>
    </row>
    <row r="783" spans="2:2" s="34" customFormat="1" x14ac:dyDescent="0.2">
      <c r="B783" s="37"/>
    </row>
    <row r="784" spans="2:2" s="34" customFormat="1" x14ac:dyDescent="0.2">
      <c r="B784" s="37"/>
    </row>
    <row r="785" spans="2:2" s="34" customFormat="1" x14ac:dyDescent="0.2">
      <c r="B785" s="37"/>
    </row>
    <row r="786" spans="2:2" s="34" customFormat="1" x14ac:dyDescent="0.2">
      <c r="B786" s="37"/>
    </row>
    <row r="787" spans="2:2" s="34" customFormat="1" x14ac:dyDescent="0.2">
      <c r="B787" s="37"/>
    </row>
    <row r="788" spans="2:2" s="34" customFormat="1" x14ac:dyDescent="0.2">
      <c r="B788" s="37"/>
    </row>
    <row r="789" spans="2:2" s="34" customFormat="1" x14ac:dyDescent="0.2">
      <c r="B789" s="37"/>
    </row>
    <row r="790" spans="2:2" s="34" customFormat="1" x14ac:dyDescent="0.2">
      <c r="B790" s="37"/>
    </row>
    <row r="791" spans="2:2" s="34" customFormat="1" x14ac:dyDescent="0.2">
      <c r="B791" s="37"/>
    </row>
    <row r="792" spans="2:2" s="34" customFormat="1" x14ac:dyDescent="0.2">
      <c r="B792" s="37"/>
    </row>
    <row r="793" spans="2:2" s="34" customFormat="1" x14ac:dyDescent="0.2">
      <c r="B793" s="37"/>
    </row>
    <row r="794" spans="2:2" s="34" customFormat="1" x14ac:dyDescent="0.2">
      <c r="B794" s="37"/>
    </row>
    <row r="795" spans="2:2" s="34" customFormat="1" x14ac:dyDescent="0.2">
      <c r="B795" s="37"/>
    </row>
    <row r="796" spans="2:2" s="34" customFormat="1" x14ac:dyDescent="0.2">
      <c r="B796" s="37"/>
    </row>
    <row r="797" spans="2:2" s="34" customFormat="1" x14ac:dyDescent="0.2">
      <c r="B797" s="37"/>
    </row>
    <row r="798" spans="2:2" s="34" customFormat="1" x14ac:dyDescent="0.2">
      <c r="B798" s="37"/>
    </row>
    <row r="799" spans="2:2" s="34" customFormat="1" x14ac:dyDescent="0.2">
      <c r="B799" s="37"/>
    </row>
    <row r="800" spans="2:2" s="34" customFormat="1" x14ac:dyDescent="0.2">
      <c r="B800" s="37"/>
    </row>
    <row r="801" spans="2:2" s="34" customFormat="1" x14ac:dyDescent="0.2">
      <c r="B801" s="37"/>
    </row>
    <row r="802" spans="2:2" s="34" customFormat="1" x14ac:dyDescent="0.2">
      <c r="B802" s="37"/>
    </row>
    <row r="803" spans="2:2" s="34" customFormat="1" x14ac:dyDescent="0.2">
      <c r="B803" s="37"/>
    </row>
    <row r="804" spans="2:2" s="34" customFormat="1" x14ac:dyDescent="0.2">
      <c r="B804" s="37"/>
    </row>
    <row r="805" spans="2:2" s="34" customFormat="1" x14ac:dyDescent="0.2">
      <c r="B805" s="37"/>
    </row>
    <row r="806" spans="2:2" s="34" customFormat="1" x14ac:dyDescent="0.2">
      <c r="B806" s="37"/>
    </row>
    <row r="807" spans="2:2" s="34" customFormat="1" x14ac:dyDescent="0.2">
      <c r="B807" s="37"/>
    </row>
    <row r="808" spans="2:2" s="34" customFormat="1" x14ac:dyDescent="0.2">
      <c r="B808" s="37"/>
    </row>
    <row r="809" spans="2:2" s="34" customFormat="1" x14ac:dyDescent="0.2">
      <c r="B809" s="37"/>
    </row>
    <row r="810" spans="2:2" s="34" customFormat="1" x14ac:dyDescent="0.2">
      <c r="B810" s="37"/>
    </row>
    <row r="811" spans="2:2" s="34" customFormat="1" x14ac:dyDescent="0.2">
      <c r="B811" s="37"/>
    </row>
    <row r="812" spans="2:2" s="34" customFormat="1" x14ac:dyDescent="0.2">
      <c r="B812" s="37"/>
    </row>
    <row r="813" spans="2:2" s="34" customFormat="1" x14ac:dyDescent="0.2">
      <c r="B813" s="37"/>
    </row>
    <row r="814" spans="2:2" s="34" customFormat="1" x14ac:dyDescent="0.2">
      <c r="B814" s="37"/>
    </row>
    <row r="815" spans="2:2" s="34" customFormat="1" x14ac:dyDescent="0.2">
      <c r="B815" s="37"/>
    </row>
    <row r="816" spans="2:2" s="34" customFormat="1" x14ac:dyDescent="0.2">
      <c r="B816" s="37"/>
    </row>
    <row r="817" spans="2:2" s="34" customFormat="1" x14ac:dyDescent="0.2">
      <c r="B817" s="37"/>
    </row>
    <row r="818" spans="2:2" s="34" customFormat="1" x14ac:dyDescent="0.2">
      <c r="B818" s="37"/>
    </row>
    <row r="819" spans="2:2" s="34" customFormat="1" x14ac:dyDescent="0.2">
      <c r="B819" s="37"/>
    </row>
    <row r="820" spans="2:2" s="34" customFormat="1" x14ac:dyDescent="0.2">
      <c r="B820" s="37"/>
    </row>
    <row r="821" spans="2:2" s="34" customFormat="1" x14ac:dyDescent="0.2">
      <c r="B821" s="37"/>
    </row>
    <row r="822" spans="2:2" s="34" customFormat="1" x14ac:dyDescent="0.2">
      <c r="B822" s="37"/>
    </row>
    <row r="823" spans="2:2" s="34" customFormat="1" x14ac:dyDescent="0.2">
      <c r="B823" s="37"/>
    </row>
    <row r="824" spans="2:2" s="34" customFormat="1" x14ac:dyDescent="0.2">
      <c r="B824" s="37"/>
    </row>
    <row r="825" spans="2:2" s="34" customFormat="1" x14ac:dyDescent="0.2">
      <c r="B825" s="37"/>
    </row>
    <row r="826" spans="2:2" s="34" customFormat="1" x14ac:dyDescent="0.2">
      <c r="B826" s="37"/>
    </row>
    <row r="827" spans="2:2" s="34" customFormat="1" x14ac:dyDescent="0.2">
      <c r="B827" s="37"/>
    </row>
    <row r="828" spans="2:2" s="34" customFormat="1" x14ac:dyDescent="0.2">
      <c r="B828" s="37"/>
    </row>
    <row r="829" spans="2:2" s="34" customFormat="1" x14ac:dyDescent="0.2">
      <c r="B829" s="37"/>
    </row>
    <row r="830" spans="2:2" s="34" customFormat="1" x14ac:dyDescent="0.2">
      <c r="B830" s="37"/>
    </row>
    <row r="831" spans="2:2" s="34" customFormat="1" x14ac:dyDescent="0.2">
      <c r="B831" s="37"/>
    </row>
    <row r="832" spans="2:2" s="34" customFormat="1" x14ac:dyDescent="0.2">
      <c r="B832" s="37"/>
    </row>
    <row r="833" spans="2:2" s="34" customFormat="1" x14ac:dyDescent="0.2">
      <c r="B833" s="37"/>
    </row>
    <row r="834" spans="2:2" s="34" customFormat="1" x14ac:dyDescent="0.2">
      <c r="B834" s="37"/>
    </row>
    <row r="835" spans="2:2" s="34" customFormat="1" x14ac:dyDescent="0.2">
      <c r="B835" s="37"/>
    </row>
    <row r="836" spans="2:2" s="34" customFormat="1" x14ac:dyDescent="0.2">
      <c r="B836" s="37"/>
    </row>
    <row r="837" spans="2:2" s="34" customFormat="1" x14ac:dyDescent="0.2">
      <c r="B837" s="37"/>
    </row>
    <row r="838" spans="2:2" s="34" customFormat="1" x14ac:dyDescent="0.2">
      <c r="B838" s="37"/>
    </row>
    <row r="839" spans="2:2" s="34" customFormat="1" x14ac:dyDescent="0.2">
      <c r="B839" s="37"/>
    </row>
    <row r="840" spans="2:2" s="34" customFormat="1" x14ac:dyDescent="0.2">
      <c r="B840" s="37"/>
    </row>
    <row r="841" spans="2:2" s="34" customFormat="1" x14ac:dyDescent="0.2">
      <c r="B841" s="37"/>
    </row>
    <row r="842" spans="2:2" s="34" customFormat="1" x14ac:dyDescent="0.2">
      <c r="B842" s="37"/>
    </row>
    <row r="843" spans="2:2" s="34" customFormat="1" x14ac:dyDescent="0.2">
      <c r="B843" s="37"/>
    </row>
    <row r="844" spans="2:2" s="34" customFormat="1" x14ac:dyDescent="0.2">
      <c r="B844" s="37"/>
    </row>
    <row r="845" spans="2:2" s="34" customFormat="1" x14ac:dyDescent="0.2">
      <c r="B845" s="37"/>
    </row>
    <row r="846" spans="2:2" s="34" customFormat="1" x14ac:dyDescent="0.2">
      <c r="B846" s="37"/>
    </row>
    <row r="847" spans="2:2" s="34" customFormat="1" x14ac:dyDescent="0.2">
      <c r="B847" s="37"/>
    </row>
    <row r="848" spans="2:2" s="34" customFormat="1" x14ac:dyDescent="0.2">
      <c r="B848" s="37"/>
    </row>
    <row r="849" spans="2:2" s="34" customFormat="1" x14ac:dyDescent="0.2">
      <c r="B849" s="37"/>
    </row>
    <row r="850" spans="2:2" s="34" customFormat="1" x14ac:dyDescent="0.2">
      <c r="B850" s="37"/>
    </row>
    <row r="851" spans="2:2" s="34" customFormat="1" x14ac:dyDescent="0.2">
      <c r="B851" s="37"/>
    </row>
    <row r="852" spans="2:2" s="34" customFormat="1" x14ac:dyDescent="0.2">
      <c r="B852" s="37"/>
    </row>
    <row r="853" spans="2:2" s="34" customFormat="1" x14ac:dyDescent="0.2">
      <c r="B853" s="37"/>
    </row>
    <row r="854" spans="2:2" s="34" customFormat="1" x14ac:dyDescent="0.2">
      <c r="B854" s="37"/>
    </row>
    <row r="855" spans="2:2" s="34" customFormat="1" x14ac:dyDescent="0.2">
      <c r="B855" s="37"/>
    </row>
    <row r="856" spans="2:2" s="34" customFormat="1" x14ac:dyDescent="0.2">
      <c r="B856" s="37"/>
    </row>
    <row r="857" spans="2:2" s="34" customFormat="1" x14ac:dyDescent="0.2">
      <c r="B857" s="37"/>
    </row>
    <row r="858" spans="2:2" s="34" customFormat="1" x14ac:dyDescent="0.2">
      <c r="B858" s="37"/>
    </row>
    <row r="859" spans="2:2" s="34" customFormat="1" x14ac:dyDescent="0.2">
      <c r="B859" s="37"/>
    </row>
    <row r="860" spans="2:2" s="34" customFormat="1" x14ac:dyDescent="0.2">
      <c r="B860" s="37"/>
    </row>
    <row r="861" spans="2:2" s="34" customFormat="1" x14ac:dyDescent="0.2">
      <c r="B861" s="37"/>
    </row>
    <row r="862" spans="2:2" s="34" customFormat="1" x14ac:dyDescent="0.2">
      <c r="B862" s="37"/>
    </row>
    <row r="863" spans="2:2" s="34" customFormat="1" x14ac:dyDescent="0.2">
      <c r="B863" s="37"/>
    </row>
    <row r="864" spans="2:2" s="34" customFormat="1" x14ac:dyDescent="0.2">
      <c r="B864" s="37"/>
    </row>
    <row r="865" spans="2:2" s="34" customFormat="1" x14ac:dyDescent="0.2">
      <c r="B865" s="37"/>
    </row>
    <row r="866" spans="2:2" s="34" customFormat="1" x14ac:dyDescent="0.2">
      <c r="B866" s="37"/>
    </row>
    <row r="867" spans="2:2" s="34" customFormat="1" x14ac:dyDescent="0.2">
      <c r="B867" s="37"/>
    </row>
    <row r="868" spans="2:2" s="34" customFormat="1" x14ac:dyDescent="0.2">
      <c r="B868" s="37"/>
    </row>
    <row r="869" spans="2:2" s="34" customFormat="1" x14ac:dyDescent="0.2">
      <c r="B869" s="37"/>
    </row>
    <row r="870" spans="2:2" s="34" customFormat="1" x14ac:dyDescent="0.2">
      <c r="B870" s="37"/>
    </row>
    <row r="871" spans="2:2" s="34" customFormat="1" x14ac:dyDescent="0.2">
      <c r="B871" s="37"/>
    </row>
    <row r="872" spans="2:2" s="34" customFormat="1" x14ac:dyDescent="0.2">
      <c r="B872" s="37"/>
    </row>
    <row r="873" spans="2:2" s="34" customFormat="1" x14ac:dyDescent="0.2">
      <c r="B873" s="37"/>
    </row>
    <row r="874" spans="2:2" s="34" customFormat="1" x14ac:dyDescent="0.2">
      <c r="B874" s="37"/>
    </row>
    <row r="875" spans="2:2" s="34" customFormat="1" x14ac:dyDescent="0.2">
      <c r="B875" s="37"/>
    </row>
    <row r="876" spans="2:2" s="34" customFormat="1" x14ac:dyDescent="0.2">
      <c r="B876" s="37"/>
    </row>
    <row r="877" spans="2:2" s="34" customFormat="1" x14ac:dyDescent="0.2">
      <c r="B877" s="37"/>
    </row>
    <row r="878" spans="2:2" s="34" customFormat="1" x14ac:dyDescent="0.2">
      <c r="B878" s="37"/>
    </row>
    <row r="879" spans="2:2" s="34" customFormat="1" x14ac:dyDescent="0.2">
      <c r="B879" s="37"/>
    </row>
    <row r="880" spans="2:2" s="34" customFormat="1" x14ac:dyDescent="0.2">
      <c r="B880" s="37"/>
    </row>
    <row r="881" spans="2:2" s="34" customFormat="1" x14ac:dyDescent="0.2">
      <c r="B881" s="37"/>
    </row>
    <row r="882" spans="2:2" s="34" customFormat="1" x14ac:dyDescent="0.2">
      <c r="B882" s="37"/>
    </row>
    <row r="883" spans="2:2" s="34" customFormat="1" x14ac:dyDescent="0.2">
      <c r="B883" s="37"/>
    </row>
    <row r="884" spans="2:2" s="34" customFormat="1" x14ac:dyDescent="0.2">
      <c r="B884" s="37"/>
    </row>
    <row r="885" spans="2:2" s="34" customFormat="1" x14ac:dyDescent="0.2">
      <c r="B885" s="37"/>
    </row>
    <row r="886" spans="2:2" s="34" customFormat="1" x14ac:dyDescent="0.2">
      <c r="B886" s="37"/>
    </row>
    <row r="887" spans="2:2" s="34" customFormat="1" x14ac:dyDescent="0.2">
      <c r="B887" s="37"/>
    </row>
    <row r="888" spans="2:2" s="34" customFormat="1" x14ac:dyDescent="0.2">
      <c r="B888" s="37"/>
    </row>
    <row r="889" spans="2:2" s="34" customFormat="1" x14ac:dyDescent="0.2">
      <c r="B889" s="37"/>
    </row>
    <row r="890" spans="2:2" s="34" customFormat="1" x14ac:dyDescent="0.2">
      <c r="B890" s="37"/>
    </row>
    <row r="891" spans="2:2" s="34" customFormat="1" x14ac:dyDescent="0.2">
      <c r="B891" s="37"/>
    </row>
    <row r="892" spans="2:2" s="34" customFormat="1" x14ac:dyDescent="0.2">
      <c r="B892" s="37"/>
    </row>
    <row r="893" spans="2:2" s="34" customFormat="1" x14ac:dyDescent="0.2">
      <c r="B893" s="37"/>
    </row>
    <row r="894" spans="2:2" s="34" customFormat="1" x14ac:dyDescent="0.2">
      <c r="B894" s="37"/>
    </row>
    <row r="895" spans="2:2" s="34" customFormat="1" x14ac:dyDescent="0.2">
      <c r="B895" s="37"/>
    </row>
    <row r="896" spans="2:2" s="34" customFormat="1" x14ac:dyDescent="0.2">
      <c r="B896" s="37"/>
    </row>
    <row r="897" spans="2:2" s="34" customFormat="1" x14ac:dyDescent="0.2">
      <c r="B897" s="37"/>
    </row>
    <row r="898" spans="2:2" s="34" customFormat="1" x14ac:dyDescent="0.2">
      <c r="B898" s="37"/>
    </row>
    <row r="899" spans="2:2" s="34" customFormat="1" x14ac:dyDescent="0.2">
      <c r="B899" s="37"/>
    </row>
    <row r="900" spans="2:2" s="34" customFormat="1" x14ac:dyDescent="0.2">
      <c r="B900" s="37"/>
    </row>
    <row r="901" spans="2:2" s="34" customFormat="1" x14ac:dyDescent="0.2">
      <c r="B901" s="37"/>
    </row>
    <row r="902" spans="2:2" s="34" customFormat="1" x14ac:dyDescent="0.2">
      <c r="B902" s="37"/>
    </row>
    <row r="903" spans="2:2" s="34" customFormat="1" x14ac:dyDescent="0.2">
      <c r="B903" s="37"/>
    </row>
    <row r="904" spans="2:2" s="34" customFormat="1" x14ac:dyDescent="0.2">
      <c r="B904" s="37"/>
    </row>
    <row r="905" spans="2:2" s="34" customFormat="1" x14ac:dyDescent="0.2">
      <c r="B905" s="37"/>
    </row>
    <row r="906" spans="2:2" s="34" customFormat="1" x14ac:dyDescent="0.2">
      <c r="B906" s="37"/>
    </row>
    <row r="907" spans="2:2" s="34" customFormat="1" x14ac:dyDescent="0.2">
      <c r="B907" s="37"/>
    </row>
    <row r="908" spans="2:2" s="34" customFormat="1" x14ac:dyDescent="0.2">
      <c r="B908" s="37"/>
    </row>
    <row r="909" spans="2:2" s="34" customFormat="1" x14ac:dyDescent="0.2">
      <c r="B909" s="37"/>
    </row>
    <row r="910" spans="2:2" s="34" customFormat="1" x14ac:dyDescent="0.2">
      <c r="B910" s="37"/>
    </row>
    <row r="911" spans="2:2" s="34" customFormat="1" x14ac:dyDescent="0.2">
      <c r="B911" s="37"/>
    </row>
    <row r="912" spans="2:2" s="34" customFormat="1" x14ac:dyDescent="0.2">
      <c r="B912" s="37"/>
    </row>
    <row r="913" spans="2:2" s="34" customFormat="1" x14ac:dyDescent="0.2">
      <c r="B913" s="37"/>
    </row>
    <row r="914" spans="2:2" s="34" customFormat="1" x14ac:dyDescent="0.2">
      <c r="B914" s="37"/>
    </row>
    <row r="915" spans="2:2" s="34" customFormat="1" x14ac:dyDescent="0.2">
      <c r="B915" s="37"/>
    </row>
    <row r="916" spans="2:2" s="34" customFormat="1" x14ac:dyDescent="0.2">
      <c r="B916" s="37"/>
    </row>
    <row r="917" spans="2:2" s="34" customFormat="1" x14ac:dyDescent="0.2">
      <c r="B917" s="37"/>
    </row>
    <row r="918" spans="2:2" s="34" customFormat="1" x14ac:dyDescent="0.2">
      <c r="B918" s="37"/>
    </row>
    <row r="919" spans="2:2" s="34" customFormat="1" x14ac:dyDescent="0.2">
      <c r="B919" s="37"/>
    </row>
    <row r="920" spans="2:2" s="34" customFormat="1" x14ac:dyDescent="0.2">
      <c r="B920" s="37"/>
    </row>
    <row r="921" spans="2:2" s="34" customFormat="1" x14ac:dyDescent="0.2">
      <c r="B921" s="37"/>
    </row>
    <row r="922" spans="2:2" s="34" customFormat="1" x14ac:dyDescent="0.2">
      <c r="B922" s="37"/>
    </row>
    <row r="923" spans="2:2" s="34" customFormat="1" x14ac:dyDescent="0.2">
      <c r="B923" s="37"/>
    </row>
    <row r="924" spans="2:2" s="34" customFormat="1" x14ac:dyDescent="0.2">
      <c r="B924" s="37"/>
    </row>
    <row r="925" spans="2:2" s="34" customFormat="1" x14ac:dyDescent="0.2">
      <c r="B925" s="37"/>
    </row>
    <row r="926" spans="2:2" s="34" customFormat="1" x14ac:dyDescent="0.2">
      <c r="B926" s="37"/>
    </row>
    <row r="927" spans="2:2" s="34" customFormat="1" x14ac:dyDescent="0.2">
      <c r="B927" s="37"/>
    </row>
    <row r="928" spans="2:2" s="34" customFormat="1" x14ac:dyDescent="0.2">
      <c r="B928" s="37"/>
    </row>
    <row r="929" spans="2:2" s="34" customFormat="1" x14ac:dyDescent="0.2">
      <c r="B929" s="37"/>
    </row>
    <row r="930" spans="2:2" s="34" customFormat="1" x14ac:dyDescent="0.2">
      <c r="B930" s="37"/>
    </row>
    <row r="931" spans="2:2" s="34" customFormat="1" x14ac:dyDescent="0.2">
      <c r="B931" s="37"/>
    </row>
    <row r="932" spans="2:2" s="34" customFormat="1" x14ac:dyDescent="0.2">
      <c r="B932" s="37"/>
    </row>
    <row r="933" spans="2:2" s="34" customFormat="1" x14ac:dyDescent="0.2">
      <c r="B933" s="37"/>
    </row>
    <row r="934" spans="2:2" s="34" customFormat="1" x14ac:dyDescent="0.2">
      <c r="B934" s="37"/>
    </row>
    <row r="935" spans="2:2" s="34" customFormat="1" x14ac:dyDescent="0.2">
      <c r="B935" s="37"/>
    </row>
    <row r="936" spans="2:2" s="34" customFormat="1" x14ac:dyDescent="0.2">
      <c r="B936" s="37"/>
    </row>
    <row r="937" spans="2:2" s="34" customFormat="1" x14ac:dyDescent="0.2">
      <c r="B937" s="37"/>
    </row>
    <row r="938" spans="2:2" s="34" customFormat="1" x14ac:dyDescent="0.2">
      <c r="B938" s="37"/>
    </row>
    <row r="939" spans="2:2" s="34" customFormat="1" x14ac:dyDescent="0.2">
      <c r="B939" s="37"/>
    </row>
    <row r="940" spans="2:2" s="34" customFormat="1" x14ac:dyDescent="0.2">
      <c r="B940" s="37"/>
    </row>
    <row r="941" spans="2:2" s="34" customFormat="1" x14ac:dyDescent="0.2">
      <c r="B941" s="37"/>
    </row>
    <row r="942" spans="2:2" s="34" customFormat="1" x14ac:dyDescent="0.2">
      <c r="B942" s="37"/>
    </row>
    <row r="943" spans="2:2" s="34" customFormat="1" x14ac:dyDescent="0.2">
      <c r="B943" s="37"/>
    </row>
    <row r="944" spans="2:2" s="34" customFormat="1" x14ac:dyDescent="0.2">
      <c r="B944" s="37"/>
    </row>
    <row r="945" spans="2:2" s="34" customFormat="1" x14ac:dyDescent="0.2">
      <c r="B945" s="37"/>
    </row>
    <row r="946" spans="2:2" s="34" customFormat="1" x14ac:dyDescent="0.2">
      <c r="B946" s="37"/>
    </row>
    <row r="947" spans="2:2" s="34" customFormat="1" x14ac:dyDescent="0.2">
      <c r="B947" s="37"/>
    </row>
    <row r="948" spans="2:2" s="34" customFormat="1" x14ac:dyDescent="0.2">
      <c r="B948" s="37"/>
    </row>
    <row r="949" spans="2:2" s="34" customFormat="1" x14ac:dyDescent="0.2">
      <c r="B949" s="37"/>
    </row>
    <row r="950" spans="2:2" s="34" customFormat="1" x14ac:dyDescent="0.2">
      <c r="B950" s="37"/>
    </row>
    <row r="951" spans="2:2" s="34" customFormat="1" x14ac:dyDescent="0.2">
      <c r="B951" s="37"/>
    </row>
    <row r="952" spans="2:2" s="34" customFormat="1" x14ac:dyDescent="0.2">
      <c r="B952" s="37"/>
    </row>
    <row r="953" spans="2:2" s="34" customFormat="1" x14ac:dyDescent="0.2">
      <c r="B953" s="37"/>
    </row>
    <row r="954" spans="2:2" s="34" customFormat="1" x14ac:dyDescent="0.2">
      <c r="B954" s="37"/>
    </row>
    <row r="955" spans="2:2" s="34" customFormat="1" x14ac:dyDescent="0.2">
      <c r="B955" s="37"/>
    </row>
    <row r="956" spans="2:2" s="34" customFormat="1" x14ac:dyDescent="0.2">
      <c r="B956" s="37"/>
    </row>
    <row r="957" spans="2:2" s="34" customFormat="1" x14ac:dyDescent="0.2">
      <c r="B957" s="37"/>
    </row>
    <row r="958" spans="2:2" s="34" customFormat="1" x14ac:dyDescent="0.2">
      <c r="B958" s="37"/>
    </row>
    <row r="959" spans="2:2" s="34" customFormat="1" x14ac:dyDescent="0.2">
      <c r="B959" s="37"/>
    </row>
    <row r="960" spans="2:2" s="34" customFormat="1" x14ac:dyDescent="0.2">
      <c r="B960" s="37"/>
    </row>
    <row r="961" spans="2:2" s="34" customFormat="1" x14ac:dyDescent="0.2">
      <c r="B961" s="37"/>
    </row>
    <row r="962" spans="2:2" s="34" customFormat="1" x14ac:dyDescent="0.2">
      <c r="B962" s="37"/>
    </row>
    <row r="963" spans="2:2" s="34" customFormat="1" x14ac:dyDescent="0.2">
      <c r="B963" s="37"/>
    </row>
    <row r="964" spans="2:2" s="34" customFormat="1" x14ac:dyDescent="0.2">
      <c r="B964" s="37"/>
    </row>
    <row r="965" spans="2:2" s="34" customFormat="1" x14ac:dyDescent="0.2">
      <c r="B965" s="37"/>
    </row>
    <row r="966" spans="2:2" s="34" customFormat="1" x14ac:dyDescent="0.2">
      <c r="B966" s="37"/>
    </row>
    <row r="967" spans="2:2" s="34" customFormat="1" x14ac:dyDescent="0.2">
      <c r="B967" s="37"/>
    </row>
    <row r="968" spans="2:2" s="34" customFormat="1" x14ac:dyDescent="0.2">
      <c r="B968" s="37"/>
    </row>
    <row r="969" spans="2:2" s="34" customFormat="1" x14ac:dyDescent="0.2">
      <c r="B969" s="37"/>
    </row>
    <row r="970" spans="2:2" s="34" customFormat="1" x14ac:dyDescent="0.2">
      <c r="B970" s="37"/>
    </row>
    <row r="971" spans="2:2" s="34" customFormat="1" x14ac:dyDescent="0.2">
      <c r="B971" s="37"/>
    </row>
    <row r="972" spans="2:2" s="34" customFormat="1" x14ac:dyDescent="0.2">
      <c r="B972" s="37"/>
    </row>
    <row r="973" spans="2:2" s="34" customFormat="1" x14ac:dyDescent="0.2">
      <c r="B973" s="37"/>
    </row>
    <row r="974" spans="2:2" s="34" customFormat="1" x14ac:dyDescent="0.2">
      <c r="B974" s="37"/>
    </row>
    <row r="975" spans="2:2" s="34" customFormat="1" x14ac:dyDescent="0.2">
      <c r="B975" s="37"/>
    </row>
    <row r="976" spans="2:2" s="34" customFormat="1" x14ac:dyDescent="0.2">
      <c r="B976" s="37"/>
    </row>
    <row r="977" spans="2:2" s="34" customFormat="1" x14ac:dyDescent="0.2">
      <c r="B977" s="37"/>
    </row>
    <row r="978" spans="2:2" s="34" customFormat="1" x14ac:dyDescent="0.2">
      <c r="B978" s="37"/>
    </row>
    <row r="979" spans="2:2" s="34" customFormat="1" x14ac:dyDescent="0.2">
      <c r="B979" s="37"/>
    </row>
    <row r="980" spans="2:2" s="34" customFormat="1" x14ac:dyDescent="0.2">
      <c r="B980" s="37"/>
    </row>
    <row r="981" spans="2:2" s="34" customFormat="1" x14ac:dyDescent="0.2">
      <c r="B981" s="37"/>
    </row>
    <row r="982" spans="2:2" s="34" customFormat="1" x14ac:dyDescent="0.2">
      <c r="B982" s="37"/>
    </row>
    <row r="983" spans="2:2" s="34" customFormat="1" x14ac:dyDescent="0.2">
      <c r="B983" s="37"/>
    </row>
    <row r="984" spans="2:2" s="34" customFormat="1" x14ac:dyDescent="0.2">
      <c r="B984" s="37"/>
    </row>
    <row r="985" spans="2:2" s="34" customFormat="1" x14ac:dyDescent="0.2">
      <c r="B985" s="37"/>
    </row>
    <row r="986" spans="2:2" s="34" customFormat="1" x14ac:dyDescent="0.2">
      <c r="B986" s="37"/>
    </row>
    <row r="987" spans="2:2" s="34" customFormat="1" x14ac:dyDescent="0.2">
      <c r="B987" s="37"/>
    </row>
    <row r="988" spans="2:2" s="34" customFormat="1" x14ac:dyDescent="0.2">
      <c r="B988" s="37"/>
    </row>
    <row r="989" spans="2:2" s="34" customFormat="1" x14ac:dyDescent="0.2">
      <c r="B989" s="37"/>
    </row>
    <row r="990" spans="2:2" s="34" customFormat="1" x14ac:dyDescent="0.2">
      <c r="B990" s="37"/>
    </row>
    <row r="991" spans="2:2" s="34" customFormat="1" x14ac:dyDescent="0.2">
      <c r="B991" s="37"/>
    </row>
    <row r="992" spans="2:2" s="34" customFormat="1" x14ac:dyDescent="0.2">
      <c r="B992" s="37"/>
    </row>
    <row r="993" spans="2:2" s="34" customFormat="1" x14ac:dyDescent="0.2">
      <c r="B993" s="37"/>
    </row>
    <row r="994" spans="2:2" s="34" customFormat="1" x14ac:dyDescent="0.2">
      <c r="B994" s="37"/>
    </row>
    <row r="995" spans="2:2" s="34" customFormat="1" x14ac:dyDescent="0.2">
      <c r="B995" s="37"/>
    </row>
    <row r="996" spans="2:2" s="34" customFormat="1" x14ac:dyDescent="0.2">
      <c r="B996" s="37"/>
    </row>
    <row r="997" spans="2:2" s="34" customFormat="1" x14ac:dyDescent="0.2">
      <c r="B997" s="37"/>
    </row>
    <row r="998" spans="2:2" s="34" customFormat="1" x14ac:dyDescent="0.2">
      <c r="B998" s="37"/>
    </row>
    <row r="999" spans="2:2" s="34" customFormat="1" x14ac:dyDescent="0.2">
      <c r="B999" s="37"/>
    </row>
    <row r="1000" spans="2:2" s="34" customFormat="1" x14ac:dyDescent="0.2">
      <c r="B1000" s="37"/>
    </row>
    <row r="1001" spans="2:2" s="34" customFormat="1" x14ac:dyDescent="0.2">
      <c r="B1001" s="37"/>
    </row>
    <row r="1002" spans="2:2" s="34" customFormat="1" x14ac:dyDescent="0.2">
      <c r="B1002" s="37"/>
    </row>
    <row r="1003" spans="2:2" s="34" customFormat="1" x14ac:dyDescent="0.2">
      <c r="B1003" s="37"/>
    </row>
    <row r="1004" spans="2:2" s="34" customFormat="1" x14ac:dyDescent="0.2">
      <c r="B1004" s="37"/>
    </row>
    <row r="1005" spans="2:2" s="34" customFormat="1" x14ac:dyDescent="0.2">
      <c r="B1005" s="37"/>
    </row>
    <row r="1006" spans="2:2" s="34" customFormat="1" x14ac:dyDescent="0.2">
      <c r="B1006" s="37"/>
    </row>
    <row r="1007" spans="2:2" s="34" customFormat="1" x14ac:dyDescent="0.2">
      <c r="B1007" s="37"/>
    </row>
    <row r="1008" spans="2:2" s="34" customFormat="1" x14ac:dyDescent="0.2">
      <c r="B1008" s="37"/>
    </row>
    <row r="1009" spans="2:2" s="34" customFormat="1" x14ac:dyDescent="0.2">
      <c r="B1009" s="37"/>
    </row>
    <row r="1010" spans="2:2" s="34" customFormat="1" x14ac:dyDescent="0.2">
      <c r="B1010" s="37"/>
    </row>
    <row r="1011" spans="2:2" s="34" customFormat="1" x14ac:dyDescent="0.2">
      <c r="B1011" s="37"/>
    </row>
    <row r="1012" spans="2:2" s="34" customFormat="1" x14ac:dyDescent="0.2">
      <c r="B1012" s="37"/>
    </row>
    <row r="1013" spans="2:2" s="34" customFormat="1" x14ac:dyDescent="0.2">
      <c r="B1013" s="37"/>
    </row>
    <row r="1014" spans="2:2" s="34" customFormat="1" x14ac:dyDescent="0.2">
      <c r="B1014" s="37"/>
    </row>
    <row r="1015" spans="2:2" s="34" customFormat="1" x14ac:dyDescent="0.2">
      <c r="B1015" s="37"/>
    </row>
    <row r="1016" spans="2:2" s="34" customFormat="1" x14ac:dyDescent="0.2">
      <c r="B1016" s="37"/>
    </row>
    <row r="1017" spans="2:2" s="34" customFormat="1" x14ac:dyDescent="0.2">
      <c r="B1017" s="37"/>
    </row>
    <row r="1018" spans="2:2" s="34" customFormat="1" x14ac:dyDescent="0.2">
      <c r="B1018" s="37"/>
    </row>
    <row r="1019" spans="2:2" s="34" customFormat="1" x14ac:dyDescent="0.2">
      <c r="B1019" s="37"/>
    </row>
    <row r="1020" spans="2:2" s="34" customFormat="1" x14ac:dyDescent="0.2">
      <c r="B1020" s="37"/>
    </row>
    <row r="1021" spans="2:2" s="34" customFormat="1" x14ac:dyDescent="0.2">
      <c r="B1021" s="37"/>
    </row>
    <row r="1022" spans="2:2" s="34" customFormat="1" x14ac:dyDescent="0.2">
      <c r="B1022" s="37"/>
    </row>
    <row r="1023" spans="2:2" s="34" customFormat="1" x14ac:dyDescent="0.2">
      <c r="B1023" s="37"/>
    </row>
    <row r="1024" spans="2:2" s="34" customFormat="1" x14ac:dyDescent="0.2">
      <c r="B1024" s="37"/>
    </row>
    <row r="1025" spans="2:2" s="34" customFormat="1" x14ac:dyDescent="0.2">
      <c r="B1025" s="37"/>
    </row>
    <row r="1026" spans="2:2" s="34" customFormat="1" x14ac:dyDescent="0.2">
      <c r="B1026" s="37"/>
    </row>
    <row r="1027" spans="2:2" s="34" customFormat="1" x14ac:dyDescent="0.2">
      <c r="B1027" s="37"/>
    </row>
    <row r="1028" spans="2:2" s="34" customFormat="1" x14ac:dyDescent="0.2">
      <c r="B1028" s="37"/>
    </row>
    <row r="1029" spans="2:2" s="34" customFormat="1" x14ac:dyDescent="0.2">
      <c r="B1029" s="37"/>
    </row>
    <row r="1030" spans="2:2" s="34" customFormat="1" x14ac:dyDescent="0.2">
      <c r="B1030" s="37"/>
    </row>
    <row r="1031" spans="2:2" s="34" customFormat="1" x14ac:dyDescent="0.2">
      <c r="B1031" s="37"/>
    </row>
    <row r="1032" spans="2:2" s="34" customFormat="1" x14ac:dyDescent="0.2">
      <c r="B1032" s="37"/>
    </row>
    <row r="1033" spans="2:2" s="34" customFormat="1" x14ac:dyDescent="0.2">
      <c r="B1033" s="37"/>
    </row>
    <row r="1034" spans="2:2" s="34" customFormat="1" x14ac:dyDescent="0.2">
      <c r="B1034" s="37"/>
    </row>
    <row r="1035" spans="2:2" s="34" customFormat="1" x14ac:dyDescent="0.2">
      <c r="B1035" s="37"/>
    </row>
    <row r="1036" spans="2:2" s="34" customFormat="1" x14ac:dyDescent="0.2">
      <c r="B1036" s="37"/>
    </row>
    <row r="1037" spans="2:2" s="34" customFormat="1" x14ac:dyDescent="0.2">
      <c r="B1037" s="37"/>
    </row>
    <row r="1038" spans="2:2" s="34" customFormat="1" x14ac:dyDescent="0.2">
      <c r="B1038" s="37"/>
    </row>
    <row r="1039" spans="2:2" s="34" customFormat="1" x14ac:dyDescent="0.2">
      <c r="B1039" s="37"/>
    </row>
    <row r="1040" spans="2:2" s="34" customFormat="1" x14ac:dyDescent="0.2">
      <c r="B1040" s="37"/>
    </row>
    <row r="1041" spans="2:2" s="34" customFormat="1" x14ac:dyDescent="0.2">
      <c r="B1041" s="37"/>
    </row>
    <row r="1042" spans="2:2" s="34" customFormat="1" x14ac:dyDescent="0.2">
      <c r="B1042" s="37"/>
    </row>
    <row r="1043" spans="2:2" s="34" customFormat="1" x14ac:dyDescent="0.2">
      <c r="B1043" s="37"/>
    </row>
    <row r="1044" spans="2:2" s="34" customFormat="1" x14ac:dyDescent="0.2">
      <c r="B1044" s="37"/>
    </row>
    <row r="1045" spans="2:2" s="34" customFormat="1" x14ac:dyDescent="0.2">
      <c r="B1045" s="37"/>
    </row>
    <row r="1046" spans="2:2" s="34" customFormat="1" x14ac:dyDescent="0.2">
      <c r="B1046" s="37"/>
    </row>
    <row r="1047" spans="2:2" s="34" customFormat="1" x14ac:dyDescent="0.2">
      <c r="B1047" s="37"/>
    </row>
    <row r="1048" spans="2:2" s="34" customFormat="1" x14ac:dyDescent="0.2">
      <c r="B1048" s="37"/>
    </row>
    <row r="1049" spans="2:2" s="34" customFormat="1" x14ac:dyDescent="0.2">
      <c r="B1049" s="37"/>
    </row>
    <row r="1050" spans="2:2" s="34" customFormat="1" x14ac:dyDescent="0.2">
      <c r="B1050" s="37"/>
    </row>
    <row r="1051" spans="2:2" s="34" customFormat="1" x14ac:dyDescent="0.2">
      <c r="B1051" s="37"/>
    </row>
    <row r="1052" spans="2:2" s="34" customFormat="1" x14ac:dyDescent="0.2">
      <c r="B1052" s="37"/>
    </row>
    <row r="1053" spans="2:2" s="34" customFormat="1" x14ac:dyDescent="0.2">
      <c r="B1053" s="37"/>
    </row>
    <row r="1054" spans="2:2" s="34" customFormat="1" x14ac:dyDescent="0.2">
      <c r="B1054" s="37"/>
    </row>
    <row r="1055" spans="2:2" s="34" customFormat="1" x14ac:dyDescent="0.2">
      <c r="B1055" s="37"/>
    </row>
    <row r="1056" spans="2:2" s="34" customFormat="1" x14ac:dyDescent="0.2">
      <c r="B1056" s="37"/>
    </row>
    <row r="1057" spans="2:2" s="34" customFormat="1" x14ac:dyDescent="0.2">
      <c r="B1057" s="37"/>
    </row>
    <row r="1058" spans="2:2" s="34" customFormat="1" x14ac:dyDescent="0.2">
      <c r="B1058" s="37"/>
    </row>
    <row r="1059" spans="2:2" s="34" customFormat="1" x14ac:dyDescent="0.2">
      <c r="B1059" s="37"/>
    </row>
    <row r="1060" spans="2:2" s="34" customFormat="1" x14ac:dyDescent="0.2">
      <c r="B1060" s="37"/>
    </row>
    <row r="1061" spans="2:2" s="34" customFormat="1" x14ac:dyDescent="0.2">
      <c r="B1061" s="37"/>
    </row>
    <row r="1062" spans="2:2" s="34" customFormat="1" x14ac:dyDescent="0.2">
      <c r="B1062" s="37"/>
    </row>
    <row r="1063" spans="2:2" s="34" customFormat="1" x14ac:dyDescent="0.2">
      <c r="B1063" s="37"/>
    </row>
    <row r="1064" spans="2:2" s="34" customFormat="1" x14ac:dyDescent="0.2">
      <c r="B1064" s="37"/>
    </row>
    <row r="1065" spans="2:2" s="34" customFormat="1" x14ac:dyDescent="0.2">
      <c r="B1065" s="37"/>
    </row>
    <row r="1066" spans="2:2" s="34" customFormat="1" x14ac:dyDescent="0.2">
      <c r="B1066" s="37"/>
    </row>
    <row r="1067" spans="2:2" s="34" customFormat="1" x14ac:dyDescent="0.2">
      <c r="B1067" s="37"/>
    </row>
    <row r="1068" spans="2:2" s="34" customFormat="1" x14ac:dyDescent="0.2">
      <c r="B1068" s="37"/>
    </row>
    <row r="1069" spans="2:2" s="34" customFormat="1" x14ac:dyDescent="0.2">
      <c r="B1069" s="37"/>
    </row>
    <row r="1070" spans="2:2" s="34" customFormat="1" x14ac:dyDescent="0.2">
      <c r="B1070" s="37"/>
    </row>
    <row r="1071" spans="2:2" s="34" customFormat="1" x14ac:dyDescent="0.2">
      <c r="B1071" s="37"/>
    </row>
    <row r="1072" spans="2:2" s="34" customFormat="1" x14ac:dyDescent="0.2">
      <c r="B1072" s="37"/>
    </row>
    <row r="1073" spans="2:2" s="34" customFormat="1" x14ac:dyDescent="0.2">
      <c r="B1073" s="37"/>
    </row>
    <row r="1074" spans="2:2" s="34" customFormat="1" x14ac:dyDescent="0.2">
      <c r="B1074" s="37"/>
    </row>
    <row r="1075" spans="2:2" s="34" customFormat="1" x14ac:dyDescent="0.2">
      <c r="B1075" s="37"/>
    </row>
    <row r="1076" spans="2:2" s="34" customFormat="1" x14ac:dyDescent="0.2">
      <c r="B1076" s="37"/>
    </row>
    <row r="1077" spans="2:2" s="34" customFormat="1" x14ac:dyDescent="0.2">
      <c r="B1077" s="37"/>
    </row>
    <row r="1078" spans="2:2" s="34" customFormat="1" x14ac:dyDescent="0.2">
      <c r="B1078" s="37"/>
    </row>
    <row r="1079" spans="2:2" s="34" customFormat="1" x14ac:dyDescent="0.2">
      <c r="B1079" s="37"/>
    </row>
    <row r="1080" spans="2:2" s="34" customFormat="1" x14ac:dyDescent="0.2">
      <c r="B1080" s="37"/>
    </row>
    <row r="1081" spans="2:2" s="34" customFormat="1" x14ac:dyDescent="0.2">
      <c r="B1081" s="37"/>
    </row>
    <row r="1082" spans="2:2" s="34" customFormat="1" x14ac:dyDescent="0.2">
      <c r="B1082" s="37"/>
    </row>
    <row r="1083" spans="2:2" s="34" customFormat="1" x14ac:dyDescent="0.2">
      <c r="B1083" s="37"/>
    </row>
    <row r="1084" spans="2:2" s="34" customFormat="1" x14ac:dyDescent="0.2">
      <c r="B1084" s="37"/>
    </row>
    <row r="1085" spans="2:2" s="34" customFormat="1" x14ac:dyDescent="0.2">
      <c r="B1085" s="37"/>
    </row>
    <row r="1086" spans="2:2" s="34" customFormat="1" x14ac:dyDescent="0.2">
      <c r="B1086" s="37"/>
    </row>
    <row r="1087" spans="2:2" s="34" customFormat="1" x14ac:dyDescent="0.2">
      <c r="B1087" s="37"/>
    </row>
    <row r="1088" spans="2:2" s="34" customFormat="1" x14ac:dyDescent="0.2">
      <c r="B1088" s="37"/>
    </row>
    <row r="1089" spans="2:2" s="34" customFormat="1" x14ac:dyDescent="0.2">
      <c r="B1089" s="37"/>
    </row>
    <row r="1090" spans="2:2" s="34" customFormat="1" x14ac:dyDescent="0.2">
      <c r="B1090" s="37"/>
    </row>
    <row r="1091" spans="2:2" s="34" customFormat="1" x14ac:dyDescent="0.2">
      <c r="B1091" s="37"/>
    </row>
    <row r="1092" spans="2:2" s="34" customFormat="1" x14ac:dyDescent="0.2">
      <c r="B1092" s="37"/>
    </row>
    <row r="1093" spans="2:2" s="34" customFormat="1" x14ac:dyDescent="0.2">
      <c r="B1093" s="37"/>
    </row>
    <row r="1094" spans="2:2" s="34" customFormat="1" x14ac:dyDescent="0.2">
      <c r="B1094" s="37"/>
    </row>
    <row r="1095" spans="2:2" s="34" customFormat="1" x14ac:dyDescent="0.2">
      <c r="B1095" s="37"/>
    </row>
    <row r="1096" spans="2:2" s="34" customFormat="1" x14ac:dyDescent="0.2">
      <c r="B1096" s="37"/>
    </row>
    <row r="1097" spans="2:2" s="34" customFormat="1" x14ac:dyDescent="0.2">
      <c r="B1097" s="37"/>
    </row>
    <row r="1098" spans="2:2" s="34" customFormat="1" x14ac:dyDescent="0.2">
      <c r="B1098" s="37"/>
    </row>
    <row r="1099" spans="2:2" s="34" customFormat="1" x14ac:dyDescent="0.2">
      <c r="B1099" s="37"/>
    </row>
    <row r="1100" spans="2:2" s="34" customFormat="1" x14ac:dyDescent="0.2">
      <c r="B1100" s="37"/>
    </row>
    <row r="1101" spans="2:2" s="34" customFormat="1" x14ac:dyDescent="0.2">
      <c r="B1101" s="37"/>
    </row>
    <row r="1102" spans="2:2" s="34" customFormat="1" x14ac:dyDescent="0.2">
      <c r="B1102" s="37"/>
    </row>
    <row r="1103" spans="2:2" s="34" customFormat="1" x14ac:dyDescent="0.2">
      <c r="B1103" s="37"/>
    </row>
    <row r="1104" spans="2:2" s="34" customFormat="1" x14ac:dyDescent="0.2">
      <c r="B1104" s="37"/>
    </row>
    <row r="1105" spans="2:2" s="34" customFormat="1" x14ac:dyDescent="0.2">
      <c r="B1105" s="37"/>
    </row>
    <row r="1106" spans="2:2" s="34" customFormat="1" x14ac:dyDescent="0.2">
      <c r="B1106" s="37"/>
    </row>
    <row r="1107" spans="2:2" s="34" customFormat="1" x14ac:dyDescent="0.2">
      <c r="B1107" s="37"/>
    </row>
    <row r="1108" spans="2:2" s="34" customFormat="1" x14ac:dyDescent="0.2">
      <c r="B1108" s="37"/>
    </row>
    <row r="1109" spans="2:2" s="34" customFormat="1" x14ac:dyDescent="0.2">
      <c r="B1109" s="37"/>
    </row>
    <row r="1110" spans="2:2" s="34" customFormat="1" x14ac:dyDescent="0.2">
      <c r="B1110" s="37"/>
    </row>
    <row r="1111" spans="2:2" s="34" customFormat="1" x14ac:dyDescent="0.2">
      <c r="B1111" s="37"/>
    </row>
    <row r="1112" spans="2:2" s="34" customFormat="1" x14ac:dyDescent="0.2">
      <c r="B1112" s="37"/>
    </row>
    <row r="1113" spans="2:2" s="34" customFormat="1" x14ac:dyDescent="0.2">
      <c r="B1113" s="37"/>
    </row>
    <row r="1114" spans="2:2" s="34" customFormat="1" x14ac:dyDescent="0.2">
      <c r="B1114" s="37"/>
    </row>
    <row r="1115" spans="2:2" s="34" customFormat="1" x14ac:dyDescent="0.2">
      <c r="B1115" s="37"/>
    </row>
    <row r="1116" spans="2:2" s="34" customFormat="1" x14ac:dyDescent="0.2">
      <c r="B1116" s="37"/>
    </row>
    <row r="1117" spans="2:2" s="34" customFormat="1" x14ac:dyDescent="0.2">
      <c r="B1117" s="37"/>
    </row>
    <row r="1118" spans="2:2" s="34" customFormat="1" x14ac:dyDescent="0.2">
      <c r="B1118" s="37"/>
    </row>
    <row r="1119" spans="2:2" s="34" customFormat="1" x14ac:dyDescent="0.2">
      <c r="B1119" s="37"/>
    </row>
    <row r="1120" spans="2:2" s="34" customFormat="1" x14ac:dyDescent="0.2">
      <c r="B1120" s="37"/>
    </row>
    <row r="1121" spans="2:2" s="34" customFormat="1" x14ac:dyDescent="0.2">
      <c r="B1121" s="37"/>
    </row>
    <row r="1122" spans="2:2" s="34" customFormat="1" x14ac:dyDescent="0.2">
      <c r="B1122" s="37"/>
    </row>
    <row r="1123" spans="2:2" s="34" customFormat="1" x14ac:dyDescent="0.2">
      <c r="B1123" s="37"/>
    </row>
    <row r="1124" spans="2:2" s="34" customFormat="1" x14ac:dyDescent="0.2">
      <c r="B1124" s="37"/>
    </row>
    <row r="1125" spans="2:2" s="34" customFormat="1" x14ac:dyDescent="0.2">
      <c r="B1125" s="37"/>
    </row>
    <row r="1126" spans="2:2" s="34" customFormat="1" x14ac:dyDescent="0.2">
      <c r="B1126" s="37"/>
    </row>
    <row r="1127" spans="2:2" s="34" customFormat="1" x14ac:dyDescent="0.2">
      <c r="B1127" s="37"/>
    </row>
    <row r="1128" spans="2:2" s="34" customFormat="1" x14ac:dyDescent="0.2">
      <c r="B1128" s="37"/>
    </row>
    <row r="1129" spans="2:2" s="34" customFormat="1" x14ac:dyDescent="0.2">
      <c r="B1129" s="37"/>
    </row>
    <row r="1130" spans="2:2" s="34" customFormat="1" x14ac:dyDescent="0.2">
      <c r="B1130" s="37"/>
    </row>
    <row r="1131" spans="2:2" s="34" customFormat="1" x14ac:dyDescent="0.2">
      <c r="B1131" s="37"/>
    </row>
    <row r="1132" spans="2:2" s="34" customFormat="1" x14ac:dyDescent="0.2">
      <c r="B1132" s="37"/>
    </row>
    <row r="1133" spans="2:2" s="34" customFormat="1" x14ac:dyDescent="0.2">
      <c r="B1133" s="37"/>
    </row>
    <row r="1134" spans="2:2" s="34" customFormat="1" x14ac:dyDescent="0.2">
      <c r="B1134" s="37"/>
    </row>
    <row r="1135" spans="2:2" s="34" customFormat="1" x14ac:dyDescent="0.2">
      <c r="B1135" s="37"/>
    </row>
    <row r="1136" spans="2:2" s="34" customFormat="1" x14ac:dyDescent="0.2">
      <c r="B1136" s="37"/>
    </row>
    <row r="1137" spans="2:2" s="34" customFormat="1" x14ac:dyDescent="0.2">
      <c r="B1137" s="37"/>
    </row>
    <row r="1138" spans="2:2" s="34" customFormat="1" x14ac:dyDescent="0.2">
      <c r="B1138" s="37"/>
    </row>
    <row r="1139" spans="2:2" s="34" customFormat="1" x14ac:dyDescent="0.2">
      <c r="B1139" s="37"/>
    </row>
    <row r="1140" spans="2:2" s="34" customFormat="1" x14ac:dyDescent="0.2">
      <c r="B1140" s="37"/>
    </row>
    <row r="1141" spans="2:2" s="34" customFormat="1" x14ac:dyDescent="0.2">
      <c r="B1141" s="37"/>
    </row>
    <row r="1142" spans="2:2" s="34" customFormat="1" x14ac:dyDescent="0.2">
      <c r="B1142" s="37"/>
    </row>
    <row r="1143" spans="2:2" s="34" customFormat="1" x14ac:dyDescent="0.2">
      <c r="B1143" s="37"/>
    </row>
    <row r="1144" spans="2:2" s="34" customFormat="1" x14ac:dyDescent="0.2">
      <c r="B1144" s="37"/>
    </row>
    <row r="1145" spans="2:2" s="34" customFormat="1" x14ac:dyDescent="0.2">
      <c r="B1145" s="37"/>
    </row>
    <row r="1146" spans="2:2" s="34" customFormat="1" x14ac:dyDescent="0.2">
      <c r="B1146" s="37"/>
    </row>
    <row r="1147" spans="2:2" s="34" customFormat="1" x14ac:dyDescent="0.2">
      <c r="B1147" s="37"/>
    </row>
    <row r="1148" spans="2:2" s="34" customFormat="1" x14ac:dyDescent="0.2">
      <c r="B1148" s="37"/>
    </row>
    <row r="1149" spans="2:2" s="34" customFormat="1" x14ac:dyDescent="0.2">
      <c r="B1149" s="37"/>
    </row>
    <row r="1150" spans="2:2" s="34" customFormat="1" x14ac:dyDescent="0.2">
      <c r="B1150" s="37"/>
    </row>
    <row r="1151" spans="2:2" s="34" customFormat="1" x14ac:dyDescent="0.2">
      <c r="B1151" s="37"/>
    </row>
    <row r="1152" spans="2:2" s="34" customFormat="1" x14ac:dyDescent="0.2">
      <c r="B1152" s="37"/>
    </row>
    <row r="1153" spans="2:2" s="34" customFormat="1" x14ac:dyDescent="0.2">
      <c r="B1153" s="37"/>
    </row>
    <row r="1154" spans="2:2" s="34" customFormat="1" x14ac:dyDescent="0.2">
      <c r="B1154" s="37"/>
    </row>
    <row r="1155" spans="2:2" s="34" customFormat="1" x14ac:dyDescent="0.2">
      <c r="B1155" s="37"/>
    </row>
    <row r="1156" spans="2:2" s="34" customFormat="1" x14ac:dyDescent="0.2">
      <c r="B1156" s="37"/>
    </row>
    <row r="1157" spans="2:2" s="34" customFormat="1" x14ac:dyDescent="0.2">
      <c r="B1157" s="37"/>
    </row>
    <row r="1158" spans="2:2" s="34" customFormat="1" x14ac:dyDescent="0.2">
      <c r="B1158" s="37"/>
    </row>
    <row r="1159" spans="2:2" s="34" customFormat="1" x14ac:dyDescent="0.2">
      <c r="B1159" s="37"/>
    </row>
    <row r="1160" spans="2:2" s="34" customFormat="1" x14ac:dyDescent="0.2">
      <c r="B1160" s="37"/>
    </row>
    <row r="1161" spans="2:2" s="34" customFormat="1" x14ac:dyDescent="0.2">
      <c r="B1161" s="37"/>
    </row>
    <row r="1162" spans="2:2" s="34" customFormat="1" x14ac:dyDescent="0.2">
      <c r="B1162" s="37"/>
    </row>
    <row r="1163" spans="2:2" s="34" customFormat="1" x14ac:dyDescent="0.2">
      <c r="B1163" s="37"/>
    </row>
    <row r="1164" spans="2:2" s="34" customFormat="1" x14ac:dyDescent="0.2">
      <c r="B1164" s="37"/>
    </row>
    <row r="1165" spans="2:2" s="34" customFormat="1" x14ac:dyDescent="0.2">
      <c r="B1165" s="37"/>
    </row>
    <row r="1166" spans="2:2" s="34" customFormat="1" x14ac:dyDescent="0.2">
      <c r="B1166" s="37"/>
    </row>
    <row r="1167" spans="2:2" s="34" customFormat="1" x14ac:dyDescent="0.2">
      <c r="B1167" s="37"/>
    </row>
    <row r="1168" spans="2:2" s="34" customFormat="1" x14ac:dyDescent="0.2">
      <c r="B1168" s="37"/>
    </row>
    <row r="1169" spans="2:2" s="34" customFormat="1" x14ac:dyDescent="0.2">
      <c r="B1169" s="37"/>
    </row>
    <row r="1170" spans="2:2" s="34" customFormat="1" x14ac:dyDescent="0.2">
      <c r="B1170" s="37"/>
    </row>
    <row r="1171" spans="2:2" s="34" customFormat="1" x14ac:dyDescent="0.2">
      <c r="B1171" s="37"/>
    </row>
    <row r="1172" spans="2:2" s="34" customFormat="1" x14ac:dyDescent="0.2">
      <c r="B1172" s="37"/>
    </row>
    <row r="1173" spans="2:2" s="34" customFormat="1" x14ac:dyDescent="0.2">
      <c r="B1173" s="37"/>
    </row>
    <row r="1174" spans="2:2" s="34" customFormat="1" x14ac:dyDescent="0.2">
      <c r="B1174" s="37"/>
    </row>
    <row r="1175" spans="2:2" s="34" customFormat="1" x14ac:dyDescent="0.2">
      <c r="B1175" s="37"/>
    </row>
    <row r="1176" spans="2:2" s="34" customFormat="1" x14ac:dyDescent="0.2">
      <c r="B1176" s="37"/>
    </row>
    <row r="1177" spans="2:2" s="34" customFormat="1" x14ac:dyDescent="0.2">
      <c r="B1177" s="37"/>
    </row>
    <row r="1178" spans="2:2" s="34" customFormat="1" x14ac:dyDescent="0.2">
      <c r="B1178" s="37"/>
    </row>
    <row r="1179" spans="2:2" s="34" customFormat="1" x14ac:dyDescent="0.2">
      <c r="B1179" s="37"/>
    </row>
    <row r="1180" spans="2:2" s="34" customFormat="1" x14ac:dyDescent="0.2">
      <c r="B1180" s="37"/>
    </row>
    <row r="1181" spans="2:2" s="34" customFormat="1" x14ac:dyDescent="0.2">
      <c r="B1181" s="37"/>
    </row>
    <row r="1182" spans="2:2" s="34" customFormat="1" x14ac:dyDescent="0.2">
      <c r="B1182" s="37"/>
    </row>
    <row r="1183" spans="2:2" s="34" customFormat="1" x14ac:dyDescent="0.2">
      <c r="B1183" s="37"/>
    </row>
    <row r="1184" spans="2:2" s="34" customFormat="1" x14ac:dyDescent="0.2">
      <c r="B1184" s="37"/>
    </row>
    <row r="1185" spans="2:2" s="34" customFormat="1" x14ac:dyDescent="0.2">
      <c r="B1185" s="37"/>
    </row>
    <row r="1186" spans="2:2" s="34" customFormat="1" x14ac:dyDescent="0.2">
      <c r="B1186" s="37"/>
    </row>
    <row r="1187" spans="2:2" s="34" customFormat="1" x14ac:dyDescent="0.2">
      <c r="B1187" s="37"/>
    </row>
    <row r="1188" spans="2:2" s="34" customFormat="1" x14ac:dyDescent="0.2">
      <c r="B1188" s="37"/>
    </row>
    <row r="1189" spans="2:2" s="34" customFormat="1" x14ac:dyDescent="0.2">
      <c r="B1189" s="37"/>
    </row>
    <row r="1190" spans="2:2" s="34" customFormat="1" x14ac:dyDescent="0.2">
      <c r="B1190" s="37"/>
    </row>
    <row r="1191" spans="2:2" s="34" customFormat="1" x14ac:dyDescent="0.2">
      <c r="B1191" s="37"/>
    </row>
    <row r="1192" spans="2:2" s="34" customFormat="1" x14ac:dyDescent="0.2">
      <c r="B1192" s="37"/>
    </row>
    <row r="1193" spans="2:2" s="34" customFormat="1" x14ac:dyDescent="0.2">
      <c r="B1193" s="37"/>
    </row>
    <row r="1194" spans="2:2" s="34" customFormat="1" x14ac:dyDescent="0.2">
      <c r="B1194" s="37"/>
    </row>
    <row r="1195" spans="2:2" s="34" customFormat="1" x14ac:dyDescent="0.2">
      <c r="B1195" s="37"/>
    </row>
    <row r="1196" spans="2:2" s="34" customFormat="1" x14ac:dyDescent="0.2">
      <c r="B1196" s="37"/>
    </row>
    <row r="1197" spans="2:2" s="34" customFormat="1" x14ac:dyDescent="0.2">
      <c r="B1197" s="37"/>
    </row>
    <row r="1198" spans="2:2" s="34" customFormat="1" x14ac:dyDescent="0.2">
      <c r="B1198" s="37"/>
    </row>
    <row r="1199" spans="2:2" s="34" customFormat="1" x14ac:dyDescent="0.2">
      <c r="B1199" s="37"/>
    </row>
    <row r="1200" spans="2:2" s="34" customFormat="1" x14ac:dyDescent="0.2">
      <c r="B1200" s="37"/>
    </row>
    <row r="1201" spans="2:2" s="34" customFormat="1" x14ac:dyDescent="0.2">
      <c r="B1201" s="37"/>
    </row>
    <row r="1202" spans="2:2" s="34" customFormat="1" x14ac:dyDescent="0.2">
      <c r="B1202" s="37"/>
    </row>
    <row r="1203" spans="2:2" s="34" customFormat="1" x14ac:dyDescent="0.2">
      <c r="B1203" s="37"/>
    </row>
    <row r="1204" spans="2:2" s="34" customFormat="1" x14ac:dyDescent="0.2">
      <c r="B1204" s="37"/>
    </row>
    <row r="1205" spans="2:2" s="34" customFormat="1" x14ac:dyDescent="0.2">
      <c r="B1205" s="37"/>
    </row>
    <row r="1206" spans="2:2" s="34" customFormat="1" x14ac:dyDescent="0.2">
      <c r="B1206" s="37"/>
    </row>
    <row r="1207" spans="2:2" s="34" customFormat="1" x14ac:dyDescent="0.2">
      <c r="B1207" s="37"/>
    </row>
    <row r="1208" spans="2:2" s="34" customFormat="1" x14ac:dyDescent="0.2">
      <c r="B1208" s="37"/>
    </row>
    <row r="1209" spans="2:2" s="34" customFormat="1" x14ac:dyDescent="0.2">
      <c r="B1209" s="37"/>
    </row>
    <row r="1210" spans="2:2" s="34" customFormat="1" x14ac:dyDescent="0.2">
      <c r="B1210" s="37"/>
    </row>
    <row r="1211" spans="2:2" s="34" customFormat="1" x14ac:dyDescent="0.2">
      <c r="B1211" s="37"/>
    </row>
    <row r="1212" spans="2:2" s="34" customFormat="1" x14ac:dyDescent="0.2">
      <c r="B1212" s="37"/>
    </row>
    <row r="1213" spans="2:2" s="34" customFormat="1" x14ac:dyDescent="0.2">
      <c r="B1213" s="37"/>
    </row>
    <row r="1214" spans="2:2" s="34" customFormat="1" x14ac:dyDescent="0.2">
      <c r="B1214" s="37"/>
    </row>
    <row r="1215" spans="2:2" s="34" customFormat="1" x14ac:dyDescent="0.2">
      <c r="B1215" s="37"/>
    </row>
    <row r="1216" spans="2:2" s="34" customFormat="1" x14ac:dyDescent="0.2">
      <c r="B1216" s="37"/>
    </row>
    <row r="1217" spans="2:2" s="34" customFormat="1" x14ac:dyDescent="0.2">
      <c r="B1217" s="37"/>
    </row>
    <row r="1218" spans="2:2" s="34" customFormat="1" x14ac:dyDescent="0.2">
      <c r="B1218" s="37"/>
    </row>
    <row r="1219" spans="2:2" s="34" customFormat="1" x14ac:dyDescent="0.2">
      <c r="B1219" s="37"/>
    </row>
    <row r="1220" spans="2:2" s="34" customFormat="1" x14ac:dyDescent="0.2">
      <c r="B1220" s="37"/>
    </row>
    <row r="1221" spans="2:2" s="34" customFormat="1" x14ac:dyDescent="0.2">
      <c r="B1221" s="37"/>
    </row>
    <row r="1222" spans="2:2" s="34" customFormat="1" x14ac:dyDescent="0.2">
      <c r="B1222" s="37"/>
    </row>
    <row r="1223" spans="2:2" s="34" customFormat="1" x14ac:dyDescent="0.2">
      <c r="B1223" s="37"/>
    </row>
    <row r="1224" spans="2:2" s="34" customFormat="1" x14ac:dyDescent="0.2">
      <c r="B1224" s="37"/>
    </row>
    <row r="1225" spans="2:2" s="34" customFormat="1" x14ac:dyDescent="0.2">
      <c r="B1225" s="37"/>
    </row>
    <row r="1226" spans="2:2" s="34" customFormat="1" x14ac:dyDescent="0.2">
      <c r="B1226" s="37"/>
    </row>
    <row r="1227" spans="2:2" s="34" customFormat="1" x14ac:dyDescent="0.2">
      <c r="B1227" s="37"/>
    </row>
    <row r="1228" spans="2:2" s="34" customFormat="1" x14ac:dyDescent="0.2">
      <c r="B1228" s="37"/>
    </row>
    <row r="1229" spans="2:2" s="34" customFormat="1" x14ac:dyDescent="0.2">
      <c r="B1229" s="37"/>
    </row>
    <row r="1230" spans="2:2" s="34" customFormat="1" x14ac:dyDescent="0.2">
      <c r="B1230" s="37"/>
    </row>
    <row r="1231" spans="2:2" s="34" customFormat="1" x14ac:dyDescent="0.2">
      <c r="B1231" s="37"/>
    </row>
    <row r="1232" spans="2:2" s="34" customFormat="1" x14ac:dyDescent="0.2">
      <c r="B1232" s="37"/>
    </row>
    <row r="1233" spans="2:2" s="34" customFormat="1" x14ac:dyDescent="0.2">
      <c r="B1233" s="37"/>
    </row>
    <row r="1234" spans="2:2" s="34" customFormat="1" x14ac:dyDescent="0.2">
      <c r="B1234" s="37"/>
    </row>
    <row r="1235" spans="2:2" s="34" customFormat="1" x14ac:dyDescent="0.2">
      <c r="B1235" s="37"/>
    </row>
    <row r="1236" spans="2:2" s="34" customFormat="1" x14ac:dyDescent="0.2">
      <c r="B1236" s="37"/>
    </row>
    <row r="1237" spans="2:2" s="34" customFormat="1" x14ac:dyDescent="0.2">
      <c r="B1237" s="37"/>
    </row>
    <row r="1238" spans="2:2" s="34" customFormat="1" x14ac:dyDescent="0.2">
      <c r="B1238" s="37"/>
    </row>
    <row r="1239" spans="2:2" s="34" customFormat="1" x14ac:dyDescent="0.2">
      <c r="B1239" s="37"/>
    </row>
    <row r="1240" spans="2:2" s="34" customFormat="1" x14ac:dyDescent="0.2">
      <c r="B1240" s="37"/>
    </row>
    <row r="1241" spans="2:2" s="34" customFormat="1" x14ac:dyDescent="0.2">
      <c r="B1241" s="37"/>
    </row>
    <row r="1242" spans="2:2" s="34" customFormat="1" x14ac:dyDescent="0.2">
      <c r="B1242" s="37"/>
    </row>
    <row r="1243" spans="2:2" s="34" customFormat="1" x14ac:dyDescent="0.2">
      <c r="B1243" s="37"/>
    </row>
    <row r="1244" spans="2:2" s="34" customFormat="1" x14ac:dyDescent="0.2">
      <c r="B1244" s="37"/>
    </row>
    <row r="1245" spans="2:2" s="34" customFormat="1" x14ac:dyDescent="0.2">
      <c r="B1245" s="37"/>
    </row>
    <row r="1246" spans="2:2" s="34" customFormat="1" x14ac:dyDescent="0.2">
      <c r="B1246" s="37"/>
    </row>
    <row r="1247" spans="2:2" s="34" customFormat="1" x14ac:dyDescent="0.2">
      <c r="B1247" s="37"/>
    </row>
    <row r="1248" spans="2:2" s="34" customFormat="1" x14ac:dyDescent="0.2">
      <c r="B1248" s="37"/>
    </row>
    <row r="1249" spans="2:2" s="34" customFormat="1" x14ac:dyDescent="0.2">
      <c r="B1249" s="37"/>
    </row>
    <row r="1250" spans="2:2" s="34" customFormat="1" x14ac:dyDescent="0.2">
      <c r="B1250" s="37"/>
    </row>
    <row r="1251" spans="2:2" s="34" customFormat="1" x14ac:dyDescent="0.2">
      <c r="B1251" s="37"/>
    </row>
    <row r="1252" spans="2:2" s="34" customFormat="1" x14ac:dyDescent="0.2">
      <c r="B1252" s="37"/>
    </row>
    <row r="1253" spans="2:2" s="34" customFormat="1" x14ac:dyDescent="0.2">
      <c r="B1253" s="37"/>
    </row>
    <row r="1254" spans="2:2" s="34" customFormat="1" x14ac:dyDescent="0.2">
      <c r="B1254" s="37"/>
    </row>
    <row r="1255" spans="2:2" s="34" customFormat="1" x14ac:dyDescent="0.2">
      <c r="B1255" s="37"/>
    </row>
    <row r="1256" spans="2:2" s="34" customFormat="1" x14ac:dyDescent="0.2">
      <c r="B1256" s="37"/>
    </row>
    <row r="1257" spans="2:2" s="34" customFormat="1" x14ac:dyDescent="0.2">
      <c r="B1257" s="37"/>
    </row>
    <row r="1258" spans="2:2" s="34" customFormat="1" x14ac:dyDescent="0.2">
      <c r="B1258" s="37"/>
    </row>
    <row r="1259" spans="2:2" s="34" customFormat="1" x14ac:dyDescent="0.2">
      <c r="B1259" s="37"/>
    </row>
    <row r="1260" spans="2:2" s="34" customFormat="1" x14ac:dyDescent="0.2">
      <c r="B1260" s="37"/>
    </row>
    <row r="1261" spans="2:2" s="34" customFormat="1" x14ac:dyDescent="0.2">
      <c r="B1261" s="37"/>
    </row>
    <row r="1262" spans="2:2" s="34" customFormat="1" x14ac:dyDescent="0.2">
      <c r="B1262" s="37"/>
    </row>
    <row r="1263" spans="2:2" s="34" customFormat="1" x14ac:dyDescent="0.2">
      <c r="B1263" s="37"/>
    </row>
    <row r="1264" spans="2:2" s="34" customFormat="1" x14ac:dyDescent="0.2">
      <c r="B1264" s="37"/>
    </row>
    <row r="1265" spans="2:2" s="34" customFormat="1" x14ac:dyDescent="0.2">
      <c r="B1265" s="37"/>
    </row>
    <row r="1266" spans="2:2" s="34" customFormat="1" x14ac:dyDescent="0.2">
      <c r="B1266" s="37"/>
    </row>
    <row r="1267" spans="2:2" s="34" customFormat="1" x14ac:dyDescent="0.2">
      <c r="B1267" s="37"/>
    </row>
    <row r="1268" spans="2:2" s="34" customFormat="1" x14ac:dyDescent="0.2">
      <c r="B1268" s="37"/>
    </row>
    <row r="1269" spans="2:2" s="34" customFormat="1" x14ac:dyDescent="0.2">
      <c r="B1269" s="37"/>
    </row>
    <row r="1270" spans="2:2" s="34" customFormat="1" x14ac:dyDescent="0.2">
      <c r="B1270" s="37"/>
    </row>
    <row r="1271" spans="2:2" s="34" customFormat="1" x14ac:dyDescent="0.2">
      <c r="B1271" s="37"/>
    </row>
    <row r="1272" spans="2:2" s="34" customFormat="1" x14ac:dyDescent="0.2">
      <c r="B1272" s="37"/>
    </row>
    <row r="1273" spans="2:2" s="34" customFormat="1" x14ac:dyDescent="0.2">
      <c r="B1273" s="37"/>
    </row>
    <row r="1274" spans="2:2" s="34" customFormat="1" x14ac:dyDescent="0.2">
      <c r="B1274" s="37"/>
    </row>
    <row r="1275" spans="2:2" s="34" customFormat="1" x14ac:dyDescent="0.2">
      <c r="B1275" s="37"/>
    </row>
    <row r="1276" spans="2:2" s="34" customFormat="1" x14ac:dyDescent="0.2">
      <c r="B1276" s="37"/>
    </row>
    <row r="1277" spans="2:2" s="34" customFormat="1" x14ac:dyDescent="0.2">
      <c r="B1277" s="37"/>
    </row>
    <row r="1278" spans="2:2" s="34" customFormat="1" x14ac:dyDescent="0.2">
      <c r="B1278" s="37"/>
    </row>
    <row r="1279" spans="2:2" s="34" customFormat="1" x14ac:dyDescent="0.2">
      <c r="B1279" s="37"/>
    </row>
    <row r="1280" spans="2:2" s="34" customFormat="1" x14ac:dyDescent="0.2">
      <c r="B1280" s="37"/>
    </row>
    <row r="1281" spans="2:2" s="34" customFormat="1" x14ac:dyDescent="0.2">
      <c r="B1281" s="37"/>
    </row>
    <row r="1282" spans="2:2" s="34" customFormat="1" x14ac:dyDescent="0.2">
      <c r="B1282" s="37"/>
    </row>
    <row r="1283" spans="2:2" s="34" customFormat="1" x14ac:dyDescent="0.2">
      <c r="B1283" s="37"/>
    </row>
    <row r="1284" spans="2:2" s="34" customFormat="1" x14ac:dyDescent="0.2">
      <c r="B1284" s="37"/>
    </row>
    <row r="1285" spans="2:2" s="34" customFormat="1" x14ac:dyDescent="0.2">
      <c r="B1285" s="37"/>
    </row>
    <row r="1286" spans="2:2" s="34" customFormat="1" x14ac:dyDescent="0.2">
      <c r="B1286" s="37"/>
    </row>
    <row r="1287" spans="2:2" s="34" customFormat="1" x14ac:dyDescent="0.2">
      <c r="B1287" s="37"/>
    </row>
    <row r="1288" spans="2:2" s="34" customFormat="1" x14ac:dyDescent="0.2">
      <c r="B1288" s="37"/>
    </row>
    <row r="1289" spans="2:2" s="34" customFormat="1" x14ac:dyDescent="0.2">
      <c r="B1289" s="37"/>
    </row>
    <row r="1290" spans="2:2" s="34" customFormat="1" x14ac:dyDescent="0.2">
      <c r="B1290" s="37"/>
    </row>
    <row r="1291" spans="2:2" s="34" customFormat="1" x14ac:dyDescent="0.2">
      <c r="B1291" s="37"/>
    </row>
    <row r="1292" spans="2:2" s="34" customFormat="1" x14ac:dyDescent="0.2">
      <c r="B1292" s="37"/>
    </row>
    <row r="1293" spans="2:2" s="34" customFormat="1" x14ac:dyDescent="0.2">
      <c r="B1293" s="37"/>
    </row>
    <row r="1294" spans="2:2" s="34" customFormat="1" x14ac:dyDescent="0.2">
      <c r="B1294" s="37"/>
    </row>
    <row r="1295" spans="2:2" s="34" customFormat="1" x14ac:dyDescent="0.2">
      <c r="B1295" s="37"/>
    </row>
    <row r="1296" spans="2:2" s="34" customFormat="1" x14ac:dyDescent="0.2">
      <c r="B1296" s="37"/>
    </row>
    <row r="1297" spans="2:2" s="34" customFormat="1" x14ac:dyDescent="0.2">
      <c r="B1297" s="37"/>
    </row>
    <row r="1298" spans="2:2" s="34" customFormat="1" x14ac:dyDescent="0.2">
      <c r="B1298" s="37"/>
    </row>
    <row r="1299" spans="2:2" s="34" customFormat="1" x14ac:dyDescent="0.2">
      <c r="B1299" s="37"/>
    </row>
    <row r="1300" spans="2:2" s="34" customFormat="1" x14ac:dyDescent="0.2">
      <c r="B1300" s="37"/>
    </row>
    <row r="1301" spans="2:2" s="34" customFormat="1" x14ac:dyDescent="0.2">
      <c r="B1301" s="37"/>
    </row>
    <row r="1302" spans="2:2" s="34" customFormat="1" x14ac:dyDescent="0.2">
      <c r="B1302" s="37"/>
    </row>
    <row r="1303" spans="2:2" s="34" customFormat="1" x14ac:dyDescent="0.2">
      <c r="B1303" s="37"/>
    </row>
    <row r="1304" spans="2:2" s="34" customFormat="1" x14ac:dyDescent="0.2">
      <c r="B1304" s="37"/>
    </row>
    <row r="1305" spans="2:2" s="34" customFormat="1" x14ac:dyDescent="0.2">
      <c r="B1305" s="37"/>
    </row>
    <row r="1306" spans="2:2" s="34" customFormat="1" x14ac:dyDescent="0.2">
      <c r="B1306" s="37"/>
    </row>
    <row r="1307" spans="2:2" s="34" customFormat="1" x14ac:dyDescent="0.2">
      <c r="B1307" s="37"/>
    </row>
    <row r="1308" spans="2:2" s="34" customFormat="1" x14ac:dyDescent="0.2">
      <c r="B1308" s="37"/>
    </row>
    <row r="1309" spans="2:2" s="34" customFormat="1" x14ac:dyDescent="0.2">
      <c r="B1309" s="37"/>
    </row>
    <row r="1310" spans="2:2" s="34" customFormat="1" x14ac:dyDescent="0.2">
      <c r="B1310" s="37"/>
    </row>
    <row r="1311" spans="2:2" s="34" customFormat="1" x14ac:dyDescent="0.2">
      <c r="B1311" s="37"/>
    </row>
    <row r="1312" spans="2:2" s="34" customFormat="1" x14ac:dyDescent="0.2">
      <c r="B1312" s="37"/>
    </row>
    <row r="1313" spans="2:2" s="34" customFormat="1" x14ac:dyDescent="0.2">
      <c r="B1313" s="37"/>
    </row>
    <row r="1314" spans="2:2" s="34" customFormat="1" x14ac:dyDescent="0.2">
      <c r="B1314" s="37"/>
    </row>
    <row r="1315" spans="2:2" s="34" customFormat="1" x14ac:dyDescent="0.2">
      <c r="B1315" s="37"/>
    </row>
    <row r="1316" spans="2:2" s="34" customFormat="1" x14ac:dyDescent="0.2">
      <c r="B1316" s="37"/>
    </row>
    <row r="1317" spans="2:2" s="34" customFormat="1" x14ac:dyDescent="0.2">
      <c r="B1317" s="37"/>
    </row>
    <row r="1318" spans="2:2" s="34" customFormat="1" x14ac:dyDescent="0.2">
      <c r="B1318" s="37"/>
    </row>
    <row r="1319" spans="2:2" s="34" customFormat="1" x14ac:dyDescent="0.2">
      <c r="B1319" s="37"/>
    </row>
    <row r="1320" spans="2:2" s="34" customFormat="1" x14ac:dyDescent="0.2">
      <c r="B1320" s="37"/>
    </row>
    <row r="1321" spans="2:2" s="34" customFormat="1" x14ac:dyDescent="0.2">
      <c r="B1321" s="37"/>
    </row>
    <row r="1322" spans="2:2" s="34" customFormat="1" x14ac:dyDescent="0.2">
      <c r="B1322" s="37"/>
    </row>
    <row r="1323" spans="2:2" s="34" customFormat="1" x14ac:dyDescent="0.2">
      <c r="B1323" s="37"/>
    </row>
    <row r="1324" spans="2:2" s="34" customFormat="1" x14ac:dyDescent="0.2">
      <c r="B1324" s="37"/>
    </row>
    <row r="1325" spans="2:2" s="34" customFormat="1" x14ac:dyDescent="0.2">
      <c r="B1325" s="37"/>
    </row>
    <row r="1326" spans="2:2" s="34" customFormat="1" x14ac:dyDescent="0.2">
      <c r="B1326" s="37"/>
    </row>
    <row r="1327" spans="2:2" s="34" customFormat="1" x14ac:dyDescent="0.2">
      <c r="B1327" s="37"/>
    </row>
    <row r="1328" spans="2:2" s="34" customFormat="1" x14ac:dyDescent="0.2">
      <c r="B1328" s="37"/>
    </row>
    <row r="1329" spans="2:2" s="34" customFormat="1" x14ac:dyDescent="0.2">
      <c r="B1329" s="37"/>
    </row>
    <row r="1330" spans="2:2" s="34" customFormat="1" x14ac:dyDescent="0.2">
      <c r="B1330" s="37"/>
    </row>
    <row r="1331" spans="2:2" s="34" customFormat="1" x14ac:dyDescent="0.2">
      <c r="B1331" s="37"/>
    </row>
    <row r="1332" spans="2:2" s="34" customFormat="1" x14ac:dyDescent="0.2">
      <c r="B1332" s="37"/>
    </row>
    <row r="1333" spans="2:2" s="34" customFormat="1" x14ac:dyDescent="0.2">
      <c r="B1333" s="37"/>
    </row>
    <row r="1334" spans="2:2" s="34" customFormat="1" x14ac:dyDescent="0.2">
      <c r="B1334" s="37"/>
    </row>
    <row r="1335" spans="2:2" s="34" customFormat="1" x14ac:dyDescent="0.2">
      <c r="B1335" s="37"/>
    </row>
    <row r="1336" spans="2:2" s="34" customFormat="1" x14ac:dyDescent="0.2">
      <c r="B1336" s="37"/>
    </row>
    <row r="1337" spans="2:2" s="34" customFormat="1" x14ac:dyDescent="0.2">
      <c r="B1337" s="37"/>
    </row>
    <row r="1338" spans="2:2" s="34" customFormat="1" x14ac:dyDescent="0.2">
      <c r="B1338" s="37"/>
    </row>
    <row r="1339" spans="2:2" s="34" customFormat="1" x14ac:dyDescent="0.2">
      <c r="B1339" s="37"/>
    </row>
    <row r="1340" spans="2:2" s="34" customFormat="1" x14ac:dyDescent="0.2">
      <c r="B1340" s="37"/>
    </row>
    <row r="1341" spans="2:2" s="34" customFormat="1" x14ac:dyDescent="0.2">
      <c r="B1341" s="37"/>
    </row>
    <row r="1342" spans="2:2" s="34" customFormat="1" x14ac:dyDescent="0.2">
      <c r="B1342" s="37"/>
    </row>
    <row r="1343" spans="2:2" s="34" customFormat="1" x14ac:dyDescent="0.2">
      <c r="B1343" s="37"/>
    </row>
    <row r="1344" spans="2:2" s="34" customFormat="1" x14ac:dyDescent="0.2">
      <c r="B1344" s="37"/>
    </row>
    <row r="1345" spans="2:2" s="34" customFormat="1" x14ac:dyDescent="0.2">
      <c r="B1345" s="37"/>
    </row>
    <row r="1346" spans="2:2" s="34" customFormat="1" x14ac:dyDescent="0.2">
      <c r="B1346" s="37"/>
    </row>
    <row r="1347" spans="2:2" s="34" customFormat="1" x14ac:dyDescent="0.2">
      <c r="B1347" s="37"/>
    </row>
    <row r="1348" spans="2:2" s="34" customFormat="1" x14ac:dyDescent="0.2">
      <c r="B1348" s="37"/>
    </row>
    <row r="1349" spans="2:2" s="34" customFormat="1" x14ac:dyDescent="0.2">
      <c r="B1349" s="37"/>
    </row>
    <row r="1350" spans="2:2" s="34" customFormat="1" x14ac:dyDescent="0.2">
      <c r="B1350" s="37"/>
    </row>
    <row r="1351" spans="2:2" s="34" customFormat="1" x14ac:dyDescent="0.2">
      <c r="B1351" s="37"/>
    </row>
    <row r="1352" spans="2:2" s="34" customFormat="1" x14ac:dyDescent="0.2">
      <c r="B1352" s="37"/>
    </row>
    <row r="1353" spans="2:2" s="34" customFormat="1" x14ac:dyDescent="0.2">
      <c r="B1353" s="37"/>
    </row>
    <row r="1354" spans="2:2" s="34" customFormat="1" x14ac:dyDescent="0.2">
      <c r="B1354" s="37"/>
    </row>
    <row r="1355" spans="2:2" s="34" customFormat="1" x14ac:dyDescent="0.2">
      <c r="B1355" s="37"/>
    </row>
    <row r="1356" spans="2:2" s="34" customFormat="1" x14ac:dyDescent="0.2">
      <c r="B1356" s="37"/>
    </row>
    <row r="1357" spans="2:2" s="34" customFormat="1" x14ac:dyDescent="0.2">
      <c r="B1357" s="37"/>
    </row>
    <row r="1358" spans="2:2" s="34" customFormat="1" x14ac:dyDescent="0.2">
      <c r="B1358" s="37"/>
    </row>
    <row r="1359" spans="2:2" s="34" customFormat="1" x14ac:dyDescent="0.2">
      <c r="B1359" s="37"/>
    </row>
    <row r="1360" spans="2:2" s="34" customFormat="1" x14ac:dyDescent="0.2">
      <c r="B1360" s="37"/>
    </row>
    <row r="1361" spans="2:2" s="34" customFormat="1" x14ac:dyDescent="0.2">
      <c r="B1361" s="37"/>
    </row>
    <row r="1362" spans="2:2" s="34" customFormat="1" x14ac:dyDescent="0.2">
      <c r="B1362" s="37"/>
    </row>
    <row r="1363" spans="2:2" s="34" customFormat="1" x14ac:dyDescent="0.2">
      <c r="B1363" s="37"/>
    </row>
    <row r="1364" spans="2:2" s="34" customFormat="1" x14ac:dyDescent="0.2">
      <c r="B1364" s="37"/>
    </row>
    <row r="1365" spans="2:2" s="34" customFormat="1" x14ac:dyDescent="0.2">
      <c r="B1365" s="37"/>
    </row>
    <row r="1366" spans="2:2" s="34" customFormat="1" x14ac:dyDescent="0.2">
      <c r="B1366" s="37"/>
    </row>
    <row r="1367" spans="2:2" s="34" customFormat="1" x14ac:dyDescent="0.2">
      <c r="B1367" s="37"/>
    </row>
    <row r="1368" spans="2:2" s="34" customFormat="1" x14ac:dyDescent="0.2">
      <c r="B1368" s="37"/>
    </row>
    <row r="1369" spans="2:2" s="34" customFormat="1" x14ac:dyDescent="0.2">
      <c r="B1369" s="37"/>
    </row>
    <row r="1370" spans="2:2" s="34" customFormat="1" x14ac:dyDescent="0.2">
      <c r="B1370" s="37"/>
    </row>
    <row r="1371" spans="2:2" s="34" customFormat="1" x14ac:dyDescent="0.2">
      <c r="B1371" s="37"/>
    </row>
    <row r="1372" spans="2:2" s="34" customFormat="1" x14ac:dyDescent="0.2">
      <c r="B1372" s="37"/>
    </row>
    <row r="1373" spans="2:2" s="34" customFormat="1" x14ac:dyDescent="0.2">
      <c r="B1373" s="37"/>
    </row>
    <row r="1374" spans="2:2" s="34" customFormat="1" x14ac:dyDescent="0.2">
      <c r="B1374" s="37"/>
    </row>
    <row r="1375" spans="2:2" s="34" customFormat="1" x14ac:dyDescent="0.2">
      <c r="B1375" s="37"/>
    </row>
    <row r="1376" spans="2:2" s="34" customFormat="1" x14ac:dyDescent="0.2">
      <c r="B1376" s="37"/>
    </row>
    <row r="1377" spans="2:2" s="34" customFormat="1" x14ac:dyDescent="0.2">
      <c r="B1377" s="37"/>
    </row>
    <row r="1378" spans="2:2" s="34" customFormat="1" x14ac:dyDescent="0.2">
      <c r="B1378" s="37"/>
    </row>
    <row r="1379" spans="2:2" s="34" customFormat="1" x14ac:dyDescent="0.2">
      <c r="B1379" s="37"/>
    </row>
    <row r="1380" spans="2:2" s="34" customFormat="1" x14ac:dyDescent="0.2">
      <c r="B1380" s="37"/>
    </row>
    <row r="1381" spans="2:2" s="34" customFormat="1" x14ac:dyDescent="0.2">
      <c r="B1381" s="37"/>
    </row>
    <row r="1382" spans="2:2" s="34" customFormat="1" x14ac:dyDescent="0.2">
      <c r="B1382" s="37"/>
    </row>
    <row r="1383" spans="2:2" s="34" customFormat="1" x14ac:dyDescent="0.2">
      <c r="B1383" s="37"/>
    </row>
    <row r="1384" spans="2:2" s="34" customFormat="1" x14ac:dyDescent="0.2">
      <c r="B1384" s="37"/>
    </row>
    <row r="1385" spans="2:2" s="34" customFormat="1" x14ac:dyDescent="0.2">
      <c r="B1385" s="37"/>
    </row>
    <row r="1386" spans="2:2" s="34" customFormat="1" x14ac:dyDescent="0.2">
      <c r="B1386" s="37"/>
    </row>
    <row r="1387" spans="2:2" s="34" customFormat="1" x14ac:dyDescent="0.2">
      <c r="B1387" s="37"/>
    </row>
    <row r="1388" spans="2:2" s="34" customFormat="1" x14ac:dyDescent="0.2">
      <c r="B1388" s="37"/>
    </row>
    <row r="1389" spans="2:2" s="34" customFormat="1" x14ac:dyDescent="0.2">
      <c r="B1389" s="37"/>
    </row>
    <row r="1390" spans="2:2" s="34" customFormat="1" x14ac:dyDescent="0.2">
      <c r="B1390" s="37"/>
    </row>
    <row r="1391" spans="2:2" s="34" customFormat="1" x14ac:dyDescent="0.2">
      <c r="B1391" s="37"/>
    </row>
    <row r="1392" spans="2:2" s="34" customFormat="1" x14ac:dyDescent="0.2">
      <c r="B1392" s="37"/>
    </row>
    <row r="1393" spans="2:2" s="34" customFormat="1" x14ac:dyDescent="0.2">
      <c r="B1393" s="37"/>
    </row>
    <row r="1394" spans="2:2" s="34" customFormat="1" x14ac:dyDescent="0.2">
      <c r="B1394" s="37"/>
    </row>
    <row r="1395" spans="2:2" s="34" customFormat="1" x14ac:dyDescent="0.2">
      <c r="B1395" s="37"/>
    </row>
    <row r="1396" spans="2:2" s="34" customFormat="1" x14ac:dyDescent="0.2">
      <c r="B1396" s="37"/>
    </row>
    <row r="1397" spans="2:2" s="34" customFormat="1" x14ac:dyDescent="0.2">
      <c r="B1397" s="37"/>
    </row>
    <row r="1398" spans="2:2" s="34" customFormat="1" x14ac:dyDescent="0.2">
      <c r="B1398" s="37"/>
    </row>
    <row r="1399" spans="2:2" s="34" customFormat="1" x14ac:dyDescent="0.2">
      <c r="B1399" s="37"/>
    </row>
    <row r="1400" spans="2:2" s="34" customFormat="1" x14ac:dyDescent="0.2">
      <c r="B1400" s="37"/>
    </row>
    <row r="1401" spans="2:2" s="34" customFormat="1" x14ac:dyDescent="0.2">
      <c r="B1401" s="37"/>
    </row>
    <row r="1402" spans="2:2" s="34" customFormat="1" x14ac:dyDescent="0.2">
      <c r="B1402" s="37"/>
    </row>
    <row r="1403" spans="2:2" s="34" customFormat="1" x14ac:dyDescent="0.2">
      <c r="B1403" s="37"/>
    </row>
    <row r="1404" spans="2:2" s="34" customFormat="1" x14ac:dyDescent="0.2">
      <c r="B1404" s="37"/>
    </row>
    <row r="1405" spans="2:2" s="34" customFormat="1" x14ac:dyDescent="0.2">
      <c r="B1405" s="37"/>
    </row>
    <row r="1406" spans="2:2" s="34" customFormat="1" x14ac:dyDescent="0.2">
      <c r="B1406" s="37"/>
    </row>
    <row r="1407" spans="2:2" s="34" customFormat="1" x14ac:dyDescent="0.2">
      <c r="B1407" s="37"/>
    </row>
    <row r="1408" spans="2:2" s="34" customFormat="1" x14ac:dyDescent="0.2">
      <c r="B1408" s="37"/>
    </row>
    <row r="1409" spans="2:2" s="34" customFormat="1" x14ac:dyDescent="0.2">
      <c r="B1409" s="37"/>
    </row>
    <row r="1410" spans="2:2" s="34" customFormat="1" x14ac:dyDescent="0.2">
      <c r="B1410" s="37"/>
    </row>
    <row r="1411" spans="2:2" s="34" customFormat="1" x14ac:dyDescent="0.2">
      <c r="B1411" s="37"/>
    </row>
    <row r="1412" spans="2:2" s="34" customFormat="1" x14ac:dyDescent="0.2">
      <c r="B1412" s="37"/>
    </row>
    <row r="1413" spans="2:2" s="34" customFormat="1" x14ac:dyDescent="0.2">
      <c r="B1413" s="37"/>
    </row>
    <row r="1414" spans="2:2" s="34" customFormat="1" x14ac:dyDescent="0.2">
      <c r="B1414" s="37"/>
    </row>
    <row r="1415" spans="2:2" s="34" customFormat="1" x14ac:dyDescent="0.2">
      <c r="B1415" s="37"/>
    </row>
    <row r="1416" spans="2:2" s="34" customFormat="1" x14ac:dyDescent="0.2">
      <c r="B1416" s="37"/>
    </row>
    <row r="1417" spans="2:2" s="34" customFormat="1" x14ac:dyDescent="0.2">
      <c r="B1417" s="37"/>
    </row>
    <row r="1418" spans="2:2" s="34" customFormat="1" x14ac:dyDescent="0.2">
      <c r="B1418" s="37"/>
    </row>
    <row r="1419" spans="2:2" s="34" customFormat="1" x14ac:dyDescent="0.2">
      <c r="B1419" s="37"/>
    </row>
    <row r="1420" spans="2:2" s="34" customFormat="1" x14ac:dyDescent="0.2">
      <c r="B1420" s="37"/>
    </row>
    <row r="1421" spans="2:2" s="34" customFormat="1" x14ac:dyDescent="0.2">
      <c r="B1421" s="37"/>
    </row>
    <row r="1422" spans="2:2" s="34" customFormat="1" x14ac:dyDescent="0.2">
      <c r="B1422" s="37"/>
    </row>
    <row r="1423" spans="2:2" s="34" customFormat="1" x14ac:dyDescent="0.2">
      <c r="B1423" s="37"/>
    </row>
    <row r="1424" spans="2:2" s="34" customFormat="1" x14ac:dyDescent="0.2">
      <c r="B1424" s="37"/>
    </row>
    <row r="1425" spans="2:2" s="34" customFormat="1" x14ac:dyDescent="0.2">
      <c r="B1425" s="37"/>
    </row>
    <row r="1426" spans="2:2" s="34" customFormat="1" x14ac:dyDescent="0.2">
      <c r="B1426" s="37"/>
    </row>
    <row r="1427" spans="2:2" s="34" customFormat="1" x14ac:dyDescent="0.2">
      <c r="B1427" s="37"/>
    </row>
    <row r="1428" spans="2:2" s="34" customFormat="1" x14ac:dyDescent="0.2">
      <c r="B1428" s="37"/>
    </row>
    <row r="1429" spans="2:2" s="34" customFormat="1" x14ac:dyDescent="0.2">
      <c r="B1429" s="37"/>
    </row>
    <row r="1430" spans="2:2" s="34" customFormat="1" x14ac:dyDescent="0.2">
      <c r="B1430" s="37"/>
    </row>
    <row r="1431" spans="2:2" s="34" customFormat="1" x14ac:dyDescent="0.2">
      <c r="B1431" s="37"/>
    </row>
    <row r="1432" spans="2:2" s="34" customFormat="1" x14ac:dyDescent="0.2">
      <c r="B1432" s="37"/>
    </row>
    <row r="1433" spans="2:2" s="34" customFormat="1" x14ac:dyDescent="0.2">
      <c r="B1433" s="37"/>
    </row>
    <row r="1434" spans="2:2" s="34" customFormat="1" x14ac:dyDescent="0.2">
      <c r="B1434" s="37"/>
    </row>
    <row r="1435" spans="2:2" s="34" customFormat="1" x14ac:dyDescent="0.2">
      <c r="B1435" s="37"/>
    </row>
    <row r="1436" spans="2:2" s="34" customFormat="1" x14ac:dyDescent="0.2">
      <c r="B1436" s="37"/>
    </row>
    <row r="1437" spans="2:2" s="34" customFormat="1" x14ac:dyDescent="0.2">
      <c r="B1437" s="37"/>
    </row>
    <row r="1438" spans="2:2" s="34" customFormat="1" x14ac:dyDescent="0.2">
      <c r="B1438" s="37"/>
    </row>
    <row r="1439" spans="2:2" s="34" customFormat="1" x14ac:dyDescent="0.2">
      <c r="B1439" s="37"/>
    </row>
    <row r="1440" spans="2:2" s="34" customFormat="1" x14ac:dyDescent="0.2">
      <c r="B1440" s="37"/>
    </row>
    <row r="1441" spans="2:2" s="34" customFormat="1" x14ac:dyDescent="0.2">
      <c r="B1441" s="37"/>
    </row>
    <row r="1442" spans="2:2" s="34" customFormat="1" x14ac:dyDescent="0.2">
      <c r="B1442" s="37"/>
    </row>
    <row r="1443" spans="2:2" s="34" customFormat="1" x14ac:dyDescent="0.2">
      <c r="B1443" s="37"/>
    </row>
    <row r="1444" spans="2:2" s="34" customFormat="1" x14ac:dyDescent="0.2">
      <c r="B1444" s="37"/>
    </row>
    <row r="1445" spans="2:2" s="34" customFormat="1" x14ac:dyDescent="0.2">
      <c r="B1445" s="37"/>
    </row>
    <row r="1446" spans="2:2" s="34" customFormat="1" x14ac:dyDescent="0.2">
      <c r="B1446" s="37"/>
    </row>
    <row r="1447" spans="2:2" s="34" customFormat="1" x14ac:dyDescent="0.2">
      <c r="B1447" s="37"/>
    </row>
    <row r="1448" spans="2:2" s="34" customFormat="1" x14ac:dyDescent="0.2">
      <c r="B1448" s="37"/>
    </row>
    <row r="1449" spans="2:2" s="34" customFormat="1" x14ac:dyDescent="0.2">
      <c r="B1449" s="37"/>
    </row>
    <row r="1450" spans="2:2" s="34" customFormat="1" x14ac:dyDescent="0.2">
      <c r="B1450" s="37"/>
    </row>
    <row r="1451" spans="2:2" s="34" customFormat="1" x14ac:dyDescent="0.2">
      <c r="B1451" s="37"/>
    </row>
    <row r="1452" spans="2:2" s="34" customFormat="1" x14ac:dyDescent="0.2">
      <c r="B1452" s="37"/>
    </row>
    <row r="1453" spans="2:2" s="34" customFormat="1" x14ac:dyDescent="0.2">
      <c r="B1453" s="37"/>
    </row>
    <row r="1454" spans="2:2" s="34" customFormat="1" x14ac:dyDescent="0.2">
      <c r="B1454" s="37"/>
    </row>
    <row r="1455" spans="2:2" s="34" customFormat="1" x14ac:dyDescent="0.2">
      <c r="B1455" s="37"/>
    </row>
    <row r="1456" spans="2:2" s="34" customFormat="1" x14ac:dyDescent="0.2">
      <c r="B1456" s="37"/>
    </row>
    <row r="1457" spans="2:2" s="34" customFormat="1" x14ac:dyDescent="0.2">
      <c r="B1457" s="37"/>
    </row>
    <row r="1458" spans="2:2" s="34" customFormat="1" x14ac:dyDescent="0.2">
      <c r="B1458" s="37"/>
    </row>
    <row r="1459" spans="2:2" s="34" customFormat="1" x14ac:dyDescent="0.2">
      <c r="B1459" s="37"/>
    </row>
    <row r="1460" spans="2:2" s="34" customFormat="1" x14ac:dyDescent="0.2">
      <c r="B1460" s="37"/>
    </row>
    <row r="1461" spans="2:2" s="34" customFormat="1" x14ac:dyDescent="0.2">
      <c r="B1461" s="37"/>
    </row>
    <row r="1462" spans="2:2" s="34" customFormat="1" x14ac:dyDescent="0.2">
      <c r="B1462" s="37"/>
    </row>
    <row r="1463" spans="2:2" s="34" customFormat="1" x14ac:dyDescent="0.2">
      <c r="B1463" s="37"/>
    </row>
    <row r="1464" spans="2:2" s="34" customFormat="1" x14ac:dyDescent="0.2">
      <c r="B1464" s="37"/>
    </row>
    <row r="1465" spans="2:2" s="34" customFormat="1" x14ac:dyDescent="0.2">
      <c r="B1465" s="37"/>
    </row>
    <row r="1466" spans="2:2" s="34" customFormat="1" x14ac:dyDescent="0.2">
      <c r="B1466" s="37"/>
    </row>
    <row r="1467" spans="2:2" s="34" customFormat="1" x14ac:dyDescent="0.2">
      <c r="B1467" s="37"/>
    </row>
    <row r="1468" spans="2:2" s="34" customFormat="1" x14ac:dyDescent="0.2">
      <c r="B1468" s="37"/>
    </row>
    <row r="1469" spans="2:2" s="34" customFormat="1" x14ac:dyDescent="0.2">
      <c r="B1469" s="37"/>
    </row>
    <row r="1470" spans="2:2" s="34" customFormat="1" x14ac:dyDescent="0.2">
      <c r="B1470" s="37"/>
    </row>
    <row r="1471" spans="2:2" s="34" customFormat="1" x14ac:dyDescent="0.2">
      <c r="B1471" s="37"/>
    </row>
    <row r="1472" spans="2:2" s="34" customFormat="1" x14ac:dyDescent="0.2">
      <c r="B1472" s="37"/>
    </row>
    <row r="1473" spans="2:2" s="34" customFormat="1" x14ac:dyDescent="0.2">
      <c r="B1473" s="37"/>
    </row>
    <row r="1474" spans="2:2" s="34" customFormat="1" x14ac:dyDescent="0.2">
      <c r="B1474" s="37"/>
    </row>
    <row r="1475" spans="2:2" s="34" customFormat="1" x14ac:dyDescent="0.2">
      <c r="B1475" s="37"/>
    </row>
    <row r="1476" spans="2:2" s="34" customFormat="1" x14ac:dyDescent="0.2">
      <c r="B1476" s="37"/>
    </row>
    <row r="1477" spans="2:2" s="34" customFormat="1" x14ac:dyDescent="0.2">
      <c r="B1477" s="37"/>
    </row>
    <row r="1478" spans="2:2" s="34" customFormat="1" x14ac:dyDescent="0.2">
      <c r="B1478" s="37"/>
    </row>
    <row r="1479" spans="2:2" s="34" customFormat="1" x14ac:dyDescent="0.2">
      <c r="B1479" s="37"/>
    </row>
    <row r="1480" spans="2:2" s="34" customFormat="1" x14ac:dyDescent="0.2">
      <c r="B1480" s="37"/>
    </row>
    <row r="1481" spans="2:2" s="34" customFormat="1" x14ac:dyDescent="0.2">
      <c r="B1481" s="37"/>
    </row>
    <row r="1482" spans="2:2" s="34" customFormat="1" x14ac:dyDescent="0.2">
      <c r="B1482" s="37"/>
    </row>
    <row r="1483" spans="2:2" s="34" customFormat="1" x14ac:dyDescent="0.2">
      <c r="B1483" s="37"/>
    </row>
    <row r="1484" spans="2:2" s="34" customFormat="1" x14ac:dyDescent="0.2">
      <c r="B1484" s="37"/>
    </row>
    <row r="1485" spans="2:2" s="34" customFormat="1" x14ac:dyDescent="0.2">
      <c r="B1485" s="37"/>
    </row>
    <row r="1486" spans="2:2" s="34" customFormat="1" x14ac:dyDescent="0.2">
      <c r="B1486" s="37"/>
    </row>
    <row r="1487" spans="2:2" s="34" customFormat="1" x14ac:dyDescent="0.2">
      <c r="B1487" s="37"/>
    </row>
    <row r="1488" spans="2:2" s="34" customFormat="1" x14ac:dyDescent="0.2">
      <c r="B1488" s="37"/>
    </row>
    <row r="1489" spans="2:2" s="34" customFormat="1" x14ac:dyDescent="0.2">
      <c r="B1489" s="37"/>
    </row>
    <row r="1490" spans="2:2" s="34" customFormat="1" x14ac:dyDescent="0.2">
      <c r="B1490" s="37"/>
    </row>
    <row r="1491" spans="2:2" s="34" customFormat="1" x14ac:dyDescent="0.2">
      <c r="B1491" s="37"/>
    </row>
    <row r="1492" spans="2:2" s="34" customFormat="1" x14ac:dyDescent="0.2">
      <c r="B1492" s="37"/>
    </row>
    <row r="1493" spans="2:2" s="34" customFormat="1" x14ac:dyDescent="0.2">
      <c r="B1493" s="37"/>
    </row>
    <row r="1494" spans="2:2" s="34" customFormat="1" x14ac:dyDescent="0.2">
      <c r="B1494" s="37"/>
    </row>
    <row r="1495" spans="2:2" s="34" customFormat="1" x14ac:dyDescent="0.2">
      <c r="B1495" s="37"/>
    </row>
    <row r="1496" spans="2:2" s="34" customFormat="1" x14ac:dyDescent="0.2">
      <c r="B1496" s="37"/>
    </row>
    <row r="1497" spans="2:2" s="34" customFormat="1" x14ac:dyDescent="0.2">
      <c r="B1497" s="37"/>
    </row>
    <row r="1498" spans="2:2" s="34" customFormat="1" x14ac:dyDescent="0.2">
      <c r="B1498" s="37"/>
    </row>
    <row r="1499" spans="2:2" s="34" customFormat="1" x14ac:dyDescent="0.2">
      <c r="B1499" s="37"/>
    </row>
    <row r="1500" spans="2:2" s="34" customFormat="1" x14ac:dyDescent="0.2">
      <c r="B1500" s="37"/>
    </row>
    <row r="1501" spans="2:2" s="34" customFormat="1" x14ac:dyDescent="0.2">
      <c r="B1501" s="37"/>
    </row>
    <row r="1502" spans="2:2" s="34" customFormat="1" x14ac:dyDescent="0.2">
      <c r="B1502" s="37"/>
    </row>
    <row r="1503" spans="2:2" s="34" customFormat="1" x14ac:dyDescent="0.2">
      <c r="B1503" s="37"/>
    </row>
    <row r="1504" spans="2:2" s="34" customFormat="1" x14ac:dyDescent="0.2">
      <c r="B1504" s="37"/>
    </row>
    <row r="1505" spans="2:2" s="34" customFormat="1" x14ac:dyDescent="0.2">
      <c r="B1505" s="37"/>
    </row>
    <row r="1506" spans="2:2" s="34" customFormat="1" x14ac:dyDescent="0.2">
      <c r="B1506" s="37"/>
    </row>
    <row r="1507" spans="2:2" s="34" customFormat="1" x14ac:dyDescent="0.2">
      <c r="B1507" s="37"/>
    </row>
    <row r="1508" spans="2:2" s="34" customFormat="1" x14ac:dyDescent="0.2">
      <c r="B1508" s="37"/>
    </row>
    <row r="1509" spans="2:2" s="34" customFormat="1" x14ac:dyDescent="0.2">
      <c r="B1509" s="37"/>
    </row>
    <row r="1510" spans="2:2" s="34" customFormat="1" x14ac:dyDescent="0.2">
      <c r="B1510" s="37"/>
    </row>
    <row r="1511" spans="2:2" s="34" customFormat="1" x14ac:dyDescent="0.2">
      <c r="B1511" s="37"/>
    </row>
    <row r="1512" spans="2:2" s="34" customFormat="1" x14ac:dyDescent="0.2">
      <c r="B1512" s="37"/>
    </row>
    <row r="1513" spans="2:2" s="34" customFormat="1" x14ac:dyDescent="0.2">
      <c r="B1513" s="37"/>
    </row>
    <row r="1514" spans="2:2" s="34" customFormat="1" x14ac:dyDescent="0.2">
      <c r="B1514" s="37"/>
    </row>
    <row r="1515" spans="2:2" s="34" customFormat="1" x14ac:dyDescent="0.2">
      <c r="B1515" s="37"/>
    </row>
    <row r="1516" spans="2:2" s="34" customFormat="1" x14ac:dyDescent="0.2">
      <c r="B1516" s="37"/>
    </row>
    <row r="1517" spans="2:2" s="34" customFormat="1" x14ac:dyDescent="0.2">
      <c r="B1517" s="37"/>
    </row>
    <row r="1518" spans="2:2" s="34" customFormat="1" x14ac:dyDescent="0.2">
      <c r="B1518" s="37"/>
    </row>
    <row r="1519" spans="2:2" s="34" customFormat="1" x14ac:dyDescent="0.2">
      <c r="B1519" s="37"/>
    </row>
    <row r="1520" spans="2:2" s="34" customFormat="1" x14ac:dyDescent="0.2">
      <c r="B1520" s="37"/>
    </row>
    <row r="1521" spans="2:2" s="34" customFormat="1" x14ac:dyDescent="0.2">
      <c r="B1521" s="37"/>
    </row>
    <row r="1522" spans="2:2" s="34" customFormat="1" x14ac:dyDescent="0.2">
      <c r="B1522" s="37"/>
    </row>
    <row r="1523" spans="2:2" s="34" customFormat="1" x14ac:dyDescent="0.2">
      <c r="B1523" s="37"/>
    </row>
    <row r="1524" spans="2:2" s="34" customFormat="1" x14ac:dyDescent="0.2">
      <c r="B1524" s="37"/>
    </row>
    <row r="1525" spans="2:2" s="34" customFormat="1" x14ac:dyDescent="0.2">
      <c r="B1525" s="37"/>
    </row>
    <row r="1526" spans="2:2" s="34" customFormat="1" x14ac:dyDescent="0.2">
      <c r="B1526" s="37"/>
    </row>
    <row r="1527" spans="2:2" s="34" customFormat="1" x14ac:dyDescent="0.2">
      <c r="B1527" s="37"/>
    </row>
    <row r="1528" spans="2:2" s="34" customFormat="1" x14ac:dyDescent="0.2">
      <c r="B1528" s="37"/>
    </row>
    <row r="1529" spans="2:2" s="34" customFormat="1" x14ac:dyDescent="0.2">
      <c r="B1529" s="37"/>
    </row>
    <row r="1530" spans="2:2" s="34" customFormat="1" x14ac:dyDescent="0.2">
      <c r="B1530" s="37"/>
    </row>
    <row r="1531" spans="2:2" s="34" customFormat="1" x14ac:dyDescent="0.2">
      <c r="B1531" s="37"/>
    </row>
    <row r="1532" spans="2:2" s="34" customFormat="1" x14ac:dyDescent="0.2">
      <c r="B1532" s="37"/>
    </row>
    <row r="1533" spans="2:2" s="34" customFormat="1" x14ac:dyDescent="0.2">
      <c r="B1533" s="37"/>
    </row>
    <row r="1534" spans="2:2" s="34" customFormat="1" x14ac:dyDescent="0.2">
      <c r="B1534" s="37"/>
    </row>
    <row r="1535" spans="2:2" s="34" customFormat="1" x14ac:dyDescent="0.2">
      <c r="B1535" s="37"/>
    </row>
    <row r="1536" spans="2:2" s="34" customFormat="1" x14ac:dyDescent="0.2">
      <c r="B1536" s="37"/>
    </row>
    <row r="1537" spans="2:2" s="34" customFormat="1" x14ac:dyDescent="0.2">
      <c r="B1537" s="37"/>
    </row>
    <row r="1538" spans="2:2" s="34" customFormat="1" x14ac:dyDescent="0.2">
      <c r="B1538" s="37"/>
    </row>
    <row r="1539" spans="2:2" s="34" customFormat="1" x14ac:dyDescent="0.2">
      <c r="B1539" s="37"/>
    </row>
    <row r="1540" spans="2:2" s="34" customFormat="1" x14ac:dyDescent="0.2">
      <c r="B1540" s="37"/>
    </row>
    <row r="1541" spans="2:2" s="34" customFormat="1" x14ac:dyDescent="0.2">
      <c r="B1541" s="37"/>
    </row>
    <row r="1542" spans="2:2" s="34" customFormat="1" x14ac:dyDescent="0.2">
      <c r="B1542" s="37"/>
    </row>
    <row r="1543" spans="2:2" s="34" customFormat="1" x14ac:dyDescent="0.2">
      <c r="B1543" s="37"/>
    </row>
    <row r="1544" spans="2:2" s="34" customFormat="1" x14ac:dyDescent="0.2">
      <c r="B1544" s="37"/>
    </row>
    <row r="1545" spans="2:2" s="34" customFormat="1" x14ac:dyDescent="0.2">
      <c r="B1545" s="37"/>
    </row>
    <row r="1546" spans="2:2" s="34" customFormat="1" x14ac:dyDescent="0.2">
      <c r="B1546" s="37"/>
    </row>
    <row r="1547" spans="2:2" s="34" customFormat="1" x14ac:dyDescent="0.2">
      <c r="B1547" s="37"/>
    </row>
    <row r="1548" spans="2:2" s="34" customFormat="1" x14ac:dyDescent="0.2">
      <c r="B1548" s="37"/>
    </row>
    <row r="1549" spans="2:2" s="34" customFormat="1" x14ac:dyDescent="0.2">
      <c r="B1549" s="37"/>
    </row>
    <row r="1550" spans="2:2" s="34" customFormat="1" x14ac:dyDescent="0.2">
      <c r="B1550" s="37"/>
    </row>
    <row r="1551" spans="2:2" s="34" customFormat="1" x14ac:dyDescent="0.2">
      <c r="B1551" s="37"/>
    </row>
    <row r="1552" spans="2:2" s="34" customFormat="1" x14ac:dyDescent="0.2">
      <c r="B1552" s="37"/>
    </row>
    <row r="1553" spans="2:2" s="34" customFormat="1" x14ac:dyDescent="0.2">
      <c r="B1553" s="37"/>
    </row>
    <row r="1554" spans="2:2" s="34" customFormat="1" x14ac:dyDescent="0.2">
      <c r="B1554" s="37"/>
    </row>
    <row r="1555" spans="2:2" s="34" customFormat="1" x14ac:dyDescent="0.2">
      <c r="B1555" s="37"/>
    </row>
    <row r="1556" spans="2:2" s="34" customFormat="1" x14ac:dyDescent="0.2">
      <c r="B1556" s="37"/>
    </row>
    <row r="1557" spans="2:2" s="34" customFormat="1" x14ac:dyDescent="0.2">
      <c r="B1557" s="37"/>
    </row>
    <row r="1558" spans="2:2" s="34" customFormat="1" x14ac:dyDescent="0.2">
      <c r="B1558" s="37"/>
    </row>
    <row r="1559" spans="2:2" s="34" customFormat="1" x14ac:dyDescent="0.2">
      <c r="B1559" s="37"/>
    </row>
    <row r="1560" spans="2:2" s="34" customFormat="1" x14ac:dyDescent="0.2">
      <c r="B1560" s="37"/>
    </row>
    <row r="1561" spans="2:2" s="34" customFormat="1" x14ac:dyDescent="0.2">
      <c r="B1561" s="37"/>
    </row>
    <row r="1562" spans="2:2" s="34" customFormat="1" x14ac:dyDescent="0.2">
      <c r="B1562" s="37"/>
    </row>
    <row r="1563" spans="2:2" s="34" customFormat="1" x14ac:dyDescent="0.2">
      <c r="B1563" s="37"/>
    </row>
    <row r="1564" spans="2:2" s="34" customFormat="1" x14ac:dyDescent="0.2">
      <c r="B1564" s="37"/>
    </row>
    <row r="1565" spans="2:2" s="34" customFormat="1" x14ac:dyDescent="0.2">
      <c r="B1565" s="37"/>
    </row>
    <row r="1566" spans="2:2" s="34" customFormat="1" x14ac:dyDescent="0.2">
      <c r="B1566" s="37"/>
    </row>
    <row r="1567" spans="2:2" s="34" customFormat="1" x14ac:dyDescent="0.2">
      <c r="B1567" s="37"/>
    </row>
    <row r="1568" spans="2:2" s="34" customFormat="1" x14ac:dyDescent="0.2">
      <c r="B1568" s="37"/>
    </row>
    <row r="1569" spans="2:2" s="34" customFormat="1" x14ac:dyDescent="0.2">
      <c r="B1569" s="37"/>
    </row>
    <row r="1570" spans="2:2" s="34" customFormat="1" x14ac:dyDescent="0.2">
      <c r="B1570" s="37"/>
    </row>
    <row r="1571" spans="2:2" s="34" customFormat="1" x14ac:dyDescent="0.2">
      <c r="B1571" s="37"/>
    </row>
    <row r="1572" spans="2:2" s="34" customFormat="1" x14ac:dyDescent="0.2">
      <c r="B1572" s="37"/>
    </row>
    <row r="1573" spans="2:2" s="34" customFormat="1" x14ac:dyDescent="0.2">
      <c r="B1573" s="37"/>
    </row>
    <row r="1574" spans="2:2" s="34" customFormat="1" x14ac:dyDescent="0.2">
      <c r="B1574" s="37"/>
    </row>
    <row r="1575" spans="2:2" s="34" customFormat="1" x14ac:dyDescent="0.2">
      <c r="B1575" s="37"/>
    </row>
    <row r="1576" spans="2:2" s="34" customFormat="1" x14ac:dyDescent="0.2">
      <c r="B1576" s="37"/>
    </row>
    <row r="1577" spans="2:2" s="34" customFormat="1" x14ac:dyDescent="0.2">
      <c r="B1577" s="37"/>
    </row>
    <row r="1578" spans="2:2" s="34" customFormat="1" x14ac:dyDescent="0.2">
      <c r="B1578" s="37"/>
    </row>
    <row r="1579" spans="2:2" s="34" customFormat="1" x14ac:dyDescent="0.2">
      <c r="B1579" s="37"/>
    </row>
    <row r="1580" spans="2:2" s="34" customFormat="1" x14ac:dyDescent="0.2">
      <c r="B1580" s="37"/>
    </row>
    <row r="1581" spans="2:2" s="34" customFormat="1" x14ac:dyDescent="0.2">
      <c r="B1581" s="37"/>
    </row>
    <row r="1582" spans="2:2" s="34" customFormat="1" x14ac:dyDescent="0.2">
      <c r="B1582" s="37"/>
    </row>
    <row r="1583" spans="2:2" s="34" customFormat="1" x14ac:dyDescent="0.2">
      <c r="B1583" s="37"/>
    </row>
    <row r="1584" spans="2:2" s="34" customFormat="1" x14ac:dyDescent="0.2">
      <c r="B1584" s="37"/>
    </row>
    <row r="1585" spans="2:2" s="34" customFormat="1" x14ac:dyDescent="0.2">
      <c r="B1585" s="37"/>
    </row>
    <row r="1586" spans="2:2" s="34" customFormat="1" x14ac:dyDescent="0.2">
      <c r="B1586" s="37"/>
    </row>
    <row r="1587" spans="2:2" s="34" customFormat="1" x14ac:dyDescent="0.2">
      <c r="B1587" s="37"/>
    </row>
    <row r="1588" spans="2:2" s="34" customFormat="1" x14ac:dyDescent="0.2">
      <c r="B1588" s="37"/>
    </row>
    <row r="1589" spans="2:2" s="34" customFormat="1" x14ac:dyDescent="0.2">
      <c r="B1589" s="37"/>
    </row>
    <row r="1590" spans="2:2" s="34" customFormat="1" x14ac:dyDescent="0.2">
      <c r="B1590" s="37"/>
    </row>
    <row r="1591" spans="2:2" s="34" customFormat="1" x14ac:dyDescent="0.2">
      <c r="B1591" s="37"/>
    </row>
    <row r="1592" spans="2:2" s="34" customFormat="1" x14ac:dyDescent="0.2">
      <c r="B1592" s="37"/>
    </row>
    <row r="1593" spans="2:2" s="34" customFormat="1" x14ac:dyDescent="0.2">
      <c r="B1593" s="37"/>
    </row>
    <row r="1594" spans="2:2" s="34" customFormat="1" x14ac:dyDescent="0.2">
      <c r="B1594" s="37"/>
    </row>
    <row r="1595" spans="2:2" s="34" customFormat="1" x14ac:dyDescent="0.2">
      <c r="B1595" s="37"/>
    </row>
    <row r="1596" spans="2:2" s="34" customFormat="1" x14ac:dyDescent="0.2">
      <c r="B1596" s="37"/>
    </row>
    <row r="1597" spans="2:2" s="34" customFormat="1" x14ac:dyDescent="0.2">
      <c r="B1597" s="37"/>
    </row>
    <row r="1598" spans="2:2" s="34" customFormat="1" x14ac:dyDescent="0.2">
      <c r="B1598" s="37"/>
    </row>
    <row r="1599" spans="2:2" s="34" customFormat="1" x14ac:dyDescent="0.2">
      <c r="B1599" s="37"/>
    </row>
    <row r="1600" spans="2:2" s="34" customFormat="1" x14ac:dyDescent="0.2">
      <c r="B1600" s="37"/>
    </row>
    <row r="1601" spans="2:2" s="34" customFormat="1" x14ac:dyDescent="0.2">
      <c r="B1601" s="37"/>
    </row>
    <row r="1602" spans="2:2" s="34" customFormat="1" x14ac:dyDescent="0.2">
      <c r="B1602" s="37"/>
    </row>
    <row r="1603" spans="2:2" s="34" customFormat="1" x14ac:dyDescent="0.2">
      <c r="B1603" s="37"/>
    </row>
    <row r="1604" spans="2:2" s="34" customFormat="1" x14ac:dyDescent="0.2">
      <c r="B1604" s="37"/>
    </row>
    <row r="1605" spans="2:2" s="34" customFormat="1" x14ac:dyDescent="0.2">
      <c r="B1605" s="37"/>
    </row>
    <row r="1606" spans="2:2" s="34" customFormat="1" x14ac:dyDescent="0.2">
      <c r="B1606" s="37"/>
    </row>
    <row r="1607" spans="2:2" s="34" customFormat="1" x14ac:dyDescent="0.2">
      <c r="B1607" s="37"/>
    </row>
    <row r="1608" spans="2:2" s="34" customFormat="1" x14ac:dyDescent="0.2">
      <c r="B1608" s="37"/>
    </row>
    <row r="1609" spans="2:2" s="34" customFormat="1" x14ac:dyDescent="0.2">
      <c r="B1609" s="37"/>
    </row>
    <row r="1610" spans="2:2" s="34" customFormat="1" x14ac:dyDescent="0.2">
      <c r="B1610" s="37"/>
    </row>
    <row r="1611" spans="2:2" s="34" customFormat="1" x14ac:dyDescent="0.2">
      <c r="B1611" s="37"/>
    </row>
    <row r="1612" spans="2:2" s="34" customFormat="1" x14ac:dyDescent="0.2">
      <c r="B1612" s="37"/>
    </row>
    <row r="1613" spans="2:2" s="34" customFormat="1" x14ac:dyDescent="0.2">
      <c r="B1613" s="37"/>
    </row>
    <row r="1614" spans="2:2" s="34" customFormat="1" x14ac:dyDescent="0.2">
      <c r="B1614" s="37"/>
    </row>
    <row r="1615" spans="2:2" s="34" customFormat="1" x14ac:dyDescent="0.2">
      <c r="B1615" s="37"/>
    </row>
    <row r="1616" spans="2:2" s="34" customFormat="1" x14ac:dyDescent="0.2">
      <c r="B1616" s="37"/>
    </row>
    <row r="1617" spans="2:2" s="34" customFormat="1" x14ac:dyDescent="0.2">
      <c r="B1617" s="37"/>
    </row>
    <row r="1618" spans="2:2" s="34" customFormat="1" x14ac:dyDescent="0.2">
      <c r="B1618" s="37"/>
    </row>
    <row r="1619" spans="2:2" s="34" customFormat="1" x14ac:dyDescent="0.2">
      <c r="B1619" s="37"/>
    </row>
    <row r="1620" spans="2:2" s="34" customFormat="1" x14ac:dyDescent="0.2">
      <c r="B1620" s="37"/>
    </row>
    <row r="1621" spans="2:2" s="34" customFormat="1" x14ac:dyDescent="0.2">
      <c r="B1621" s="37"/>
    </row>
    <row r="1622" spans="2:2" s="34" customFormat="1" x14ac:dyDescent="0.2">
      <c r="B1622" s="37"/>
    </row>
    <row r="1623" spans="2:2" s="34" customFormat="1" x14ac:dyDescent="0.2">
      <c r="B1623" s="37"/>
    </row>
    <row r="1624" spans="2:2" s="34" customFormat="1" x14ac:dyDescent="0.2">
      <c r="B1624" s="37"/>
    </row>
    <row r="1625" spans="2:2" s="34" customFormat="1" x14ac:dyDescent="0.2">
      <c r="B1625" s="37"/>
    </row>
    <row r="1626" spans="2:2" s="34" customFormat="1" x14ac:dyDescent="0.2">
      <c r="B1626" s="37"/>
    </row>
    <row r="1627" spans="2:2" s="34" customFormat="1" x14ac:dyDescent="0.2">
      <c r="B1627" s="37"/>
    </row>
    <row r="1628" spans="2:2" s="34" customFormat="1" x14ac:dyDescent="0.2">
      <c r="B1628" s="37"/>
    </row>
    <row r="1629" spans="2:2" s="34" customFormat="1" x14ac:dyDescent="0.2">
      <c r="B1629" s="37"/>
    </row>
    <row r="1630" spans="2:2" s="34" customFormat="1" x14ac:dyDescent="0.2">
      <c r="B1630" s="37"/>
    </row>
    <row r="1631" spans="2:2" s="34" customFormat="1" x14ac:dyDescent="0.2">
      <c r="B1631" s="37"/>
    </row>
    <row r="1632" spans="2:2" s="34" customFormat="1" x14ac:dyDescent="0.2">
      <c r="B1632" s="37"/>
    </row>
    <row r="1633" spans="2:2" s="34" customFormat="1" x14ac:dyDescent="0.2">
      <c r="B1633" s="37"/>
    </row>
    <row r="1634" spans="2:2" s="34" customFormat="1" x14ac:dyDescent="0.2">
      <c r="B1634" s="37"/>
    </row>
    <row r="1635" spans="2:2" s="34" customFormat="1" x14ac:dyDescent="0.2">
      <c r="B1635" s="37"/>
    </row>
    <row r="1636" spans="2:2" s="34" customFormat="1" x14ac:dyDescent="0.2">
      <c r="B1636" s="37"/>
    </row>
    <row r="1637" spans="2:2" s="34" customFormat="1" x14ac:dyDescent="0.2">
      <c r="B1637" s="37"/>
    </row>
    <row r="1638" spans="2:2" s="34" customFormat="1" x14ac:dyDescent="0.2">
      <c r="B1638" s="37"/>
    </row>
    <row r="1639" spans="2:2" s="34" customFormat="1" x14ac:dyDescent="0.2">
      <c r="B1639" s="37"/>
    </row>
    <row r="1640" spans="2:2" s="34" customFormat="1" x14ac:dyDescent="0.2">
      <c r="B1640" s="37"/>
    </row>
    <row r="1641" spans="2:2" s="34" customFormat="1" x14ac:dyDescent="0.2">
      <c r="B1641" s="37"/>
    </row>
    <row r="1642" spans="2:2" s="34" customFormat="1" x14ac:dyDescent="0.2">
      <c r="B1642" s="37"/>
    </row>
    <row r="1643" spans="2:2" s="34" customFormat="1" x14ac:dyDescent="0.2">
      <c r="B1643" s="37"/>
    </row>
    <row r="1644" spans="2:2" s="34" customFormat="1" x14ac:dyDescent="0.2">
      <c r="B1644" s="37"/>
    </row>
    <row r="1645" spans="2:2" s="34" customFormat="1" x14ac:dyDescent="0.2">
      <c r="B1645" s="37"/>
    </row>
    <row r="1646" spans="2:2" s="34" customFormat="1" x14ac:dyDescent="0.2">
      <c r="B1646" s="37"/>
    </row>
    <row r="1647" spans="2:2" s="34" customFormat="1" x14ac:dyDescent="0.2">
      <c r="B1647" s="37"/>
    </row>
    <row r="1648" spans="2:2" s="34" customFormat="1" x14ac:dyDescent="0.2">
      <c r="B1648" s="37"/>
    </row>
    <row r="1649" spans="2:2" s="34" customFormat="1" x14ac:dyDescent="0.2">
      <c r="B1649" s="37"/>
    </row>
    <row r="1650" spans="2:2" s="34" customFormat="1" x14ac:dyDescent="0.2">
      <c r="B1650" s="37"/>
    </row>
    <row r="1651" spans="2:2" s="34" customFormat="1" x14ac:dyDescent="0.2">
      <c r="B1651" s="37"/>
    </row>
    <row r="1652" spans="2:2" s="34" customFormat="1" x14ac:dyDescent="0.2">
      <c r="B1652" s="37"/>
    </row>
    <row r="1653" spans="2:2" s="34" customFormat="1" x14ac:dyDescent="0.2">
      <c r="B1653" s="37"/>
    </row>
    <row r="1654" spans="2:2" s="34" customFormat="1" x14ac:dyDescent="0.2">
      <c r="B1654" s="37"/>
    </row>
    <row r="1655" spans="2:2" s="34" customFormat="1" x14ac:dyDescent="0.2">
      <c r="B1655" s="37"/>
    </row>
    <row r="1656" spans="2:2" s="34" customFormat="1" x14ac:dyDescent="0.2">
      <c r="B1656" s="37"/>
    </row>
    <row r="1657" spans="2:2" s="34" customFormat="1" x14ac:dyDescent="0.2">
      <c r="B1657" s="37"/>
    </row>
    <row r="1658" spans="2:2" s="34" customFormat="1" x14ac:dyDescent="0.2">
      <c r="B1658" s="37"/>
    </row>
    <row r="1659" spans="2:2" s="34" customFormat="1" x14ac:dyDescent="0.2">
      <c r="B1659" s="37"/>
    </row>
    <row r="1660" spans="2:2" s="34" customFormat="1" x14ac:dyDescent="0.2">
      <c r="B1660" s="37"/>
    </row>
    <row r="1661" spans="2:2" s="34" customFormat="1" x14ac:dyDescent="0.2">
      <c r="B1661" s="37"/>
    </row>
    <row r="1662" spans="2:2" s="34" customFormat="1" x14ac:dyDescent="0.2">
      <c r="B1662" s="37"/>
    </row>
    <row r="1663" spans="2:2" s="34" customFormat="1" x14ac:dyDescent="0.2">
      <c r="B1663" s="37"/>
    </row>
    <row r="1664" spans="2:2" s="34" customFormat="1" x14ac:dyDescent="0.2">
      <c r="B1664" s="37"/>
    </row>
    <row r="1665" spans="2:2" s="34" customFormat="1" x14ac:dyDescent="0.2">
      <c r="B1665" s="37"/>
    </row>
    <row r="1666" spans="2:2" s="34" customFormat="1" x14ac:dyDescent="0.2">
      <c r="B1666" s="37"/>
    </row>
    <row r="1667" spans="2:2" s="34" customFormat="1" x14ac:dyDescent="0.2">
      <c r="B1667" s="37"/>
    </row>
    <row r="1668" spans="2:2" s="34" customFormat="1" x14ac:dyDescent="0.2">
      <c r="B1668" s="37"/>
    </row>
    <row r="1669" spans="2:2" s="34" customFormat="1" x14ac:dyDescent="0.2">
      <c r="B1669" s="37"/>
    </row>
    <row r="1670" spans="2:2" s="34" customFormat="1" x14ac:dyDescent="0.2">
      <c r="B1670" s="37"/>
    </row>
    <row r="1671" spans="2:2" s="34" customFormat="1" x14ac:dyDescent="0.2">
      <c r="B1671" s="37"/>
    </row>
    <row r="1672" spans="2:2" s="34" customFormat="1" x14ac:dyDescent="0.2">
      <c r="B1672" s="37"/>
    </row>
    <row r="1673" spans="2:2" s="34" customFormat="1" x14ac:dyDescent="0.2">
      <c r="B1673" s="37"/>
    </row>
    <row r="1674" spans="2:2" s="34" customFormat="1" x14ac:dyDescent="0.2">
      <c r="B1674" s="37"/>
    </row>
    <row r="1675" spans="2:2" s="34" customFormat="1" x14ac:dyDescent="0.2">
      <c r="B1675" s="37"/>
    </row>
    <row r="1676" spans="2:2" s="34" customFormat="1" x14ac:dyDescent="0.2">
      <c r="B1676" s="37"/>
    </row>
    <row r="1677" spans="2:2" s="34" customFormat="1" x14ac:dyDescent="0.2">
      <c r="B1677" s="37"/>
    </row>
    <row r="1678" spans="2:2" s="34" customFormat="1" x14ac:dyDescent="0.2">
      <c r="B1678" s="37"/>
    </row>
    <row r="1679" spans="2:2" s="34" customFormat="1" x14ac:dyDescent="0.2">
      <c r="B1679" s="37"/>
    </row>
    <row r="1680" spans="2:2" s="34" customFormat="1" x14ac:dyDescent="0.2">
      <c r="B1680" s="37"/>
    </row>
    <row r="1681" spans="2:2" s="34" customFormat="1" x14ac:dyDescent="0.2">
      <c r="B1681" s="37"/>
    </row>
    <row r="1682" spans="2:2" s="34" customFormat="1" x14ac:dyDescent="0.2">
      <c r="B1682" s="37"/>
    </row>
    <row r="1683" spans="2:2" s="34" customFormat="1" x14ac:dyDescent="0.2">
      <c r="B1683" s="37"/>
    </row>
    <row r="1684" spans="2:2" s="34" customFormat="1" x14ac:dyDescent="0.2">
      <c r="B1684" s="37"/>
    </row>
    <row r="1685" spans="2:2" s="34" customFormat="1" x14ac:dyDescent="0.2">
      <c r="B1685" s="37"/>
    </row>
    <row r="1686" spans="2:2" s="34" customFormat="1" x14ac:dyDescent="0.2">
      <c r="B1686" s="37"/>
    </row>
    <row r="1687" spans="2:2" s="34" customFormat="1" x14ac:dyDescent="0.2">
      <c r="B1687" s="37"/>
    </row>
    <row r="1688" spans="2:2" s="34" customFormat="1" x14ac:dyDescent="0.2">
      <c r="B1688" s="37"/>
    </row>
    <row r="1689" spans="2:2" s="34" customFormat="1" x14ac:dyDescent="0.2">
      <c r="B1689" s="37"/>
    </row>
    <row r="1690" spans="2:2" s="34" customFormat="1" x14ac:dyDescent="0.2">
      <c r="B1690" s="37"/>
    </row>
  </sheetData>
  <pageMargins left="0.7" right="0.7" top="0.75" bottom="0.75" header="0.3" footer="0.3"/>
  <pageSetup scale="9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377"/>
  <sheetViews>
    <sheetView workbookViewId="0"/>
  </sheetViews>
  <sheetFormatPr defaultColWidth="9.21875" defaultRowHeight="10.199999999999999" x14ac:dyDescent="0.2"/>
  <cols>
    <col min="1" max="1" width="14.21875" style="35" bestFit="1" customWidth="1"/>
    <col min="2" max="8" width="11.21875" style="34" customWidth="1"/>
    <col min="9" max="16384" width="9.21875" style="34"/>
  </cols>
  <sheetData>
    <row r="1" spans="1:8" s="41" customFormat="1" ht="15.6" x14ac:dyDescent="0.3">
      <c r="A1" s="85" t="s">
        <v>87</v>
      </c>
      <c r="B1" s="85"/>
      <c r="C1" s="85"/>
      <c r="D1" s="85"/>
      <c r="E1" s="85"/>
      <c r="F1" s="85"/>
      <c r="G1" s="85"/>
      <c r="H1" s="85"/>
    </row>
    <row r="2" spans="1:8" s="41" customFormat="1" ht="13.2" x14ac:dyDescent="0.25">
      <c r="A2" s="87" t="str">
        <f>'Oct23'!$A$2</f>
        <v>Temporary Assistance for Needy Families (TANF)</v>
      </c>
      <c r="B2" s="87"/>
      <c r="C2" s="87"/>
      <c r="D2" s="87"/>
      <c r="E2" s="87"/>
      <c r="F2" s="87"/>
      <c r="G2" s="87"/>
      <c r="H2" s="87"/>
    </row>
    <row r="3" spans="1:8" s="27" customFormat="1" ht="30.6" x14ac:dyDescent="0.2">
      <c r="A3" s="25" t="s">
        <v>1</v>
      </c>
      <c r="B3" s="26" t="s">
        <v>66</v>
      </c>
      <c r="C3" s="26" t="s">
        <v>67</v>
      </c>
      <c r="D3" s="26" t="s">
        <v>68</v>
      </c>
      <c r="E3" s="26" t="s">
        <v>69</v>
      </c>
      <c r="F3" s="26" t="s">
        <v>70</v>
      </c>
      <c r="G3" s="26" t="s">
        <v>71</v>
      </c>
      <c r="H3" s="26" t="s">
        <v>72</v>
      </c>
    </row>
    <row r="4" spans="1:8" s="29" customFormat="1" x14ac:dyDescent="0.2">
      <c r="A4" s="7" t="s">
        <v>2</v>
      </c>
      <c r="B4" s="28">
        <f>TFam!G5</f>
        <v>829625</v>
      </c>
      <c r="C4" s="28">
        <f>'Two-par'!G5</f>
        <v>55607</v>
      </c>
      <c r="D4" s="28">
        <f>'One-par'!G5</f>
        <v>428338</v>
      </c>
      <c r="E4" s="28">
        <f>'Zero-par'!G5</f>
        <v>345680</v>
      </c>
      <c r="F4" s="28">
        <f>TRec!G5</f>
        <v>2028620</v>
      </c>
      <c r="G4" s="28">
        <f>Adults!G5</f>
        <v>549318</v>
      </c>
      <c r="H4" s="28">
        <f>Children!G5</f>
        <v>1479302</v>
      </c>
    </row>
    <row r="5" spans="1:8" s="31" customFormat="1" x14ac:dyDescent="0.2">
      <c r="A5" s="38" t="s">
        <v>3</v>
      </c>
      <c r="B5" s="30">
        <f>TFam!G6</f>
        <v>5739</v>
      </c>
      <c r="C5" s="30">
        <f>'Two-par'!G6</f>
        <v>27</v>
      </c>
      <c r="D5" s="30">
        <f>'One-par'!G6</f>
        <v>2393</v>
      </c>
      <c r="E5" s="30">
        <f>'Zero-par'!G6</f>
        <v>3319</v>
      </c>
      <c r="F5" s="30">
        <f>TRec!G6</f>
        <v>13502</v>
      </c>
      <c r="G5" s="30">
        <f>Adults!G6</f>
        <v>2505</v>
      </c>
      <c r="H5" s="30">
        <f>Children!G6</f>
        <v>10997</v>
      </c>
    </row>
    <row r="6" spans="1:8" s="31" customFormat="1" x14ac:dyDescent="0.2">
      <c r="A6" s="38" t="s">
        <v>4</v>
      </c>
      <c r="B6" s="32">
        <f>TFam!G7</f>
        <v>1253</v>
      </c>
      <c r="C6" s="32">
        <f>'Two-par'!G7</f>
        <v>155</v>
      </c>
      <c r="D6" s="32">
        <f>'One-par'!G7</f>
        <v>722</v>
      </c>
      <c r="E6" s="32">
        <f>'Zero-par'!G7</f>
        <v>376</v>
      </c>
      <c r="F6" s="32">
        <f>TRec!G7</f>
        <v>3440</v>
      </c>
      <c r="G6" s="32">
        <f>Adults!G7</f>
        <v>1074</v>
      </c>
      <c r="H6" s="32">
        <f>Children!G7</f>
        <v>2366</v>
      </c>
    </row>
    <row r="7" spans="1:8" s="31" customFormat="1" x14ac:dyDescent="0.2">
      <c r="A7" s="38" t="s">
        <v>5</v>
      </c>
      <c r="B7" s="32">
        <f>TFam!G8</f>
        <v>5023</v>
      </c>
      <c r="C7" s="32">
        <f>'Two-par'!G8</f>
        <v>351</v>
      </c>
      <c r="D7" s="32">
        <f>'One-par'!G8</f>
        <v>1297</v>
      </c>
      <c r="E7" s="32">
        <f>'Zero-par'!G8</f>
        <v>3375</v>
      </c>
      <c r="F7" s="32">
        <f>TRec!G8</f>
        <v>10525</v>
      </c>
      <c r="G7" s="32">
        <f>Adults!G8</f>
        <v>2022</v>
      </c>
      <c r="H7" s="32">
        <f>Children!G8</f>
        <v>8503</v>
      </c>
    </row>
    <row r="8" spans="1:8" s="31" customFormat="1" x14ac:dyDescent="0.2">
      <c r="A8" s="38" t="s">
        <v>6</v>
      </c>
      <c r="B8" s="32">
        <f>TFam!G9</f>
        <v>954</v>
      </c>
      <c r="C8" s="32">
        <f>'Two-par'!G9</f>
        <v>45</v>
      </c>
      <c r="D8" s="32">
        <f>'One-par'!G9</f>
        <v>538</v>
      </c>
      <c r="E8" s="32">
        <f>'Zero-par'!G9</f>
        <v>371</v>
      </c>
      <c r="F8" s="32">
        <f>TRec!G9</f>
        <v>2366</v>
      </c>
      <c r="G8" s="32">
        <f>Adults!G9</f>
        <v>628</v>
      </c>
      <c r="H8" s="32">
        <f>Children!G9</f>
        <v>1738</v>
      </c>
    </row>
    <row r="9" spans="1:8" s="31" customFormat="1" x14ac:dyDescent="0.2">
      <c r="A9" s="38" t="s">
        <v>7</v>
      </c>
      <c r="B9" s="30">
        <f>TFam!G10</f>
        <v>283229</v>
      </c>
      <c r="C9" s="30">
        <f>'Two-par'!G10</f>
        <v>35632</v>
      </c>
      <c r="D9" s="30">
        <f>'One-par'!G10</f>
        <v>149141</v>
      </c>
      <c r="E9" s="30">
        <f>'Zero-par'!G10</f>
        <v>98456</v>
      </c>
      <c r="F9" s="30">
        <f>TRec!G10</f>
        <v>751858</v>
      </c>
      <c r="G9" s="30">
        <f>Adults!G10</f>
        <v>203156</v>
      </c>
      <c r="H9" s="30">
        <f>Children!G10</f>
        <v>548702</v>
      </c>
    </row>
    <row r="10" spans="1:8" s="31" customFormat="1" x14ac:dyDescent="0.2">
      <c r="A10" s="38" t="s">
        <v>8</v>
      </c>
      <c r="B10" s="32">
        <f>TFam!G11</f>
        <v>12241</v>
      </c>
      <c r="C10" s="32">
        <f>'Two-par'!G11</f>
        <v>0</v>
      </c>
      <c r="D10" s="32">
        <f>'One-par'!G11</f>
        <v>7958</v>
      </c>
      <c r="E10" s="32">
        <f>'Zero-par'!G11</f>
        <v>4283</v>
      </c>
      <c r="F10" s="32">
        <f>TRec!G11</f>
        <v>29949</v>
      </c>
      <c r="G10" s="32">
        <f>Adults!G11</f>
        <v>8281</v>
      </c>
      <c r="H10" s="32">
        <f>Children!G11</f>
        <v>21668</v>
      </c>
    </row>
    <row r="11" spans="1:8" s="31" customFormat="1" x14ac:dyDescent="0.2">
      <c r="A11" s="38" t="s">
        <v>9</v>
      </c>
      <c r="B11" s="30">
        <f>TFam!G12</f>
        <v>5045</v>
      </c>
      <c r="C11" s="30">
        <f>'Two-par'!G12</f>
        <v>0</v>
      </c>
      <c r="D11" s="30">
        <f>'One-par'!G12</f>
        <v>1940</v>
      </c>
      <c r="E11" s="30">
        <f>'Zero-par'!G12</f>
        <v>3105</v>
      </c>
      <c r="F11" s="30">
        <f>TRec!G12</f>
        <v>11981</v>
      </c>
      <c r="G11" s="30">
        <f>Adults!G12</f>
        <v>3439</v>
      </c>
      <c r="H11" s="30">
        <f>Children!G12</f>
        <v>8542</v>
      </c>
    </row>
    <row r="12" spans="1:8" s="31" customFormat="1" x14ac:dyDescent="0.2">
      <c r="A12" s="38" t="s">
        <v>10</v>
      </c>
      <c r="B12" s="30">
        <f>TFam!G13</f>
        <v>2503</v>
      </c>
      <c r="C12" s="30">
        <f>'Two-par'!G13</f>
        <v>3</v>
      </c>
      <c r="D12" s="30">
        <f>'One-par'!G13</f>
        <v>630</v>
      </c>
      <c r="E12" s="30">
        <f>'Zero-par'!G13</f>
        <v>1870</v>
      </c>
      <c r="F12" s="30">
        <f>TRec!G13</f>
        <v>7021</v>
      </c>
      <c r="G12" s="30">
        <f>Adults!G13</f>
        <v>2843</v>
      </c>
      <c r="H12" s="30">
        <f>Children!G13</f>
        <v>4178</v>
      </c>
    </row>
    <row r="13" spans="1:8" s="31" customFormat="1" x14ac:dyDescent="0.2">
      <c r="A13" s="38" t="s">
        <v>11</v>
      </c>
      <c r="B13" s="30">
        <f>TFam!G14</f>
        <v>4766</v>
      </c>
      <c r="C13" s="30">
        <f>'Two-par'!G14</f>
        <v>0</v>
      </c>
      <c r="D13" s="30">
        <f>'One-par'!G14</f>
        <v>3365</v>
      </c>
      <c r="E13" s="30">
        <f>'Zero-par'!G14</f>
        <v>1401</v>
      </c>
      <c r="F13" s="30">
        <f>TRec!G14</f>
        <v>15299</v>
      </c>
      <c r="G13" s="30">
        <f>Adults!G14</f>
        <v>3365</v>
      </c>
      <c r="H13" s="30">
        <f>Children!G14</f>
        <v>11934</v>
      </c>
    </row>
    <row r="14" spans="1:8" s="31" customFormat="1" x14ac:dyDescent="0.2">
      <c r="A14" s="38" t="s">
        <v>12</v>
      </c>
      <c r="B14" s="30">
        <f>TFam!G15</f>
        <v>29402</v>
      </c>
      <c r="C14" s="30">
        <f>'Two-par'!G15</f>
        <v>4868</v>
      </c>
      <c r="D14" s="30">
        <f>'One-par'!G15</f>
        <v>6841</v>
      </c>
      <c r="E14" s="30">
        <f>'Zero-par'!G15</f>
        <v>17693</v>
      </c>
      <c r="F14" s="30">
        <f>TRec!G15</f>
        <v>57674</v>
      </c>
      <c r="G14" s="30">
        <f>Adults!G15</f>
        <v>19166</v>
      </c>
      <c r="H14" s="30">
        <f>Children!G15</f>
        <v>38508</v>
      </c>
    </row>
    <row r="15" spans="1:8" s="31" customFormat="1" x14ac:dyDescent="0.2">
      <c r="A15" s="38" t="s">
        <v>13</v>
      </c>
      <c r="B15" s="30">
        <f>TFam!G16</f>
        <v>4095</v>
      </c>
      <c r="C15" s="30">
        <f>'Two-par'!G16</f>
        <v>0</v>
      </c>
      <c r="D15" s="30">
        <f>'One-par'!G16</f>
        <v>147</v>
      </c>
      <c r="E15" s="30">
        <f>'Zero-par'!G16</f>
        <v>3948</v>
      </c>
      <c r="F15" s="30">
        <f>TRec!G16</f>
        <v>7128</v>
      </c>
      <c r="G15" s="30">
        <f>Adults!G16</f>
        <v>148</v>
      </c>
      <c r="H15" s="30">
        <f>Children!G16</f>
        <v>6980</v>
      </c>
    </row>
    <row r="16" spans="1:8" s="31" customFormat="1" x14ac:dyDescent="0.2">
      <c r="A16" s="38" t="s">
        <v>14</v>
      </c>
      <c r="B16" s="32">
        <f>TFam!G17</f>
        <v>176</v>
      </c>
      <c r="C16" s="32">
        <f>'Two-par'!G17</f>
        <v>6</v>
      </c>
      <c r="D16" s="32">
        <f>'One-par'!G17</f>
        <v>49</v>
      </c>
      <c r="E16" s="32">
        <f>'Zero-par'!G17</f>
        <v>121</v>
      </c>
      <c r="F16" s="32">
        <f>TRec!G17</f>
        <v>413</v>
      </c>
      <c r="G16" s="32">
        <f>Adults!G17</f>
        <v>63</v>
      </c>
      <c r="H16" s="32">
        <f>Children!G17</f>
        <v>350</v>
      </c>
    </row>
    <row r="17" spans="1:8" s="31" customFormat="1" x14ac:dyDescent="0.2">
      <c r="A17" s="38" t="s">
        <v>15</v>
      </c>
      <c r="B17" s="30">
        <f>TFam!G18</f>
        <v>2753</v>
      </c>
      <c r="C17" s="30">
        <f>'Two-par'!G18</f>
        <v>419</v>
      </c>
      <c r="D17" s="30">
        <f>'One-par'!G18</f>
        <v>1711</v>
      </c>
      <c r="E17" s="30">
        <f>'Zero-par'!G18</f>
        <v>623</v>
      </c>
      <c r="F17" s="30">
        <f>TRec!G18</f>
        <v>7619</v>
      </c>
      <c r="G17" s="30">
        <f>Adults!G18</f>
        <v>2286</v>
      </c>
      <c r="H17" s="30">
        <f>Children!G18</f>
        <v>5333</v>
      </c>
    </row>
    <row r="18" spans="1:8" s="31" customFormat="1" x14ac:dyDescent="0.2">
      <c r="A18" s="38" t="s">
        <v>16</v>
      </c>
      <c r="B18" s="32">
        <f>TFam!G19</f>
        <v>1481</v>
      </c>
      <c r="C18" s="32">
        <f>'Two-par'!G19</f>
        <v>0</v>
      </c>
      <c r="D18" s="32">
        <f>'One-par'!G19</f>
        <v>22</v>
      </c>
      <c r="E18" s="32">
        <f>'Zero-par'!G19</f>
        <v>1459</v>
      </c>
      <c r="F18" s="32">
        <f>TRec!G19</f>
        <v>2021</v>
      </c>
      <c r="G18" s="32">
        <f>Adults!G19</f>
        <v>21</v>
      </c>
      <c r="H18" s="32">
        <f>Children!G19</f>
        <v>2000</v>
      </c>
    </row>
    <row r="19" spans="1:8" s="31" customFormat="1" x14ac:dyDescent="0.2">
      <c r="A19" s="38" t="s">
        <v>17</v>
      </c>
      <c r="B19" s="30">
        <f>TFam!G20</f>
        <v>9966</v>
      </c>
      <c r="C19" s="30">
        <f>'Two-par'!G20</f>
        <v>0</v>
      </c>
      <c r="D19" s="30">
        <f>'One-par'!G20</f>
        <v>2304</v>
      </c>
      <c r="E19" s="30">
        <f>'Zero-par'!G20</f>
        <v>7662</v>
      </c>
      <c r="F19" s="30">
        <f>TRec!G20</f>
        <v>20424</v>
      </c>
      <c r="G19" s="30">
        <f>Adults!G20</f>
        <v>2573</v>
      </c>
      <c r="H19" s="30">
        <f>Children!G20</f>
        <v>17851</v>
      </c>
    </row>
    <row r="20" spans="1:8" s="31" customFormat="1" x14ac:dyDescent="0.2">
      <c r="A20" s="38" t="s">
        <v>18</v>
      </c>
      <c r="B20" s="30">
        <f>TFam!G21</f>
        <v>5529</v>
      </c>
      <c r="C20" s="30">
        <f>'Two-par'!G21</f>
        <v>884</v>
      </c>
      <c r="D20" s="30">
        <f>'One-par'!G21</f>
        <v>2098</v>
      </c>
      <c r="E20" s="30">
        <f>'Zero-par'!G21</f>
        <v>2547</v>
      </c>
      <c r="F20" s="30">
        <f>TRec!G21</f>
        <v>13156</v>
      </c>
      <c r="G20" s="30">
        <f>Adults!G21</f>
        <v>3365</v>
      </c>
      <c r="H20" s="30">
        <f>Children!G21</f>
        <v>9791</v>
      </c>
    </row>
    <row r="21" spans="1:8" s="31" customFormat="1" x14ac:dyDescent="0.2">
      <c r="A21" s="38" t="s">
        <v>19</v>
      </c>
      <c r="B21" s="30">
        <f>TFam!G22</f>
        <v>4009</v>
      </c>
      <c r="C21" s="30">
        <f>'Two-par'!G22</f>
        <v>220</v>
      </c>
      <c r="D21" s="30">
        <f>'One-par'!G22</f>
        <v>1864</v>
      </c>
      <c r="E21" s="30">
        <f>'Zero-par'!G22</f>
        <v>1925</v>
      </c>
      <c r="F21" s="30">
        <f>TRec!G22</f>
        <v>9982</v>
      </c>
      <c r="G21" s="30">
        <f>Adults!G22</f>
        <v>2334</v>
      </c>
      <c r="H21" s="30">
        <f>Children!G22</f>
        <v>7648</v>
      </c>
    </row>
    <row r="22" spans="1:8" s="31" customFormat="1" x14ac:dyDescent="0.2">
      <c r="A22" s="38" t="s">
        <v>20</v>
      </c>
      <c r="B22" s="32">
        <f>TFam!G23</f>
        <v>2910</v>
      </c>
      <c r="C22" s="32">
        <f>'Two-par'!G23</f>
        <v>261</v>
      </c>
      <c r="D22" s="32">
        <f>'One-par'!G23</f>
        <v>1379</v>
      </c>
      <c r="E22" s="32">
        <f>'Zero-par'!G23</f>
        <v>1270</v>
      </c>
      <c r="F22" s="32">
        <f>TRec!G23</f>
        <v>2910</v>
      </c>
      <c r="G22" s="32">
        <f>Adults!G23</f>
        <v>1461</v>
      </c>
      <c r="H22" s="32">
        <f>Children!G23</f>
        <v>1449</v>
      </c>
    </row>
    <row r="23" spans="1:8" s="31" customFormat="1" x14ac:dyDescent="0.2">
      <c r="A23" s="38" t="s">
        <v>21</v>
      </c>
      <c r="B23" s="32">
        <f>TFam!G24</f>
        <v>14323</v>
      </c>
      <c r="C23" s="32">
        <f>'Two-par'!G24</f>
        <v>951</v>
      </c>
      <c r="D23" s="32">
        <f>'One-par'!G24</f>
        <v>5096</v>
      </c>
      <c r="E23" s="32">
        <f>'Zero-par'!G24</f>
        <v>8276</v>
      </c>
      <c r="F23" s="32">
        <f>TRec!G24</f>
        <v>32582</v>
      </c>
      <c r="G23" s="32">
        <f>Adults!G24</f>
        <v>7175</v>
      </c>
      <c r="H23" s="32">
        <f>Children!G24</f>
        <v>25407</v>
      </c>
    </row>
    <row r="24" spans="1:8" s="31" customFormat="1" x14ac:dyDescent="0.2">
      <c r="A24" s="38" t="s">
        <v>22</v>
      </c>
      <c r="B24" s="32">
        <f>TFam!G25</f>
        <v>4764</v>
      </c>
      <c r="C24" s="32">
        <f>'Two-par'!G25</f>
        <v>0</v>
      </c>
      <c r="D24" s="32">
        <f>'One-par'!G25</f>
        <v>2712</v>
      </c>
      <c r="E24" s="32">
        <f>'Zero-par'!G25</f>
        <v>2052</v>
      </c>
      <c r="F24" s="32">
        <f>TRec!G25</f>
        <v>12267</v>
      </c>
      <c r="G24" s="32">
        <f>Adults!G25</f>
        <v>2337</v>
      </c>
      <c r="H24" s="32">
        <f>Children!G25</f>
        <v>9930</v>
      </c>
    </row>
    <row r="25" spans="1:8" s="31" customFormat="1" x14ac:dyDescent="0.2">
      <c r="A25" s="38" t="s">
        <v>23</v>
      </c>
      <c r="B25" s="30">
        <f>TFam!G26</f>
        <v>3680</v>
      </c>
      <c r="C25" s="30">
        <f>'Two-par'!G26</f>
        <v>502</v>
      </c>
      <c r="D25" s="30">
        <f>'One-par'!G26</f>
        <v>2168</v>
      </c>
      <c r="E25" s="30">
        <f>'Zero-par'!G26</f>
        <v>1010</v>
      </c>
      <c r="F25" s="30">
        <f>TRec!G26</f>
        <v>9527</v>
      </c>
      <c r="G25" s="30">
        <f>Adults!G26</f>
        <v>3066</v>
      </c>
      <c r="H25" s="30">
        <f>Children!G26</f>
        <v>6461</v>
      </c>
    </row>
    <row r="26" spans="1:8" s="31" customFormat="1" x14ac:dyDescent="0.2">
      <c r="A26" s="38" t="s">
        <v>24</v>
      </c>
      <c r="B26" s="30">
        <f>TFam!G27</f>
        <v>12286</v>
      </c>
      <c r="C26" s="30">
        <f>'Two-par'!G27</f>
        <v>0</v>
      </c>
      <c r="D26" s="30">
        <f>'One-par'!G27</f>
        <v>8541</v>
      </c>
      <c r="E26" s="30">
        <f>'Zero-par'!G27</f>
        <v>3745</v>
      </c>
      <c r="F26" s="30">
        <f>TRec!G27</f>
        <v>33465</v>
      </c>
      <c r="G26" s="30">
        <f>Adults!G27</f>
        <v>9208</v>
      </c>
      <c r="H26" s="30">
        <f>Children!G27</f>
        <v>24257</v>
      </c>
    </row>
    <row r="27" spans="1:8" s="31" customFormat="1" x14ac:dyDescent="0.2">
      <c r="A27" s="38" t="s">
        <v>25</v>
      </c>
      <c r="B27" s="30">
        <f>TFam!G28</f>
        <v>36199</v>
      </c>
      <c r="C27" s="30">
        <f>'Two-par'!G28</f>
        <v>2186</v>
      </c>
      <c r="D27" s="30">
        <f>'One-par'!G28</f>
        <v>22142</v>
      </c>
      <c r="E27" s="30">
        <f>'Zero-par'!G28</f>
        <v>11871</v>
      </c>
      <c r="F27" s="30">
        <f>TRec!G28</f>
        <v>84844</v>
      </c>
      <c r="G27" s="30">
        <f>Adults!G28</f>
        <v>25428</v>
      </c>
      <c r="H27" s="30">
        <f>Children!G28</f>
        <v>59416</v>
      </c>
    </row>
    <row r="28" spans="1:8" s="31" customFormat="1" x14ac:dyDescent="0.2">
      <c r="A28" s="38" t="s">
        <v>26</v>
      </c>
      <c r="B28" s="32">
        <f>TFam!G29</f>
        <v>8105</v>
      </c>
      <c r="C28" s="32">
        <f>'Two-par'!G29</f>
        <v>0</v>
      </c>
      <c r="D28" s="32">
        <f>'One-par'!G29</f>
        <v>4026</v>
      </c>
      <c r="E28" s="32">
        <f>'Zero-par'!G29</f>
        <v>4079</v>
      </c>
      <c r="F28" s="32">
        <f>TRec!G29</f>
        <v>20942</v>
      </c>
      <c r="G28" s="32">
        <f>Adults!G29</f>
        <v>4585</v>
      </c>
      <c r="H28" s="32">
        <f>Children!G29</f>
        <v>16357</v>
      </c>
    </row>
    <row r="29" spans="1:8" s="31" customFormat="1" x14ac:dyDescent="0.2">
      <c r="A29" s="38" t="s">
        <v>27</v>
      </c>
      <c r="B29" s="30">
        <f>TFam!G30</f>
        <v>13265</v>
      </c>
      <c r="C29" s="30">
        <f>'Two-par'!G30</f>
        <v>0</v>
      </c>
      <c r="D29" s="30">
        <f>'One-par'!G30</f>
        <v>7675</v>
      </c>
      <c r="E29" s="30">
        <f>'Zero-par'!G30</f>
        <v>5590</v>
      </c>
      <c r="F29" s="30">
        <f>TRec!G30</f>
        <v>30842</v>
      </c>
      <c r="G29" s="30">
        <f>Adults!G30</f>
        <v>7641</v>
      </c>
      <c r="H29" s="30">
        <f>Children!G30</f>
        <v>23201</v>
      </c>
    </row>
    <row r="30" spans="1:8" s="31" customFormat="1" x14ac:dyDescent="0.2">
      <c r="A30" s="38" t="s">
        <v>28</v>
      </c>
      <c r="B30" s="32">
        <f>TFam!G31</f>
        <v>1418</v>
      </c>
      <c r="C30" s="32">
        <f>'Two-par'!G31</f>
        <v>0</v>
      </c>
      <c r="D30" s="32">
        <f>'One-par'!G31</f>
        <v>297</v>
      </c>
      <c r="E30" s="32">
        <f>'Zero-par'!G31</f>
        <v>1121</v>
      </c>
      <c r="F30" s="32">
        <f>TRec!G31</f>
        <v>2568</v>
      </c>
      <c r="G30" s="32">
        <f>Adults!G31</f>
        <v>303</v>
      </c>
      <c r="H30" s="32">
        <f>Children!G31</f>
        <v>2265</v>
      </c>
    </row>
    <row r="31" spans="1:8" s="31" customFormat="1" x14ac:dyDescent="0.2">
      <c r="A31" s="38" t="s">
        <v>29</v>
      </c>
      <c r="B31" s="30">
        <f>TFam!G32</f>
        <v>4783</v>
      </c>
      <c r="C31" s="30">
        <f>'Two-par'!G32</f>
        <v>0</v>
      </c>
      <c r="D31" s="30">
        <f>'One-par'!G32</f>
        <v>2675</v>
      </c>
      <c r="E31" s="30">
        <f>'Zero-par'!G32</f>
        <v>2108</v>
      </c>
      <c r="F31" s="30">
        <f>TRec!G32</f>
        <v>11044</v>
      </c>
      <c r="G31" s="30">
        <f>Adults!G32</f>
        <v>2357</v>
      </c>
      <c r="H31" s="30">
        <f>Children!G32</f>
        <v>8687</v>
      </c>
    </row>
    <row r="32" spans="1:8" s="31" customFormat="1" x14ac:dyDescent="0.2">
      <c r="A32" s="38" t="s">
        <v>30</v>
      </c>
      <c r="B32" s="32">
        <f>TFam!G33</f>
        <v>1580</v>
      </c>
      <c r="C32" s="32">
        <f>'Two-par'!G33</f>
        <v>92</v>
      </c>
      <c r="D32" s="32">
        <f>'One-par'!G33</f>
        <v>598</v>
      </c>
      <c r="E32" s="32">
        <f>'Zero-par'!G33</f>
        <v>890</v>
      </c>
      <c r="F32" s="32">
        <f>TRec!G33</f>
        <v>3527</v>
      </c>
      <c r="G32" s="32">
        <f>Adults!G33</f>
        <v>632</v>
      </c>
      <c r="H32" s="32">
        <f>Children!G33</f>
        <v>2895</v>
      </c>
    </row>
    <row r="33" spans="1:8" s="31" customFormat="1" x14ac:dyDescent="0.2">
      <c r="A33" s="38" t="s">
        <v>31</v>
      </c>
      <c r="B33" s="30">
        <f>TFam!G34</f>
        <v>2589</v>
      </c>
      <c r="C33" s="30">
        <f>'Two-par'!G34</f>
        <v>0</v>
      </c>
      <c r="D33" s="30">
        <f>'One-par'!G34</f>
        <v>735</v>
      </c>
      <c r="E33" s="30">
        <f>'Zero-par'!G34</f>
        <v>1854</v>
      </c>
      <c r="F33" s="30">
        <f>TRec!G34</f>
        <v>5869</v>
      </c>
      <c r="G33" s="30">
        <f>Adults!G34</f>
        <v>722</v>
      </c>
      <c r="H33" s="30">
        <f>Children!G34</f>
        <v>5147</v>
      </c>
    </row>
    <row r="34" spans="1:8" s="31" customFormat="1" x14ac:dyDescent="0.2">
      <c r="A34" s="38" t="s">
        <v>32</v>
      </c>
      <c r="B34" s="30">
        <f>TFam!G35</f>
        <v>5323</v>
      </c>
      <c r="C34" s="30">
        <f>'Two-par'!G35</f>
        <v>470</v>
      </c>
      <c r="D34" s="30">
        <f>'One-par'!G35</f>
        <v>2212</v>
      </c>
      <c r="E34" s="30">
        <f>'Zero-par'!G35</f>
        <v>2641</v>
      </c>
      <c r="F34" s="30">
        <f>TRec!G35</f>
        <v>13281</v>
      </c>
      <c r="G34" s="30">
        <f>Adults!G35</f>
        <v>3358</v>
      </c>
      <c r="H34" s="30">
        <f>Children!G35</f>
        <v>9923</v>
      </c>
    </row>
    <row r="35" spans="1:8" s="31" customFormat="1" x14ac:dyDescent="0.2">
      <c r="A35" s="38" t="s">
        <v>33</v>
      </c>
      <c r="B35" s="30">
        <f>TFam!G36</f>
        <v>2466</v>
      </c>
      <c r="C35" s="30">
        <f>'Two-par'!G36</f>
        <v>2</v>
      </c>
      <c r="D35" s="30">
        <f>'One-par'!G36</f>
        <v>977</v>
      </c>
      <c r="E35" s="30">
        <f>'Zero-par'!G36</f>
        <v>1487</v>
      </c>
      <c r="F35" s="30">
        <f>TRec!G36</f>
        <v>4999</v>
      </c>
      <c r="G35" s="30">
        <f>Adults!G36</f>
        <v>1022</v>
      </c>
      <c r="H35" s="30">
        <f>Children!G36</f>
        <v>3977</v>
      </c>
    </row>
    <row r="36" spans="1:8" s="31" customFormat="1" x14ac:dyDescent="0.2">
      <c r="A36" s="38" t="s">
        <v>34</v>
      </c>
      <c r="B36" s="30">
        <f>TFam!G37</f>
        <v>9567</v>
      </c>
      <c r="C36" s="30">
        <f>'Two-par'!G37</f>
        <v>74</v>
      </c>
      <c r="D36" s="30">
        <f>'One-par'!G37</f>
        <v>7290</v>
      </c>
      <c r="E36" s="30">
        <f>'Zero-par'!G37</f>
        <v>2203</v>
      </c>
      <c r="F36" s="30">
        <f>TRec!G37</f>
        <v>23192</v>
      </c>
      <c r="G36" s="30">
        <f>Adults!G37</f>
        <v>6899</v>
      </c>
      <c r="H36" s="30">
        <f>Children!G37</f>
        <v>16293</v>
      </c>
    </row>
    <row r="37" spans="1:8" s="31" customFormat="1" x14ac:dyDescent="0.2">
      <c r="A37" s="38" t="s">
        <v>35</v>
      </c>
      <c r="B37" s="32">
        <f>TFam!G38</f>
        <v>6936</v>
      </c>
      <c r="C37" s="32">
        <f>'Two-par'!G38</f>
        <v>423</v>
      </c>
      <c r="D37" s="32">
        <f>'One-par'!G38</f>
        <v>3358</v>
      </c>
      <c r="E37" s="32">
        <f>'Zero-par'!G38</f>
        <v>3155</v>
      </c>
      <c r="F37" s="32">
        <f>TRec!G38</f>
        <v>16888</v>
      </c>
      <c r="G37" s="32">
        <f>Adults!G38</f>
        <v>4204</v>
      </c>
      <c r="H37" s="32">
        <f>Children!G38</f>
        <v>12684</v>
      </c>
    </row>
    <row r="38" spans="1:8" s="31" customFormat="1" x14ac:dyDescent="0.2">
      <c r="A38" s="38" t="s">
        <v>36</v>
      </c>
      <c r="B38" s="30">
        <f>TFam!G39</f>
        <v>129023</v>
      </c>
      <c r="C38" s="30">
        <f>'Two-par'!G39</f>
        <v>1614</v>
      </c>
      <c r="D38" s="30">
        <f>'One-par'!G39</f>
        <v>96019</v>
      </c>
      <c r="E38" s="30">
        <f>'Zero-par'!G39</f>
        <v>31390</v>
      </c>
      <c r="F38" s="30">
        <f>TRec!G39</f>
        <v>334759</v>
      </c>
      <c r="G38" s="30">
        <f>Adults!G39</f>
        <v>119269</v>
      </c>
      <c r="H38" s="30">
        <f>Children!G39</f>
        <v>215490</v>
      </c>
    </row>
    <row r="39" spans="1:8" s="31" customFormat="1" x14ac:dyDescent="0.2">
      <c r="A39" s="38" t="s">
        <v>37</v>
      </c>
      <c r="B39" s="32">
        <f>TFam!G40</f>
        <v>6744</v>
      </c>
      <c r="C39" s="32">
        <f>'Two-par'!G40</f>
        <v>55</v>
      </c>
      <c r="D39" s="32">
        <f>'One-par'!G40</f>
        <v>715</v>
      </c>
      <c r="E39" s="32">
        <f>'Zero-par'!G40</f>
        <v>5974</v>
      </c>
      <c r="F39" s="32">
        <f>TRec!G40</f>
        <v>11836</v>
      </c>
      <c r="G39" s="32">
        <f>Adults!G40</f>
        <v>1060</v>
      </c>
      <c r="H39" s="32">
        <f>Children!G40</f>
        <v>10776</v>
      </c>
    </row>
    <row r="40" spans="1:8" s="31" customFormat="1" x14ac:dyDescent="0.2">
      <c r="A40" s="38" t="s">
        <v>38</v>
      </c>
      <c r="B40" s="32">
        <f>TFam!G41</f>
        <v>617</v>
      </c>
      <c r="C40" s="32">
        <f>'Two-par'!G41</f>
        <v>0</v>
      </c>
      <c r="D40" s="32">
        <f>'One-par'!G41</f>
        <v>318</v>
      </c>
      <c r="E40" s="32">
        <f>'Zero-par'!G41</f>
        <v>299</v>
      </c>
      <c r="F40" s="32">
        <f>TRec!G41</f>
        <v>1522</v>
      </c>
      <c r="G40" s="32">
        <f>Adults!G41</f>
        <v>261</v>
      </c>
      <c r="H40" s="32">
        <f>Children!G41</f>
        <v>1261</v>
      </c>
    </row>
    <row r="41" spans="1:8" s="31" customFormat="1" x14ac:dyDescent="0.2">
      <c r="A41" s="38" t="s">
        <v>39</v>
      </c>
      <c r="B41" s="32">
        <f>TFam!G42</f>
        <v>39132</v>
      </c>
      <c r="C41" s="32">
        <f>'Two-par'!G42</f>
        <v>790</v>
      </c>
      <c r="D41" s="32">
        <f>'One-par'!G42</f>
        <v>4831</v>
      </c>
      <c r="E41" s="32">
        <f>'Zero-par'!G42</f>
        <v>33511</v>
      </c>
      <c r="F41" s="32">
        <f>TRec!G42</f>
        <v>69580</v>
      </c>
      <c r="G41" s="32">
        <f>Adults!G42</f>
        <v>6919</v>
      </c>
      <c r="H41" s="32">
        <f>Children!G42</f>
        <v>62661</v>
      </c>
    </row>
    <row r="42" spans="1:8" s="31" customFormat="1" x14ac:dyDescent="0.2">
      <c r="A42" s="38" t="s">
        <v>40</v>
      </c>
      <c r="B42" s="32">
        <f>TFam!G43</f>
        <v>3537</v>
      </c>
      <c r="C42" s="32">
        <f>'Two-par'!G43</f>
        <v>0</v>
      </c>
      <c r="D42" s="32">
        <f>'One-par'!G43</f>
        <v>770</v>
      </c>
      <c r="E42" s="32">
        <f>'Zero-par'!G43</f>
        <v>2767</v>
      </c>
      <c r="F42" s="32">
        <f>TRec!G43</f>
        <v>7433</v>
      </c>
      <c r="G42" s="32">
        <f>Adults!G43</f>
        <v>770</v>
      </c>
      <c r="H42" s="32">
        <f>Children!G43</f>
        <v>6663</v>
      </c>
    </row>
    <row r="43" spans="1:8" s="31" customFormat="1" x14ac:dyDescent="0.2">
      <c r="A43" s="38" t="s">
        <v>41</v>
      </c>
      <c r="B43" s="32">
        <f>TFam!G44</f>
        <v>18204</v>
      </c>
      <c r="C43" s="32">
        <f>'Two-par'!G44</f>
        <v>0</v>
      </c>
      <c r="D43" s="32">
        <f>'One-par'!G44</f>
        <v>12148</v>
      </c>
      <c r="E43" s="32">
        <f>'Zero-par'!G44</f>
        <v>6056</v>
      </c>
      <c r="F43" s="32">
        <f>TRec!G44</f>
        <v>41764</v>
      </c>
      <c r="G43" s="32">
        <f>Adults!G44</f>
        <v>12298</v>
      </c>
      <c r="H43" s="32">
        <f>Children!G44</f>
        <v>29466</v>
      </c>
    </row>
    <row r="44" spans="1:8" s="31" customFormat="1" x14ac:dyDescent="0.2">
      <c r="A44" s="38" t="s">
        <v>42</v>
      </c>
      <c r="B44" s="32">
        <f>TFam!G45</f>
        <v>23962</v>
      </c>
      <c r="C44" s="32">
        <f>'Two-par'!G45</f>
        <v>294</v>
      </c>
      <c r="D44" s="32">
        <f>'One-par'!G45</f>
        <v>14953</v>
      </c>
      <c r="E44" s="32">
        <f>'Zero-par'!G45</f>
        <v>8715</v>
      </c>
      <c r="F44" s="32">
        <f>TRec!G45</f>
        <v>59350</v>
      </c>
      <c r="G44" s="32">
        <f>Adults!G45</f>
        <v>14315</v>
      </c>
      <c r="H44" s="32">
        <f>Children!G45</f>
        <v>45035</v>
      </c>
    </row>
    <row r="45" spans="1:8" s="31" customFormat="1" x14ac:dyDescent="0.2">
      <c r="A45" s="38" t="s">
        <v>43</v>
      </c>
      <c r="B45" s="32">
        <f>TFam!G46</f>
        <v>2340</v>
      </c>
      <c r="C45" s="32">
        <f>'Two-par'!G46</f>
        <v>107</v>
      </c>
      <c r="D45" s="32">
        <f>'One-par'!G46</f>
        <v>2077</v>
      </c>
      <c r="E45" s="32">
        <f>'Zero-par'!G46</f>
        <v>156</v>
      </c>
      <c r="F45" s="32">
        <f>TRec!G46</f>
        <v>6470</v>
      </c>
      <c r="G45" s="32">
        <f>Adults!G46</f>
        <v>2422</v>
      </c>
      <c r="H45" s="32">
        <f>Children!G46</f>
        <v>4048</v>
      </c>
    </row>
    <row r="46" spans="1:8" s="31" customFormat="1" x14ac:dyDescent="0.2">
      <c r="A46" s="38" t="s">
        <v>44</v>
      </c>
      <c r="B46" s="30">
        <f>TFam!G47</f>
        <v>3290</v>
      </c>
      <c r="C46" s="30">
        <f>'Two-par'!G47</f>
        <v>221</v>
      </c>
      <c r="D46" s="30">
        <f>'One-par'!G47</f>
        <v>2478</v>
      </c>
      <c r="E46" s="30">
        <f>'Zero-par'!G47</f>
        <v>591</v>
      </c>
      <c r="F46" s="30">
        <f>TRec!G47</f>
        <v>8548</v>
      </c>
      <c r="G46" s="30">
        <f>Adults!G47</f>
        <v>2587</v>
      </c>
      <c r="H46" s="30">
        <f>Children!G47</f>
        <v>5961</v>
      </c>
    </row>
    <row r="47" spans="1:8" s="31" customFormat="1" x14ac:dyDescent="0.2">
      <c r="A47" s="38" t="s">
        <v>45</v>
      </c>
      <c r="B47" s="30">
        <f>TFam!G48</f>
        <v>5553</v>
      </c>
      <c r="C47" s="30">
        <f>'Two-par'!G48</f>
        <v>0</v>
      </c>
      <c r="D47" s="30">
        <f>'One-par'!G48</f>
        <v>2444</v>
      </c>
      <c r="E47" s="30">
        <f>'Zero-par'!G48</f>
        <v>3109</v>
      </c>
      <c r="F47" s="30">
        <f>TRec!G48</f>
        <v>12763</v>
      </c>
      <c r="G47" s="30">
        <f>Adults!G48</f>
        <v>2444</v>
      </c>
      <c r="H47" s="30">
        <f>Children!G48</f>
        <v>10319</v>
      </c>
    </row>
    <row r="48" spans="1:8" s="31" customFormat="1" x14ac:dyDescent="0.2">
      <c r="A48" s="38" t="s">
        <v>46</v>
      </c>
      <c r="B48" s="32">
        <f>TFam!G49</f>
        <v>2478</v>
      </c>
      <c r="C48" s="32">
        <f>'Two-par'!G49</f>
        <v>0</v>
      </c>
      <c r="D48" s="32">
        <f>'One-par'!G49</f>
        <v>397</v>
      </c>
      <c r="E48" s="32">
        <f>'Zero-par'!G49</f>
        <v>2081</v>
      </c>
      <c r="F48" s="32">
        <f>TRec!G49</f>
        <v>4968</v>
      </c>
      <c r="G48" s="32">
        <f>Adults!G49</f>
        <v>397</v>
      </c>
      <c r="H48" s="32">
        <f>Children!G49</f>
        <v>4571</v>
      </c>
    </row>
    <row r="49" spans="1:18" s="31" customFormat="1" x14ac:dyDescent="0.2">
      <c r="A49" s="38" t="s">
        <v>47</v>
      </c>
      <c r="B49" s="30">
        <f>TFam!G50</f>
        <v>11186</v>
      </c>
      <c r="C49" s="30">
        <f>'Two-par'!G50</f>
        <v>233</v>
      </c>
      <c r="D49" s="30">
        <f>'One-par'!G50</f>
        <v>3350</v>
      </c>
      <c r="E49" s="30">
        <f>'Zero-par'!G50</f>
        <v>7603</v>
      </c>
      <c r="F49" s="30">
        <f>TRec!G50</f>
        <v>24595</v>
      </c>
      <c r="G49" s="30">
        <f>Adults!G50</f>
        <v>5222</v>
      </c>
      <c r="H49" s="30">
        <f>Children!G50</f>
        <v>19373</v>
      </c>
    </row>
    <row r="50" spans="1:18" s="31" customFormat="1" x14ac:dyDescent="0.2">
      <c r="A50" s="38" t="s">
        <v>48</v>
      </c>
      <c r="B50" s="30">
        <f>TFam!G51</f>
        <v>8982</v>
      </c>
      <c r="C50" s="30">
        <f>'Two-par'!G51</f>
        <v>0</v>
      </c>
      <c r="D50" s="30">
        <f>'One-par'!G51</f>
        <v>2361</v>
      </c>
      <c r="E50" s="30">
        <f>'Zero-par'!G51</f>
        <v>6621</v>
      </c>
      <c r="F50" s="30">
        <f>TRec!G51</f>
        <v>17551</v>
      </c>
      <c r="G50" s="30">
        <f>Adults!G51</f>
        <v>2361</v>
      </c>
      <c r="H50" s="30">
        <f>Children!G51</f>
        <v>15190</v>
      </c>
    </row>
    <row r="51" spans="1:18" s="31" customFormat="1" x14ac:dyDescent="0.2">
      <c r="A51" s="38" t="s">
        <v>49</v>
      </c>
      <c r="B51" s="30">
        <f>TFam!G52</f>
        <v>1883</v>
      </c>
      <c r="C51" s="30">
        <f>'Two-par'!G52</f>
        <v>0</v>
      </c>
      <c r="D51" s="30">
        <f>'One-par'!G52</f>
        <v>809</v>
      </c>
      <c r="E51" s="30">
        <f>'Zero-par'!G52</f>
        <v>1074</v>
      </c>
      <c r="F51" s="30">
        <f>TRec!G52</f>
        <v>4341</v>
      </c>
      <c r="G51" s="30">
        <f>Adults!G52</f>
        <v>1124</v>
      </c>
      <c r="H51" s="30">
        <f>Children!G52</f>
        <v>3217</v>
      </c>
    </row>
    <row r="52" spans="1:18" s="31" customFormat="1" x14ac:dyDescent="0.2">
      <c r="A52" s="38" t="s">
        <v>50</v>
      </c>
      <c r="B52" s="30">
        <f>TFam!G53</f>
        <v>1651</v>
      </c>
      <c r="C52" s="30">
        <f>'Two-par'!G53</f>
        <v>115</v>
      </c>
      <c r="D52" s="30">
        <f>'One-par'!G53</f>
        <v>579</v>
      </c>
      <c r="E52" s="30">
        <f>'Zero-par'!G53</f>
        <v>957</v>
      </c>
      <c r="F52" s="30">
        <f>TRec!G53</f>
        <v>3433</v>
      </c>
      <c r="G52" s="30">
        <f>Adults!G53</f>
        <v>811</v>
      </c>
      <c r="H52" s="30">
        <f>Children!G53</f>
        <v>2622</v>
      </c>
    </row>
    <row r="53" spans="1:18" s="31" customFormat="1" x14ac:dyDescent="0.2">
      <c r="A53" s="38" t="s">
        <v>51</v>
      </c>
      <c r="B53" s="32">
        <f>TFam!G54</f>
        <v>55</v>
      </c>
      <c r="C53" s="32">
        <f>'Two-par'!G54</f>
        <v>0</v>
      </c>
      <c r="D53" s="32">
        <f>'One-par'!G54</f>
        <v>45</v>
      </c>
      <c r="E53" s="32">
        <f>'Zero-par'!G54</f>
        <v>10</v>
      </c>
      <c r="F53" s="32">
        <f>TRec!G54</f>
        <v>192</v>
      </c>
      <c r="G53" s="32">
        <f>Adults!G54</f>
        <v>55</v>
      </c>
      <c r="H53" s="32">
        <f>Children!G54</f>
        <v>137</v>
      </c>
    </row>
    <row r="54" spans="1:18" s="31" customFormat="1" x14ac:dyDescent="0.2">
      <c r="A54" s="38" t="s">
        <v>52</v>
      </c>
      <c r="B54" s="30">
        <f>TFam!G55</f>
        <v>13057</v>
      </c>
      <c r="C54" s="30">
        <f>'Two-par'!G55</f>
        <v>0</v>
      </c>
      <c r="D54" s="30">
        <f>'One-par'!G55</f>
        <v>6758</v>
      </c>
      <c r="E54" s="30">
        <f>'Zero-par'!G55</f>
        <v>6299</v>
      </c>
      <c r="F54" s="30">
        <f>TRec!G55</f>
        <v>29390</v>
      </c>
      <c r="G54" s="30">
        <f>Adults!G55</f>
        <v>6670</v>
      </c>
      <c r="H54" s="30">
        <f>Children!G55</f>
        <v>22720</v>
      </c>
    </row>
    <row r="55" spans="1:18" s="31" customFormat="1" x14ac:dyDescent="0.2">
      <c r="A55" s="38" t="s">
        <v>53</v>
      </c>
      <c r="B55" s="30">
        <f>TFam!G56</f>
        <v>33083</v>
      </c>
      <c r="C55" s="30">
        <f>'Two-par'!G56</f>
        <v>4508</v>
      </c>
      <c r="D55" s="30">
        <f>'One-par'!G56</f>
        <v>17949</v>
      </c>
      <c r="E55" s="30">
        <f>'Zero-par'!G56</f>
        <v>10626</v>
      </c>
      <c r="F55" s="30">
        <f>TRec!G56</f>
        <v>83216</v>
      </c>
      <c r="G55" s="30">
        <f>Adults!G56</f>
        <v>27429</v>
      </c>
      <c r="H55" s="30">
        <f>Children!G56</f>
        <v>55787</v>
      </c>
    </row>
    <row r="56" spans="1:18" s="31" customFormat="1" x14ac:dyDescent="0.2">
      <c r="A56" s="38" t="s">
        <v>54</v>
      </c>
      <c r="B56" s="32">
        <f>TFam!G57</f>
        <v>4727</v>
      </c>
      <c r="C56" s="32">
        <f>'Two-par'!G57</f>
        <v>0</v>
      </c>
      <c r="D56" s="32">
        <f>'One-par'!G57</f>
        <v>1127</v>
      </c>
      <c r="E56" s="32">
        <f>'Zero-par'!G57</f>
        <v>3600</v>
      </c>
      <c r="F56" s="32">
        <f>TRec!G57</f>
        <v>9166</v>
      </c>
      <c r="G56" s="32">
        <f>Adults!G57</f>
        <v>1534</v>
      </c>
      <c r="H56" s="32">
        <f>Children!G57</f>
        <v>7632</v>
      </c>
    </row>
    <row r="57" spans="1:18" s="31" customFormat="1" x14ac:dyDescent="0.2">
      <c r="A57" s="38" t="s">
        <v>55</v>
      </c>
      <c r="B57" s="30">
        <f>TFam!G58</f>
        <v>11296</v>
      </c>
      <c r="C57" s="30">
        <f>'Two-par'!G58</f>
        <v>82</v>
      </c>
      <c r="D57" s="30">
        <f>'One-par'!G58</f>
        <v>3070</v>
      </c>
      <c r="E57" s="30">
        <f>'Zero-par'!G58</f>
        <v>8144</v>
      </c>
      <c r="F57" s="30">
        <f>TRec!G58</f>
        <v>23485</v>
      </c>
      <c r="G57" s="30">
        <f>Adults!G58</f>
        <v>3431</v>
      </c>
      <c r="H57" s="30">
        <f>Children!G58</f>
        <v>20054</v>
      </c>
    </row>
    <row r="58" spans="1:18" s="31" customFormat="1" x14ac:dyDescent="0.2">
      <c r="A58" s="39" t="s">
        <v>56</v>
      </c>
      <c r="B58" s="33">
        <f>TFam!G59</f>
        <v>467</v>
      </c>
      <c r="C58" s="33">
        <f>'Two-par'!G59</f>
        <v>17</v>
      </c>
      <c r="D58" s="33">
        <f>'One-par'!G59</f>
        <v>239</v>
      </c>
      <c r="E58" s="33">
        <f>'Zero-par'!G59</f>
        <v>211</v>
      </c>
      <c r="F58" s="33">
        <f>TRec!G59</f>
        <v>1153</v>
      </c>
      <c r="G58" s="33">
        <f>Adults!G59</f>
        <v>272</v>
      </c>
      <c r="H58" s="33">
        <f>Children!G59</f>
        <v>881</v>
      </c>
    </row>
    <row r="59" spans="1:18" x14ac:dyDescent="0.2">
      <c r="A59" s="82">
        <f>TFam!$A$3</f>
        <v>45687</v>
      </c>
      <c r="B59" s="82"/>
      <c r="C59" s="82"/>
      <c r="D59" s="82"/>
      <c r="E59" s="82"/>
      <c r="F59" s="82"/>
      <c r="G59" s="82"/>
      <c r="H59" s="82"/>
      <c r="I59" s="58"/>
      <c r="J59" s="58"/>
      <c r="K59" s="58"/>
      <c r="L59" s="58"/>
      <c r="M59" s="58"/>
      <c r="N59" s="58"/>
      <c r="O59" s="58"/>
      <c r="P59" s="58"/>
      <c r="Q59" s="58"/>
      <c r="R59" s="58"/>
    </row>
    <row r="60" spans="1:18" x14ac:dyDescent="0.2">
      <c r="A60" s="70" t="s">
        <v>57</v>
      </c>
      <c r="B60" s="70"/>
      <c r="C60" s="70"/>
      <c r="D60" s="70"/>
      <c r="E60" s="70"/>
      <c r="F60" s="70"/>
      <c r="G60" s="70"/>
      <c r="H60" s="70"/>
    </row>
    <row r="61" spans="1:18" x14ac:dyDescent="0.2">
      <c r="A61" s="70" t="s">
        <v>58</v>
      </c>
      <c r="B61" s="70"/>
      <c r="C61" s="70"/>
      <c r="D61" s="70"/>
      <c r="E61" s="70"/>
      <c r="F61" s="70"/>
      <c r="G61" s="70"/>
      <c r="H61" s="70"/>
    </row>
    <row r="62" spans="1:18" x14ac:dyDescent="0.2">
      <c r="A62" s="70" t="s">
        <v>74</v>
      </c>
      <c r="B62" s="70"/>
      <c r="C62" s="70"/>
      <c r="D62" s="70"/>
      <c r="E62" s="70"/>
      <c r="F62" s="70"/>
      <c r="G62" s="70"/>
      <c r="H62" s="70"/>
    </row>
    <row r="63" spans="1:18" x14ac:dyDescent="0.2">
      <c r="A63" s="40"/>
      <c r="B63" s="37"/>
      <c r="C63" s="36"/>
      <c r="D63" s="36"/>
    </row>
    <row r="64" spans="1:18" x14ac:dyDescent="0.2">
      <c r="A64" s="40"/>
      <c r="B64" s="37"/>
      <c r="C64" s="36"/>
      <c r="D64" s="36"/>
    </row>
    <row r="65" spans="1:4" x14ac:dyDescent="0.2">
      <c r="A65" s="40"/>
      <c r="B65" s="37"/>
      <c r="C65" s="36"/>
      <c r="D65" s="36"/>
    </row>
    <row r="66" spans="1:4" x14ac:dyDescent="0.2">
      <c r="A66" s="40"/>
      <c r="B66" s="37"/>
      <c r="C66" s="36"/>
      <c r="D66" s="36"/>
    </row>
    <row r="67" spans="1:4" x14ac:dyDescent="0.2">
      <c r="A67" s="40"/>
      <c r="B67" s="37"/>
      <c r="C67" s="36"/>
      <c r="D67" s="36"/>
    </row>
    <row r="68" spans="1:4" x14ac:dyDescent="0.2">
      <c r="A68" s="40"/>
      <c r="B68" s="37"/>
      <c r="C68" s="36"/>
      <c r="D68" s="36"/>
    </row>
    <row r="69" spans="1:4" x14ac:dyDescent="0.2">
      <c r="A69" s="40"/>
      <c r="B69" s="37"/>
      <c r="C69" s="36"/>
    </row>
    <row r="70" spans="1:4" x14ac:dyDescent="0.2">
      <c r="A70" s="40"/>
      <c r="B70" s="37"/>
      <c r="C70" s="36"/>
    </row>
    <row r="71" spans="1:4" x14ac:dyDescent="0.2">
      <c r="A71" s="40"/>
      <c r="B71" s="37"/>
      <c r="C71" s="36"/>
    </row>
    <row r="72" spans="1:4" x14ac:dyDescent="0.2">
      <c r="A72" s="40"/>
      <c r="B72" s="37"/>
      <c r="C72" s="36"/>
    </row>
    <row r="73" spans="1:4" x14ac:dyDescent="0.2">
      <c r="A73" s="40"/>
      <c r="B73" s="37"/>
      <c r="C73" s="36"/>
    </row>
    <row r="74" spans="1:4" x14ac:dyDescent="0.2">
      <c r="A74" s="40"/>
      <c r="B74" s="37"/>
      <c r="C74" s="36"/>
    </row>
    <row r="75" spans="1:4" x14ac:dyDescent="0.2">
      <c r="A75" s="40"/>
      <c r="C75" s="36"/>
    </row>
    <row r="76" spans="1:4" x14ac:dyDescent="0.2">
      <c r="A76" s="40"/>
      <c r="C76" s="36"/>
    </row>
    <row r="77" spans="1:4" x14ac:dyDescent="0.2">
      <c r="A77" s="40"/>
      <c r="C77" s="36"/>
    </row>
    <row r="78" spans="1:4" x14ac:dyDescent="0.2">
      <c r="A78" s="40"/>
      <c r="C78" s="36"/>
    </row>
    <row r="79" spans="1:4" x14ac:dyDescent="0.2">
      <c r="A79" s="40"/>
      <c r="C79" s="36"/>
    </row>
    <row r="80" spans="1:4" x14ac:dyDescent="0.2">
      <c r="A80" s="40"/>
    </row>
    <row r="81" spans="1:1" x14ac:dyDescent="0.2">
      <c r="A81" s="40"/>
    </row>
    <row r="82" spans="1:1" x14ac:dyDescent="0.2">
      <c r="A82" s="40"/>
    </row>
    <row r="83" spans="1:1" x14ac:dyDescent="0.2">
      <c r="A83" s="40"/>
    </row>
    <row r="84" spans="1:1" x14ac:dyDescent="0.2">
      <c r="A84" s="40"/>
    </row>
    <row r="85" spans="1:1" x14ac:dyDescent="0.2">
      <c r="A85" s="40"/>
    </row>
    <row r="86" spans="1:1" x14ac:dyDescent="0.2">
      <c r="A86" s="40"/>
    </row>
    <row r="87" spans="1:1" x14ac:dyDescent="0.2">
      <c r="A87" s="40"/>
    </row>
    <row r="88" spans="1:1" x14ac:dyDescent="0.2">
      <c r="A88" s="40"/>
    </row>
    <row r="89" spans="1:1" x14ac:dyDescent="0.2">
      <c r="A89" s="40"/>
    </row>
    <row r="90" spans="1:1" x14ac:dyDescent="0.2">
      <c r="A90" s="40"/>
    </row>
    <row r="91" spans="1:1" x14ac:dyDescent="0.2">
      <c r="A91" s="40"/>
    </row>
    <row r="92" spans="1:1" x14ac:dyDescent="0.2">
      <c r="A92" s="40"/>
    </row>
    <row r="93" spans="1:1" x14ac:dyDescent="0.2">
      <c r="A93" s="40"/>
    </row>
    <row r="94" spans="1:1" x14ac:dyDescent="0.2">
      <c r="A94" s="40"/>
    </row>
    <row r="95" spans="1:1" x14ac:dyDescent="0.2">
      <c r="A95" s="40"/>
    </row>
    <row r="96" spans="1:1" x14ac:dyDescent="0.2">
      <c r="A96" s="40"/>
    </row>
    <row r="97" spans="1:1" x14ac:dyDescent="0.2">
      <c r="A97" s="40"/>
    </row>
    <row r="98" spans="1:1" x14ac:dyDescent="0.2">
      <c r="A98" s="40"/>
    </row>
    <row r="99" spans="1:1" x14ac:dyDescent="0.2">
      <c r="A99" s="40"/>
    </row>
    <row r="100" spans="1:1" x14ac:dyDescent="0.2">
      <c r="A100" s="40"/>
    </row>
    <row r="101" spans="1:1" x14ac:dyDescent="0.2">
      <c r="A101" s="40"/>
    </row>
    <row r="102" spans="1:1" x14ac:dyDescent="0.2">
      <c r="A102" s="40"/>
    </row>
    <row r="103" spans="1:1" x14ac:dyDescent="0.2">
      <c r="A103" s="40"/>
    </row>
    <row r="104" spans="1:1" x14ac:dyDescent="0.2">
      <c r="A104" s="40"/>
    </row>
    <row r="105" spans="1:1" x14ac:dyDescent="0.2">
      <c r="A105" s="40"/>
    </row>
    <row r="106" spans="1:1" x14ac:dyDescent="0.2">
      <c r="A106" s="40"/>
    </row>
    <row r="107" spans="1:1" x14ac:dyDescent="0.2">
      <c r="A107" s="40"/>
    </row>
    <row r="108" spans="1:1" x14ac:dyDescent="0.2">
      <c r="A108" s="40"/>
    </row>
    <row r="109" spans="1:1" x14ac:dyDescent="0.2">
      <c r="A109" s="40"/>
    </row>
    <row r="110" spans="1:1" x14ac:dyDescent="0.2">
      <c r="A110" s="40"/>
    </row>
    <row r="111" spans="1:1" x14ac:dyDescent="0.2">
      <c r="A111" s="40"/>
    </row>
    <row r="112" spans="1:1" x14ac:dyDescent="0.2">
      <c r="A112" s="40"/>
    </row>
    <row r="113" spans="1:1" x14ac:dyDescent="0.2">
      <c r="A113" s="40"/>
    </row>
    <row r="114" spans="1:1" x14ac:dyDescent="0.2">
      <c r="A114" s="40"/>
    </row>
    <row r="115" spans="1:1" x14ac:dyDescent="0.2">
      <c r="A115" s="40"/>
    </row>
    <row r="116" spans="1:1" x14ac:dyDescent="0.2">
      <c r="A116" s="40"/>
    </row>
    <row r="117" spans="1:1" x14ac:dyDescent="0.2">
      <c r="A117" s="40"/>
    </row>
    <row r="118" spans="1:1" x14ac:dyDescent="0.2">
      <c r="A118" s="40"/>
    </row>
    <row r="119" spans="1:1" x14ac:dyDescent="0.2">
      <c r="A119" s="40"/>
    </row>
    <row r="120" spans="1:1" x14ac:dyDescent="0.2">
      <c r="A120" s="40"/>
    </row>
    <row r="121" spans="1:1" x14ac:dyDescent="0.2">
      <c r="A121" s="40"/>
    </row>
    <row r="122" spans="1:1" x14ac:dyDescent="0.2">
      <c r="A122" s="40"/>
    </row>
    <row r="123" spans="1:1" x14ac:dyDescent="0.2">
      <c r="A123" s="40"/>
    </row>
    <row r="124" spans="1:1" x14ac:dyDescent="0.2">
      <c r="A124" s="40"/>
    </row>
    <row r="125" spans="1:1" x14ac:dyDescent="0.2">
      <c r="A125" s="40"/>
    </row>
    <row r="126" spans="1:1" x14ac:dyDescent="0.2">
      <c r="A126" s="40"/>
    </row>
    <row r="127" spans="1:1" x14ac:dyDescent="0.2">
      <c r="A127" s="40"/>
    </row>
    <row r="128" spans="1:1" x14ac:dyDescent="0.2">
      <c r="A128" s="40"/>
    </row>
    <row r="129" spans="1:1" x14ac:dyDescent="0.2">
      <c r="A129" s="40"/>
    </row>
    <row r="130" spans="1:1" x14ac:dyDescent="0.2">
      <c r="A130" s="40"/>
    </row>
    <row r="131" spans="1:1" x14ac:dyDescent="0.2">
      <c r="A131" s="40"/>
    </row>
    <row r="132" spans="1:1" x14ac:dyDescent="0.2">
      <c r="A132" s="40"/>
    </row>
    <row r="133" spans="1:1" x14ac:dyDescent="0.2">
      <c r="A133" s="40"/>
    </row>
    <row r="134" spans="1:1" x14ac:dyDescent="0.2">
      <c r="A134" s="40"/>
    </row>
    <row r="135" spans="1:1" x14ac:dyDescent="0.2">
      <c r="A135" s="40"/>
    </row>
    <row r="136" spans="1:1" x14ac:dyDescent="0.2">
      <c r="A136" s="40"/>
    </row>
    <row r="137" spans="1:1" x14ac:dyDescent="0.2">
      <c r="A137" s="40"/>
    </row>
    <row r="138" spans="1:1" x14ac:dyDescent="0.2">
      <c r="A138" s="40"/>
    </row>
    <row r="139" spans="1:1" x14ac:dyDescent="0.2">
      <c r="A139" s="40"/>
    </row>
    <row r="140" spans="1:1" x14ac:dyDescent="0.2">
      <c r="A140" s="40"/>
    </row>
    <row r="141" spans="1:1" x14ac:dyDescent="0.2">
      <c r="A141" s="40"/>
    </row>
    <row r="142" spans="1:1" x14ac:dyDescent="0.2">
      <c r="A142" s="40"/>
    </row>
    <row r="143" spans="1:1" x14ac:dyDescent="0.2">
      <c r="A143" s="40"/>
    </row>
    <row r="144" spans="1:1" x14ac:dyDescent="0.2">
      <c r="A144" s="40"/>
    </row>
    <row r="145" spans="1:1" x14ac:dyDescent="0.2">
      <c r="A145" s="40"/>
    </row>
    <row r="146" spans="1:1" x14ac:dyDescent="0.2">
      <c r="A146" s="40"/>
    </row>
    <row r="147" spans="1:1" x14ac:dyDescent="0.2">
      <c r="A147" s="40"/>
    </row>
    <row r="148" spans="1:1" x14ac:dyDescent="0.2">
      <c r="A148" s="40"/>
    </row>
    <row r="149" spans="1:1" x14ac:dyDescent="0.2">
      <c r="A149" s="40"/>
    </row>
    <row r="150" spans="1:1" x14ac:dyDescent="0.2">
      <c r="A150" s="40"/>
    </row>
    <row r="151" spans="1:1" x14ac:dyDescent="0.2">
      <c r="A151" s="40"/>
    </row>
    <row r="152" spans="1:1" x14ac:dyDescent="0.2">
      <c r="A152" s="40"/>
    </row>
    <row r="153" spans="1:1" x14ac:dyDescent="0.2">
      <c r="A153" s="40"/>
    </row>
    <row r="154" spans="1:1" x14ac:dyDescent="0.2">
      <c r="A154" s="40"/>
    </row>
    <row r="155" spans="1:1" x14ac:dyDescent="0.2">
      <c r="A155" s="40"/>
    </row>
    <row r="156" spans="1:1" x14ac:dyDescent="0.2">
      <c r="A156" s="40"/>
    </row>
    <row r="157" spans="1:1" x14ac:dyDescent="0.2">
      <c r="A157" s="40"/>
    </row>
    <row r="158" spans="1:1" x14ac:dyDescent="0.2">
      <c r="A158" s="40"/>
    </row>
    <row r="159" spans="1:1" x14ac:dyDescent="0.2">
      <c r="A159" s="40"/>
    </row>
    <row r="160" spans="1:1" x14ac:dyDescent="0.2">
      <c r="A160" s="40"/>
    </row>
    <row r="161" spans="1:1" x14ac:dyDescent="0.2">
      <c r="A161" s="40"/>
    </row>
    <row r="162" spans="1:1" x14ac:dyDescent="0.2">
      <c r="A162" s="40"/>
    </row>
    <row r="163" spans="1:1" x14ac:dyDescent="0.2">
      <c r="A163" s="40"/>
    </row>
    <row r="164" spans="1:1" x14ac:dyDescent="0.2">
      <c r="A164" s="40"/>
    </row>
    <row r="165" spans="1:1" x14ac:dyDescent="0.2">
      <c r="A165" s="40"/>
    </row>
    <row r="166" spans="1:1" x14ac:dyDescent="0.2">
      <c r="A166" s="40"/>
    </row>
    <row r="167" spans="1:1" x14ac:dyDescent="0.2">
      <c r="A167" s="40"/>
    </row>
    <row r="168" spans="1:1" x14ac:dyDescent="0.2">
      <c r="A168" s="40"/>
    </row>
    <row r="169" spans="1:1" x14ac:dyDescent="0.2">
      <c r="A169" s="40"/>
    </row>
    <row r="170" spans="1:1" x14ac:dyDescent="0.2">
      <c r="A170" s="40"/>
    </row>
    <row r="171" spans="1:1" x14ac:dyDescent="0.2">
      <c r="A171" s="40"/>
    </row>
    <row r="172" spans="1:1" x14ac:dyDescent="0.2">
      <c r="A172" s="40"/>
    </row>
    <row r="173" spans="1:1" x14ac:dyDescent="0.2">
      <c r="A173" s="40"/>
    </row>
    <row r="174" spans="1:1" x14ac:dyDescent="0.2">
      <c r="A174" s="40"/>
    </row>
    <row r="175" spans="1:1" x14ac:dyDescent="0.2">
      <c r="A175" s="40"/>
    </row>
    <row r="176" spans="1:1" x14ac:dyDescent="0.2">
      <c r="A176" s="40"/>
    </row>
    <row r="177" spans="1:1" x14ac:dyDescent="0.2">
      <c r="A177" s="40"/>
    </row>
    <row r="178" spans="1:1" x14ac:dyDescent="0.2">
      <c r="A178" s="40"/>
    </row>
    <row r="179" spans="1:1" x14ac:dyDescent="0.2">
      <c r="A179" s="40"/>
    </row>
    <row r="180" spans="1:1" x14ac:dyDescent="0.2">
      <c r="A180" s="40"/>
    </row>
    <row r="181" spans="1:1" x14ac:dyDescent="0.2">
      <c r="A181" s="40"/>
    </row>
    <row r="182" spans="1:1" x14ac:dyDescent="0.2">
      <c r="A182" s="40"/>
    </row>
    <row r="183" spans="1:1" x14ac:dyDescent="0.2">
      <c r="A183" s="40"/>
    </row>
    <row r="184" spans="1:1" x14ac:dyDescent="0.2">
      <c r="A184" s="40"/>
    </row>
    <row r="185" spans="1:1" x14ac:dyDescent="0.2">
      <c r="A185" s="40"/>
    </row>
    <row r="186" spans="1:1" x14ac:dyDescent="0.2">
      <c r="A186" s="40"/>
    </row>
    <row r="187" spans="1:1" x14ac:dyDescent="0.2">
      <c r="A187" s="40"/>
    </row>
    <row r="188" spans="1:1" x14ac:dyDescent="0.2">
      <c r="A188" s="40"/>
    </row>
    <row r="189" spans="1:1" x14ac:dyDescent="0.2">
      <c r="A189" s="40"/>
    </row>
    <row r="190" spans="1:1" x14ac:dyDescent="0.2">
      <c r="A190" s="40"/>
    </row>
    <row r="191" spans="1:1" x14ac:dyDescent="0.2">
      <c r="A191" s="40"/>
    </row>
    <row r="192" spans="1:1" x14ac:dyDescent="0.2">
      <c r="A192" s="40"/>
    </row>
    <row r="193" spans="1:1" x14ac:dyDescent="0.2">
      <c r="A193" s="40"/>
    </row>
    <row r="194" spans="1:1" x14ac:dyDescent="0.2">
      <c r="A194" s="40"/>
    </row>
    <row r="195" spans="1:1" x14ac:dyDescent="0.2">
      <c r="A195" s="40"/>
    </row>
    <row r="196" spans="1:1" x14ac:dyDescent="0.2">
      <c r="A196" s="40"/>
    </row>
    <row r="197" spans="1:1" x14ac:dyDescent="0.2">
      <c r="A197" s="40"/>
    </row>
    <row r="198" spans="1:1" x14ac:dyDescent="0.2">
      <c r="A198" s="40"/>
    </row>
    <row r="199" spans="1:1" x14ac:dyDescent="0.2">
      <c r="A199" s="40"/>
    </row>
    <row r="200" spans="1:1" x14ac:dyDescent="0.2">
      <c r="A200" s="40"/>
    </row>
    <row r="201" spans="1:1" x14ac:dyDescent="0.2">
      <c r="A201" s="40"/>
    </row>
    <row r="202" spans="1:1" x14ac:dyDescent="0.2">
      <c r="A202" s="40"/>
    </row>
    <row r="203" spans="1:1" x14ac:dyDescent="0.2">
      <c r="A203" s="40"/>
    </row>
    <row r="204" spans="1:1" x14ac:dyDescent="0.2">
      <c r="A204" s="40"/>
    </row>
    <row r="205" spans="1:1" x14ac:dyDescent="0.2">
      <c r="A205" s="40"/>
    </row>
    <row r="206" spans="1:1" x14ac:dyDescent="0.2">
      <c r="A206" s="40"/>
    </row>
    <row r="207" spans="1:1" x14ac:dyDescent="0.2">
      <c r="A207" s="40"/>
    </row>
    <row r="208" spans="1:1" x14ac:dyDescent="0.2">
      <c r="A208" s="40"/>
    </row>
    <row r="209" spans="1:1" x14ac:dyDescent="0.2">
      <c r="A209" s="40"/>
    </row>
    <row r="210" spans="1:1" x14ac:dyDescent="0.2">
      <c r="A210" s="40"/>
    </row>
    <row r="211" spans="1:1" x14ac:dyDescent="0.2">
      <c r="A211" s="40"/>
    </row>
    <row r="212" spans="1:1" x14ac:dyDescent="0.2">
      <c r="A212" s="40"/>
    </row>
    <row r="213" spans="1:1" x14ac:dyDescent="0.2">
      <c r="A213" s="40"/>
    </row>
    <row r="214" spans="1:1" x14ac:dyDescent="0.2">
      <c r="A214" s="40"/>
    </row>
    <row r="215" spans="1:1" x14ac:dyDescent="0.2">
      <c r="A215" s="40"/>
    </row>
    <row r="216" spans="1:1" x14ac:dyDescent="0.2">
      <c r="A216" s="40"/>
    </row>
    <row r="217" spans="1:1" x14ac:dyDescent="0.2">
      <c r="A217" s="40"/>
    </row>
    <row r="218" spans="1:1" x14ac:dyDescent="0.2">
      <c r="A218" s="40"/>
    </row>
    <row r="219" spans="1:1" x14ac:dyDescent="0.2">
      <c r="A219" s="40"/>
    </row>
    <row r="220" spans="1:1" x14ac:dyDescent="0.2">
      <c r="A220" s="40"/>
    </row>
    <row r="221" spans="1:1" x14ac:dyDescent="0.2">
      <c r="A221" s="40"/>
    </row>
    <row r="222" spans="1:1" x14ac:dyDescent="0.2">
      <c r="A222" s="40"/>
    </row>
    <row r="223" spans="1:1" x14ac:dyDescent="0.2">
      <c r="A223" s="40"/>
    </row>
    <row r="224" spans="1:1" x14ac:dyDescent="0.2">
      <c r="A224" s="40"/>
    </row>
    <row r="225" spans="1:1" x14ac:dyDescent="0.2">
      <c r="A225" s="40"/>
    </row>
    <row r="226" spans="1:1" x14ac:dyDescent="0.2">
      <c r="A226" s="40"/>
    </row>
    <row r="227" spans="1:1" x14ac:dyDescent="0.2">
      <c r="A227" s="40"/>
    </row>
    <row r="228" spans="1:1" x14ac:dyDescent="0.2">
      <c r="A228" s="40"/>
    </row>
    <row r="229" spans="1:1" x14ac:dyDescent="0.2">
      <c r="A229" s="40"/>
    </row>
    <row r="230" spans="1:1" x14ac:dyDescent="0.2">
      <c r="A230" s="40"/>
    </row>
    <row r="231" spans="1:1" x14ac:dyDescent="0.2">
      <c r="A231" s="40"/>
    </row>
    <row r="232" spans="1:1" x14ac:dyDescent="0.2">
      <c r="A232" s="40"/>
    </row>
    <row r="233" spans="1:1" x14ac:dyDescent="0.2">
      <c r="A233" s="40"/>
    </row>
    <row r="234" spans="1:1" x14ac:dyDescent="0.2">
      <c r="A234" s="40"/>
    </row>
    <row r="235" spans="1:1" x14ac:dyDescent="0.2">
      <c r="A235" s="40"/>
    </row>
    <row r="236" spans="1:1" x14ac:dyDescent="0.2">
      <c r="A236" s="40"/>
    </row>
    <row r="237" spans="1:1" x14ac:dyDescent="0.2">
      <c r="A237" s="40"/>
    </row>
    <row r="238" spans="1:1" x14ac:dyDescent="0.2">
      <c r="A238" s="40"/>
    </row>
    <row r="239" spans="1:1" x14ac:dyDescent="0.2">
      <c r="A239" s="40"/>
    </row>
    <row r="240" spans="1:1" x14ac:dyDescent="0.2">
      <c r="A240" s="40"/>
    </row>
    <row r="241" spans="1:1" x14ac:dyDescent="0.2">
      <c r="A241" s="40"/>
    </row>
    <row r="242" spans="1:1" x14ac:dyDescent="0.2">
      <c r="A242" s="40"/>
    </row>
    <row r="243" spans="1:1" x14ac:dyDescent="0.2">
      <c r="A243" s="40"/>
    </row>
    <row r="244" spans="1:1" x14ac:dyDescent="0.2">
      <c r="A244" s="40"/>
    </row>
    <row r="245" spans="1:1" x14ac:dyDescent="0.2">
      <c r="A245" s="40"/>
    </row>
    <row r="246" spans="1:1" x14ac:dyDescent="0.2">
      <c r="A246" s="40"/>
    </row>
    <row r="247" spans="1:1" x14ac:dyDescent="0.2">
      <c r="A247" s="40"/>
    </row>
    <row r="248" spans="1:1" x14ac:dyDescent="0.2">
      <c r="A248" s="40"/>
    </row>
    <row r="249" spans="1:1" x14ac:dyDescent="0.2">
      <c r="A249" s="40"/>
    </row>
    <row r="250" spans="1:1" x14ac:dyDescent="0.2">
      <c r="A250" s="40"/>
    </row>
    <row r="251" spans="1:1" x14ac:dyDescent="0.2">
      <c r="A251" s="40"/>
    </row>
    <row r="252" spans="1:1" x14ac:dyDescent="0.2">
      <c r="A252" s="40"/>
    </row>
    <row r="253" spans="1:1" x14ac:dyDescent="0.2">
      <c r="A253" s="40"/>
    </row>
    <row r="254" spans="1:1" x14ac:dyDescent="0.2">
      <c r="A254" s="40"/>
    </row>
    <row r="255" spans="1:1" x14ac:dyDescent="0.2">
      <c r="A255" s="40"/>
    </row>
    <row r="256" spans="1:1" x14ac:dyDescent="0.2">
      <c r="A256" s="40"/>
    </row>
    <row r="257" spans="1:1" x14ac:dyDescent="0.2">
      <c r="A257" s="40"/>
    </row>
    <row r="258" spans="1:1" x14ac:dyDescent="0.2">
      <c r="A258" s="40"/>
    </row>
    <row r="259" spans="1:1" x14ac:dyDescent="0.2">
      <c r="A259" s="40"/>
    </row>
    <row r="260" spans="1:1" x14ac:dyDescent="0.2">
      <c r="A260" s="40"/>
    </row>
    <row r="261" spans="1:1" x14ac:dyDescent="0.2">
      <c r="A261" s="40"/>
    </row>
    <row r="262" spans="1:1" x14ac:dyDescent="0.2">
      <c r="A262" s="40"/>
    </row>
    <row r="263" spans="1:1" x14ac:dyDescent="0.2">
      <c r="A263" s="40"/>
    </row>
    <row r="264" spans="1:1" x14ac:dyDescent="0.2">
      <c r="A264" s="40"/>
    </row>
    <row r="265" spans="1:1" x14ac:dyDescent="0.2">
      <c r="A265" s="40"/>
    </row>
    <row r="266" spans="1:1" x14ac:dyDescent="0.2">
      <c r="A266" s="40"/>
    </row>
    <row r="267" spans="1:1" x14ac:dyDescent="0.2">
      <c r="A267" s="40"/>
    </row>
    <row r="268" spans="1:1" x14ac:dyDescent="0.2">
      <c r="A268" s="40"/>
    </row>
    <row r="269" spans="1:1" x14ac:dyDescent="0.2">
      <c r="A269" s="40"/>
    </row>
    <row r="270" spans="1:1" x14ac:dyDescent="0.2">
      <c r="A270" s="40"/>
    </row>
    <row r="271" spans="1:1" x14ac:dyDescent="0.2">
      <c r="A271" s="40"/>
    </row>
    <row r="272" spans="1:1" x14ac:dyDescent="0.2">
      <c r="A272" s="40"/>
    </row>
    <row r="273" spans="1:1" x14ac:dyDescent="0.2">
      <c r="A273" s="40"/>
    </row>
    <row r="274" spans="1:1" x14ac:dyDescent="0.2">
      <c r="A274" s="40"/>
    </row>
    <row r="275" spans="1:1" x14ac:dyDescent="0.2">
      <c r="A275" s="40"/>
    </row>
    <row r="276" spans="1:1" x14ac:dyDescent="0.2">
      <c r="A276" s="40"/>
    </row>
    <row r="277" spans="1:1" x14ac:dyDescent="0.2">
      <c r="A277" s="40"/>
    </row>
    <row r="278" spans="1:1" x14ac:dyDescent="0.2">
      <c r="A278" s="40"/>
    </row>
    <row r="279" spans="1:1" x14ac:dyDescent="0.2">
      <c r="A279" s="40"/>
    </row>
    <row r="280" spans="1:1" x14ac:dyDescent="0.2">
      <c r="A280" s="40"/>
    </row>
    <row r="281" spans="1:1" x14ac:dyDescent="0.2">
      <c r="A281" s="40"/>
    </row>
    <row r="282" spans="1:1" x14ac:dyDescent="0.2">
      <c r="A282" s="40"/>
    </row>
    <row r="283" spans="1:1" x14ac:dyDescent="0.2">
      <c r="A283" s="40"/>
    </row>
    <row r="284" spans="1:1" x14ac:dyDescent="0.2">
      <c r="A284" s="40"/>
    </row>
    <row r="285" spans="1:1" x14ac:dyDescent="0.2">
      <c r="A285" s="40"/>
    </row>
    <row r="286" spans="1:1" x14ac:dyDescent="0.2">
      <c r="A286" s="40"/>
    </row>
    <row r="287" spans="1:1" x14ac:dyDescent="0.2">
      <c r="A287" s="40"/>
    </row>
    <row r="288" spans="1:1" x14ac:dyDescent="0.2">
      <c r="A288" s="40"/>
    </row>
    <row r="289" spans="1:1" x14ac:dyDescent="0.2">
      <c r="A289" s="40"/>
    </row>
    <row r="290" spans="1:1" x14ac:dyDescent="0.2">
      <c r="A290" s="40"/>
    </row>
    <row r="291" spans="1:1" x14ac:dyDescent="0.2">
      <c r="A291" s="40"/>
    </row>
    <row r="292" spans="1:1" x14ac:dyDescent="0.2">
      <c r="A292" s="40"/>
    </row>
    <row r="293" spans="1:1" x14ac:dyDescent="0.2">
      <c r="A293" s="40"/>
    </row>
    <row r="294" spans="1:1" x14ac:dyDescent="0.2">
      <c r="A294" s="40"/>
    </row>
    <row r="295" spans="1:1" x14ac:dyDescent="0.2">
      <c r="A295" s="40"/>
    </row>
    <row r="296" spans="1:1" x14ac:dyDescent="0.2">
      <c r="A296" s="40"/>
    </row>
    <row r="297" spans="1:1" x14ac:dyDescent="0.2">
      <c r="A297" s="40"/>
    </row>
    <row r="298" spans="1:1" x14ac:dyDescent="0.2">
      <c r="A298" s="40"/>
    </row>
    <row r="299" spans="1:1" x14ac:dyDescent="0.2">
      <c r="A299" s="40"/>
    </row>
    <row r="300" spans="1:1" x14ac:dyDescent="0.2">
      <c r="A300" s="40"/>
    </row>
    <row r="301" spans="1:1" x14ac:dyDescent="0.2">
      <c r="A301" s="40"/>
    </row>
    <row r="302" spans="1:1" x14ac:dyDescent="0.2">
      <c r="A302" s="40"/>
    </row>
    <row r="303" spans="1:1" x14ac:dyDescent="0.2">
      <c r="A303" s="40"/>
    </row>
    <row r="304" spans="1:1" x14ac:dyDescent="0.2">
      <c r="A304" s="40"/>
    </row>
    <row r="305" spans="1:1" x14ac:dyDescent="0.2">
      <c r="A305" s="40"/>
    </row>
    <row r="306" spans="1:1" x14ac:dyDescent="0.2">
      <c r="A306" s="40"/>
    </row>
    <row r="307" spans="1:1" x14ac:dyDescent="0.2">
      <c r="A307" s="40"/>
    </row>
    <row r="308" spans="1:1" x14ac:dyDescent="0.2">
      <c r="A308" s="40"/>
    </row>
    <row r="309" spans="1:1" x14ac:dyDescent="0.2">
      <c r="A309" s="40"/>
    </row>
    <row r="310" spans="1:1" x14ac:dyDescent="0.2">
      <c r="A310" s="40"/>
    </row>
    <row r="311" spans="1:1" x14ac:dyDescent="0.2">
      <c r="A311" s="40"/>
    </row>
    <row r="312" spans="1:1" x14ac:dyDescent="0.2">
      <c r="A312" s="40"/>
    </row>
    <row r="313" spans="1:1" x14ac:dyDescent="0.2">
      <c r="A313" s="40"/>
    </row>
    <row r="314" spans="1:1" x14ac:dyDescent="0.2">
      <c r="A314" s="40"/>
    </row>
    <row r="315" spans="1:1" x14ac:dyDescent="0.2">
      <c r="A315" s="40"/>
    </row>
    <row r="316" spans="1:1" x14ac:dyDescent="0.2">
      <c r="A316" s="40"/>
    </row>
    <row r="317" spans="1:1" x14ac:dyDescent="0.2">
      <c r="A317" s="40"/>
    </row>
    <row r="318" spans="1:1" x14ac:dyDescent="0.2">
      <c r="A318" s="40"/>
    </row>
    <row r="319" spans="1:1" x14ac:dyDescent="0.2">
      <c r="A319" s="40"/>
    </row>
    <row r="320" spans="1:1" x14ac:dyDescent="0.2">
      <c r="A320" s="40"/>
    </row>
    <row r="321" spans="1:1" x14ac:dyDescent="0.2">
      <c r="A321" s="40"/>
    </row>
    <row r="322" spans="1:1" x14ac:dyDescent="0.2">
      <c r="A322" s="40"/>
    </row>
    <row r="323" spans="1:1" x14ac:dyDescent="0.2">
      <c r="A323" s="40"/>
    </row>
    <row r="324" spans="1:1" x14ac:dyDescent="0.2">
      <c r="A324" s="40"/>
    </row>
    <row r="325" spans="1:1" x14ac:dyDescent="0.2">
      <c r="A325" s="40"/>
    </row>
    <row r="326" spans="1:1" x14ac:dyDescent="0.2">
      <c r="A326" s="40"/>
    </row>
    <row r="327" spans="1:1" x14ac:dyDescent="0.2">
      <c r="A327" s="40"/>
    </row>
    <row r="328" spans="1:1" x14ac:dyDescent="0.2">
      <c r="A328" s="40"/>
    </row>
    <row r="329" spans="1:1" x14ac:dyDescent="0.2">
      <c r="A329" s="40"/>
    </row>
    <row r="330" spans="1:1" x14ac:dyDescent="0.2">
      <c r="A330" s="40"/>
    </row>
    <row r="331" spans="1:1" x14ac:dyDescent="0.2">
      <c r="A331" s="40"/>
    </row>
    <row r="332" spans="1:1" x14ac:dyDescent="0.2">
      <c r="A332" s="40"/>
    </row>
    <row r="333" spans="1:1" x14ac:dyDescent="0.2">
      <c r="A333" s="40"/>
    </row>
    <row r="334" spans="1:1" x14ac:dyDescent="0.2">
      <c r="A334" s="40"/>
    </row>
    <row r="335" spans="1:1" x14ac:dyDescent="0.2">
      <c r="A335" s="40"/>
    </row>
    <row r="336" spans="1:1" x14ac:dyDescent="0.2">
      <c r="A336" s="40"/>
    </row>
    <row r="337" spans="1:1" x14ac:dyDescent="0.2">
      <c r="A337" s="40"/>
    </row>
    <row r="338" spans="1:1" x14ac:dyDescent="0.2">
      <c r="A338" s="40"/>
    </row>
    <row r="339" spans="1:1" x14ac:dyDescent="0.2">
      <c r="A339" s="40"/>
    </row>
    <row r="340" spans="1:1" x14ac:dyDescent="0.2">
      <c r="A340" s="40"/>
    </row>
    <row r="341" spans="1:1" x14ac:dyDescent="0.2">
      <c r="A341" s="40"/>
    </row>
    <row r="342" spans="1:1" x14ac:dyDescent="0.2">
      <c r="A342" s="40"/>
    </row>
    <row r="343" spans="1:1" x14ac:dyDescent="0.2">
      <c r="A343" s="40"/>
    </row>
    <row r="344" spans="1:1" x14ac:dyDescent="0.2">
      <c r="A344" s="40"/>
    </row>
    <row r="345" spans="1:1" x14ac:dyDescent="0.2">
      <c r="A345" s="40"/>
    </row>
    <row r="346" spans="1:1" x14ac:dyDescent="0.2">
      <c r="A346" s="40"/>
    </row>
    <row r="347" spans="1:1" x14ac:dyDescent="0.2">
      <c r="A347" s="40"/>
    </row>
    <row r="348" spans="1:1" x14ac:dyDescent="0.2">
      <c r="A348" s="40"/>
    </row>
    <row r="349" spans="1:1" x14ac:dyDescent="0.2">
      <c r="A349" s="40"/>
    </row>
    <row r="350" spans="1:1" x14ac:dyDescent="0.2">
      <c r="A350" s="40"/>
    </row>
    <row r="351" spans="1:1" x14ac:dyDescent="0.2">
      <c r="A351" s="40"/>
    </row>
    <row r="352" spans="1:1" x14ac:dyDescent="0.2">
      <c r="A352" s="40"/>
    </row>
    <row r="353" spans="1:1" x14ac:dyDescent="0.2">
      <c r="A353" s="40"/>
    </row>
    <row r="354" spans="1:1" x14ac:dyDescent="0.2">
      <c r="A354" s="40"/>
    </row>
    <row r="355" spans="1:1" x14ac:dyDescent="0.2">
      <c r="A355" s="40"/>
    </row>
    <row r="356" spans="1:1" x14ac:dyDescent="0.2">
      <c r="A356" s="40"/>
    </row>
    <row r="357" spans="1:1" x14ac:dyDescent="0.2">
      <c r="A357" s="40"/>
    </row>
    <row r="358" spans="1:1" x14ac:dyDescent="0.2">
      <c r="A358" s="40"/>
    </row>
    <row r="359" spans="1:1" x14ac:dyDescent="0.2">
      <c r="A359" s="40"/>
    </row>
    <row r="360" spans="1:1" x14ac:dyDescent="0.2">
      <c r="A360" s="40"/>
    </row>
    <row r="361" spans="1:1" x14ac:dyDescent="0.2">
      <c r="A361" s="40"/>
    </row>
    <row r="362" spans="1:1" x14ac:dyDescent="0.2">
      <c r="A362" s="40"/>
    </row>
    <row r="363" spans="1:1" x14ac:dyDescent="0.2">
      <c r="A363" s="40"/>
    </row>
    <row r="364" spans="1:1" x14ac:dyDescent="0.2">
      <c r="A364" s="40"/>
    </row>
    <row r="365" spans="1:1" x14ac:dyDescent="0.2">
      <c r="A365" s="40"/>
    </row>
    <row r="366" spans="1:1" x14ac:dyDescent="0.2">
      <c r="A366" s="40"/>
    </row>
    <row r="367" spans="1:1" x14ac:dyDescent="0.2">
      <c r="A367" s="40"/>
    </row>
    <row r="368" spans="1:1" x14ac:dyDescent="0.2">
      <c r="A368" s="40"/>
    </row>
    <row r="369" spans="1:1" x14ac:dyDescent="0.2">
      <c r="A369" s="40"/>
    </row>
    <row r="370" spans="1:1" x14ac:dyDescent="0.2">
      <c r="A370" s="40"/>
    </row>
    <row r="371" spans="1:1" x14ac:dyDescent="0.2">
      <c r="A371" s="40"/>
    </row>
    <row r="372" spans="1:1" x14ac:dyDescent="0.2">
      <c r="A372" s="40"/>
    </row>
    <row r="373" spans="1:1" x14ac:dyDescent="0.2">
      <c r="A373" s="40"/>
    </row>
    <row r="374" spans="1:1" x14ac:dyDescent="0.2">
      <c r="A374" s="40"/>
    </row>
    <row r="375" spans="1:1" x14ac:dyDescent="0.2">
      <c r="A375" s="40"/>
    </row>
    <row r="376" spans="1:1" x14ac:dyDescent="0.2">
      <c r="A376" s="40"/>
    </row>
    <row r="377" spans="1:1" x14ac:dyDescent="0.2">
      <c r="A377" s="40"/>
    </row>
  </sheetData>
  <pageMargins left="0.7" right="0.7" top="0.75" bottom="0.75" header="0.3" footer="0.3"/>
  <pageSetup scale="9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62"/>
  <sheetViews>
    <sheetView workbookViewId="0"/>
  </sheetViews>
  <sheetFormatPr defaultColWidth="9.21875" defaultRowHeight="10.199999999999999" x14ac:dyDescent="0.2"/>
  <cols>
    <col min="1" max="1" width="14.21875" style="42" bestFit="1" customWidth="1"/>
    <col min="2" max="8" width="11.21875" style="36" customWidth="1"/>
    <col min="9" max="16384" width="9.21875" style="36"/>
  </cols>
  <sheetData>
    <row r="1" spans="1:8" s="24" customFormat="1" ht="15.6" x14ac:dyDescent="0.3">
      <c r="A1" s="85" t="s">
        <v>88</v>
      </c>
      <c r="B1" s="85"/>
      <c r="C1" s="85"/>
      <c r="D1" s="85"/>
      <c r="E1" s="85"/>
      <c r="F1" s="85"/>
      <c r="G1" s="85"/>
      <c r="H1" s="85"/>
    </row>
    <row r="2" spans="1:8" s="24" customFormat="1" ht="12.75" customHeight="1" x14ac:dyDescent="0.25">
      <c r="A2" s="87" t="str">
        <f>'Oct23'!$A$2</f>
        <v>Temporary Assistance for Needy Families (TANF)</v>
      </c>
      <c r="B2" s="87"/>
      <c r="C2" s="87"/>
      <c r="D2" s="87"/>
      <c r="E2" s="87"/>
      <c r="F2" s="87"/>
      <c r="G2" s="87"/>
      <c r="H2" s="87"/>
    </row>
    <row r="3" spans="1:8" s="27" customFormat="1" ht="30.6" x14ac:dyDescent="0.2">
      <c r="A3" s="25" t="s">
        <v>1</v>
      </c>
      <c r="B3" s="26" t="s">
        <v>66</v>
      </c>
      <c r="C3" s="26" t="s">
        <v>67</v>
      </c>
      <c r="D3" s="26" t="s">
        <v>68</v>
      </c>
      <c r="E3" s="26" t="s">
        <v>69</v>
      </c>
      <c r="F3" s="26" t="s">
        <v>70</v>
      </c>
      <c r="G3" s="26" t="s">
        <v>71</v>
      </c>
      <c r="H3" s="26" t="s">
        <v>72</v>
      </c>
    </row>
    <row r="4" spans="1:8" s="29" customFormat="1" x14ac:dyDescent="0.2">
      <c r="A4" s="7" t="s">
        <v>2</v>
      </c>
      <c r="B4" s="28">
        <f>TFam!H5</f>
        <v>830038</v>
      </c>
      <c r="C4" s="28">
        <f>'Two-par'!H5</f>
        <v>55811</v>
      </c>
      <c r="D4" s="28">
        <f>'One-par'!H5</f>
        <v>429016</v>
      </c>
      <c r="E4" s="28">
        <f>'Zero-par'!H5</f>
        <v>345211</v>
      </c>
      <c r="F4" s="28">
        <f>TRec!H5</f>
        <v>2027090</v>
      </c>
      <c r="G4" s="28">
        <f>Adults!H5</f>
        <v>550073</v>
      </c>
      <c r="H4" s="28">
        <f>Children!H5</f>
        <v>1477017</v>
      </c>
    </row>
    <row r="5" spans="1:8" s="31" customFormat="1" ht="11.25" customHeight="1" x14ac:dyDescent="0.2">
      <c r="A5" s="38" t="s">
        <v>3</v>
      </c>
      <c r="B5" s="30">
        <f>TFam!H6</f>
        <v>5686</v>
      </c>
      <c r="C5" s="30">
        <f>'Two-par'!H6</f>
        <v>29</v>
      </c>
      <c r="D5" s="30">
        <f>'One-par'!H6</f>
        <v>2354</v>
      </c>
      <c r="E5" s="30">
        <f>'Zero-par'!H6</f>
        <v>3303</v>
      </c>
      <c r="F5" s="30">
        <f>TRec!H6</f>
        <v>13314</v>
      </c>
      <c r="G5" s="30">
        <f>Adults!H6</f>
        <v>2464</v>
      </c>
      <c r="H5" s="30">
        <f>Children!H6</f>
        <v>10850</v>
      </c>
    </row>
    <row r="6" spans="1:8" s="31" customFormat="1" ht="11.25" customHeight="1" x14ac:dyDescent="0.2">
      <c r="A6" s="38" t="s">
        <v>4</v>
      </c>
      <c r="B6" s="32">
        <f>TFam!H7</f>
        <v>1345</v>
      </c>
      <c r="C6" s="32">
        <f>'Two-par'!H7</f>
        <v>179</v>
      </c>
      <c r="D6" s="32">
        <f>'One-par'!H7</f>
        <v>787</v>
      </c>
      <c r="E6" s="32">
        <f>'Zero-par'!H7</f>
        <v>379</v>
      </c>
      <c r="F6" s="32">
        <f>TRec!H7</f>
        <v>3719</v>
      </c>
      <c r="G6" s="32">
        <f>Adults!H7</f>
        <v>1190</v>
      </c>
      <c r="H6" s="32">
        <f>Children!H7</f>
        <v>2529</v>
      </c>
    </row>
    <row r="7" spans="1:8" s="31" customFormat="1" ht="11.25" customHeight="1" x14ac:dyDescent="0.2">
      <c r="A7" s="38" t="s">
        <v>5</v>
      </c>
      <c r="B7" s="32">
        <f>TFam!H8</f>
        <v>4930</v>
      </c>
      <c r="C7" s="32">
        <f>'Two-par'!H8</f>
        <v>343</v>
      </c>
      <c r="D7" s="32">
        <f>'One-par'!H8</f>
        <v>1295</v>
      </c>
      <c r="E7" s="32">
        <f>'Zero-par'!H8</f>
        <v>3292</v>
      </c>
      <c r="F7" s="32">
        <f>TRec!H8</f>
        <v>10310</v>
      </c>
      <c r="G7" s="32">
        <f>Adults!H8</f>
        <v>2000</v>
      </c>
      <c r="H7" s="32">
        <f>Children!H8</f>
        <v>8310</v>
      </c>
    </row>
    <row r="8" spans="1:8" s="31" customFormat="1" ht="11.25" customHeight="1" x14ac:dyDescent="0.2">
      <c r="A8" s="38" t="s">
        <v>6</v>
      </c>
      <c r="B8" s="32">
        <f>TFam!H9</f>
        <v>911</v>
      </c>
      <c r="C8" s="32">
        <f>'Two-par'!H9</f>
        <v>42</v>
      </c>
      <c r="D8" s="32">
        <f>'One-par'!H9</f>
        <v>501</v>
      </c>
      <c r="E8" s="32">
        <f>'Zero-par'!H9</f>
        <v>368</v>
      </c>
      <c r="F8" s="32">
        <f>TRec!H9</f>
        <v>2265</v>
      </c>
      <c r="G8" s="32">
        <f>Adults!H9</f>
        <v>585</v>
      </c>
      <c r="H8" s="32">
        <f>Children!H9</f>
        <v>1680</v>
      </c>
    </row>
    <row r="9" spans="1:8" s="31" customFormat="1" ht="11.25" customHeight="1" x14ac:dyDescent="0.2">
      <c r="A9" s="38" t="s">
        <v>7</v>
      </c>
      <c r="B9" s="30">
        <f>TFam!H10</f>
        <v>282901</v>
      </c>
      <c r="C9" s="30">
        <f>'Two-par'!H10</f>
        <v>35800</v>
      </c>
      <c r="D9" s="30">
        <f>'One-par'!H10</f>
        <v>148668</v>
      </c>
      <c r="E9" s="30">
        <f>'Zero-par'!H10</f>
        <v>98433</v>
      </c>
      <c r="F9" s="30">
        <f>TRec!H10</f>
        <v>749953</v>
      </c>
      <c r="G9" s="30">
        <f>Adults!H10</f>
        <v>202846</v>
      </c>
      <c r="H9" s="30">
        <f>Children!H10</f>
        <v>547107</v>
      </c>
    </row>
    <row r="10" spans="1:8" s="31" customFormat="1" ht="11.25" customHeight="1" x14ac:dyDescent="0.2">
      <c r="A10" s="38" t="s">
        <v>8</v>
      </c>
      <c r="B10" s="32">
        <f>TFam!H11</f>
        <v>12250</v>
      </c>
      <c r="C10" s="32">
        <f>'Two-par'!H11</f>
        <v>0</v>
      </c>
      <c r="D10" s="32">
        <f>'One-par'!H11</f>
        <v>8027</v>
      </c>
      <c r="E10" s="32">
        <f>'Zero-par'!H11</f>
        <v>4223</v>
      </c>
      <c r="F10" s="32">
        <f>TRec!H11</f>
        <v>29950</v>
      </c>
      <c r="G10" s="32">
        <f>Adults!H11</f>
        <v>8308</v>
      </c>
      <c r="H10" s="32">
        <f>Children!H11</f>
        <v>21642</v>
      </c>
    </row>
    <row r="11" spans="1:8" s="31" customFormat="1" ht="11.25" customHeight="1" x14ac:dyDescent="0.2">
      <c r="A11" s="38" t="s">
        <v>9</v>
      </c>
      <c r="B11" s="30">
        <f>TFam!H12</f>
        <v>5021</v>
      </c>
      <c r="C11" s="30">
        <f>'Two-par'!H12</f>
        <v>0</v>
      </c>
      <c r="D11" s="30">
        <f>'One-par'!H12</f>
        <v>1951</v>
      </c>
      <c r="E11" s="30">
        <f>'Zero-par'!H12</f>
        <v>3070</v>
      </c>
      <c r="F11" s="30">
        <f>TRec!H12</f>
        <v>11956</v>
      </c>
      <c r="G11" s="30">
        <f>Adults!H12</f>
        <v>3435</v>
      </c>
      <c r="H11" s="30">
        <f>Children!H12</f>
        <v>8521</v>
      </c>
    </row>
    <row r="12" spans="1:8" s="31" customFormat="1" ht="11.25" customHeight="1" x14ac:dyDescent="0.2">
      <c r="A12" s="38" t="s">
        <v>10</v>
      </c>
      <c r="B12" s="30">
        <f>TFam!H13</f>
        <v>2460</v>
      </c>
      <c r="C12" s="30">
        <f>'Two-par'!H13</f>
        <v>3</v>
      </c>
      <c r="D12" s="30">
        <f>'One-par'!H13</f>
        <v>593</v>
      </c>
      <c r="E12" s="30">
        <f>'Zero-par'!H13</f>
        <v>1864</v>
      </c>
      <c r="F12" s="30">
        <f>TRec!H13</f>
        <v>6894</v>
      </c>
      <c r="G12" s="30">
        <f>Adults!H13</f>
        <v>2808</v>
      </c>
      <c r="H12" s="30">
        <f>Children!H13</f>
        <v>4086</v>
      </c>
    </row>
    <row r="13" spans="1:8" s="31" customFormat="1" ht="11.25" customHeight="1" x14ac:dyDescent="0.2">
      <c r="A13" s="38" t="s">
        <v>11</v>
      </c>
      <c r="B13" s="30">
        <f>TFam!H14</f>
        <v>4694</v>
      </c>
      <c r="C13" s="30">
        <f>'Two-par'!H14</f>
        <v>0</v>
      </c>
      <c r="D13" s="30">
        <f>'One-par'!H14</f>
        <v>3289</v>
      </c>
      <c r="E13" s="30">
        <f>'Zero-par'!H14</f>
        <v>1405</v>
      </c>
      <c r="F13" s="30">
        <f>TRec!H14</f>
        <v>15101</v>
      </c>
      <c r="G13" s="30">
        <f>Adults!H14</f>
        <v>3289</v>
      </c>
      <c r="H13" s="30">
        <f>Children!H14</f>
        <v>11812</v>
      </c>
    </row>
    <row r="14" spans="1:8" s="31" customFormat="1" ht="11.25" customHeight="1" x14ac:dyDescent="0.2">
      <c r="A14" s="38" t="s">
        <v>12</v>
      </c>
      <c r="B14" s="30">
        <f>TFam!H15</f>
        <v>29046</v>
      </c>
      <c r="C14" s="30">
        <f>'Two-par'!H15</f>
        <v>4699</v>
      </c>
      <c r="D14" s="30">
        <f>'One-par'!H15</f>
        <v>6966</v>
      </c>
      <c r="E14" s="30">
        <f>'Zero-par'!H15</f>
        <v>17381</v>
      </c>
      <c r="F14" s="30">
        <f>TRec!H15</f>
        <v>57180</v>
      </c>
      <c r="G14" s="30">
        <f>Adults!H15</f>
        <v>19060</v>
      </c>
      <c r="H14" s="30">
        <f>Children!H15</f>
        <v>38120</v>
      </c>
    </row>
    <row r="15" spans="1:8" s="31" customFormat="1" ht="11.25" customHeight="1" x14ac:dyDescent="0.2">
      <c r="A15" s="38" t="s">
        <v>13</v>
      </c>
      <c r="B15" s="30">
        <f>TFam!H16</f>
        <v>4024</v>
      </c>
      <c r="C15" s="30">
        <f>'Two-par'!H16</f>
        <v>0</v>
      </c>
      <c r="D15" s="30">
        <f>'One-par'!H16</f>
        <v>136</v>
      </c>
      <c r="E15" s="30">
        <f>'Zero-par'!H16</f>
        <v>3888</v>
      </c>
      <c r="F15" s="30">
        <f>TRec!H16</f>
        <v>6952</v>
      </c>
      <c r="G15" s="30">
        <f>Adults!H16</f>
        <v>133</v>
      </c>
      <c r="H15" s="30">
        <f>Children!H16</f>
        <v>6819</v>
      </c>
    </row>
    <row r="16" spans="1:8" s="31" customFormat="1" ht="11.25" customHeight="1" x14ac:dyDescent="0.2">
      <c r="A16" s="38" t="s">
        <v>14</v>
      </c>
      <c r="B16" s="32">
        <f>TFam!H17</f>
        <v>194</v>
      </c>
      <c r="C16" s="32">
        <f>'Two-par'!H17</f>
        <v>7</v>
      </c>
      <c r="D16" s="32">
        <f>'One-par'!H17</f>
        <v>53</v>
      </c>
      <c r="E16" s="32">
        <f>'Zero-par'!H17</f>
        <v>134</v>
      </c>
      <c r="F16" s="32">
        <f>TRec!H17</f>
        <v>452</v>
      </c>
      <c r="G16" s="32">
        <f>Adults!H17</f>
        <v>69</v>
      </c>
      <c r="H16" s="32">
        <f>Children!H17</f>
        <v>383</v>
      </c>
    </row>
    <row r="17" spans="1:8" s="31" customFormat="1" ht="11.25" customHeight="1" x14ac:dyDescent="0.2">
      <c r="A17" s="38" t="s">
        <v>15</v>
      </c>
      <c r="B17" s="30">
        <f>TFam!H18</f>
        <v>2658</v>
      </c>
      <c r="C17" s="30">
        <f>'Two-par'!H18</f>
        <v>371</v>
      </c>
      <c r="D17" s="30">
        <f>'One-par'!H18</f>
        <v>1673</v>
      </c>
      <c r="E17" s="30">
        <f>'Zero-par'!H18</f>
        <v>614</v>
      </c>
      <c r="F17" s="30">
        <f>TRec!H18</f>
        <v>7267</v>
      </c>
      <c r="G17" s="30">
        <f>Adults!H18</f>
        <v>2146</v>
      </c>
      <c r="H17" s="30">
        <f>Children!H18</f>
        <v>5121</v>
      </c>
    </row>
    <row r="18" spans="1:8" s="31" customFormat="1" ht="11.25" customHeight="1" x14ac:dyDescent="0.2">
      <c r="A18" s="38" t="s">
        <v>16</v>
      </c>
      <c r="B18" s="32">
        <f>TFam!H19</f>
        <v>1487</v>
      </c>
      <c r="C18" s="32">
        <f>'Two-par'!H19</f>
        <v>0</v>
      </c>
      <c r="D18" s="32">
        <f>'One-par'!H19</f>
        <v>21</v>
      </c>
      <c r="E18" s="32">
        <f>'Zero-par'!H19</f>
        <v>1466</v>
      </c>
      <c r="F18" s="32">
        <f>TRec!H19</f>
        <v>2012</v>
      </c>
      <c r="G18" s="32">
        <f>Adults!H19</f>
        <v>21</v>
      </c>
      <c r="H18" s="32">
        <f>Children!H19</f>
        <v>1991</v>
      </c>
    </row>
    <row r="19" spans="1:8" s="31" customFormat="1" ht="11.25" customHeight="1" x14ac:dyDescent="0.2">
      <c r="A19" s="38" t="s">
        <v>17</v>
      </c>
      <c r="B19" s="30">
        <f>TFam!H20</f>
        <v>9915</v>
      </c>
      <c r="C19" s="30">
        <f>'Two-par'!H20</f>
        <v>0</v>
      </c>
      <c r="D19" s="30">
        <f>'One-par'!H20</f>
        <v>2297</v>
      </c>
      <c r="E19" s="30">
        <f>'Zero-par'!H20</f>
        <v>7618</v>
      </c>
      <c r="F19" s="30">
        <f>TRec!H20</f>
        <v>20051</v>
      </c>
      <c r="G19" s="30">
        <f>Adults!H20</f>
        <v>2520</v>
      </c>
      <c r="H19" s="30">
        <f>Children!H20</f>
        <v>17531</v>
      </c>
    </row>
    <row r="20" spans="1:8" s="31" customFormat="1" ht="11.25" customHeight="1" x14ac:dyDescent="0.2">
      <c r="A20" s="38" t="s">
        <v>18</v>
      </c>
      <c r="B20" s="30">
        <f>TFam!H21</f>
        <v>5302</v>
      </c>
      <c r="C20" s="30">
        <f>'Two-par'!H21</f>
        <v>834</v>
      </c>
      <c r="D20" s="30">
        <f>'One-par'!H21</f>
        <v>1952</v>
      </c>
      <c r="E20" s="30">
        <f>'Zero-par'!H21</f>
        <v>2516</v>
      </c>
      <c r="F20" s="30">
        <f>TRec!H21</f>
        <v>12538</v>
      </c>
      <c r="G20" s="30">
        <f>Adults!H21</f>
        <v>3168</v>
      </c>
      <c r="H20" s="30">
        <f>Children!H21</f>
        <v>9370</v>
      </c>
    </row>
    <row r="21" spans="1:8" s="31" customFormat="1" ht="11.25" customHeight="1" x14ac:dyDescent="0.2">
      <c r="A21" s="38" t="s">
        <v>19</v>
      </c>
      <c r="B21" s="30">
        <f>TFam!H22</f>
        <v>3997</v>
      </c>
      <c r="C21" s="30">
        <f>'Two-par'!H22</f>
        <v>221</v>
      </c>
      <c r="D21" s="30">
        <f>'One-par'!H22</f>
        <v>1872</v>
      </c>
      <c r="E21" s="30">
        <f>'Zero-par'!H22</f>
        <v>1904</v>
      </c>
      <c r="F21" s="30">
        <f>TRec!H22</f>
        <v>9962</v>
      </c>
      <c r="G21" s="30">
        <f>Adults!H22</f>
        <v>2349</v>
      </c>
      <c r="H21" s="30">
        <f>Children!H22</f>
        <v>7613</v>
      </c>
    </row>
    <row r="22" spans="1:8" s="31" customFormat="1" ht="11.25" customHeight="1" x14ac:dyDescent="0.2">
      <c r="A22" s="38" t="s">
        <v>20</v>
      </c>
      <c r="B22" s="32">
        <f>TFam!H23</f>
        <v>2897</v>
      </c>
      <c r="C22" s="32">
        <f>'Two-par'!H23</f>
        <v>270</v>
      </c>
      <c r="D22" s="32">
        <f>'One-par'!H23</f>
        <v>1355</v>
      </c>
      <c r="E22" s="32">
        <f>'Zero-par'!H23</f>
        <v>1272</v>
      </c>
      <c r="F22" s="32">
        <f>TRec!H23</f>
        <v>2897</v>
      </c>
      <c r="G22" s="32">
        <f>Adults!H23</f>
        <v>1448</v>
      </c>
      <c r="H22" s="32">
        <f>Children!H23</f>
        <v>1449</v>
      </c>
    </row>
    <row r="23" spans="1:8" s="31" customFormat="1" ht="11.25" customHeight="1" x14ac:dyDescent="0.2">
      <c r="A23" s="38" t="s">
        <v>21</v>
      </c>
      <c r="B23" s="32">
        <f>TFam!H24</f>
        <v>14602</v>
      </c>
      <c r="C23" s="32">
        <f>'Two-par'!H24</f>
        <v>996</v>
      </c>
      <c r="D23" s="32">
        <f>'One-par'!H24</f>
        <v>5301</v>
      </c>
      <c r="E23" s="32">
        <f>'Zero-par'!H24</f>
        <v>8305</v>
      </c>
      <c r="F23" s="32">
        <f>TRec!H24</f>
        <v>33263</v>
      </c>
      <c r="G23" s="32">
        <f>Adults!H24</f>
        <v>7473</v>
      </c>
      <c r="H23" s="32">
        <f>Children!H24</f>
        <v>25790</v>
      </c>
    </row>
    <row r="24" spans="1:8" s="31" customFormat="1" ht="11.25" customHeight="1" x14ac:dyDescent="0.2">
      <c r="A24" s="38" t="s">
        <v>22</v>
      </c>
      <c r="B24" s="32">
        <f>TFam!H25</f>
        <v>4730</v>
      </c>
      <c r="C24" s="32">
        <f>'Two-par'!H25</f>
        <v>0</v>
      </c>
      <c r="D24" s="32">
        <f>'One-par'!H25</f>
        <v>2664</v>
      </c>
      <c r="E24" s="32">
        <f>'Zero-par'!H25</f>
        <v>2066</v>
      </c>
      <c r="F24" s="32">
        <f>TRec!H25</f>
        <v>12147</v>
      </c>
      <c r="G24" s="32">
        <f>Adults!H25</f>
        <v>2294</v>
      </c>
      <c r="H24" s="32">
        <f>Children!H25</f>
        <v>9853</v>
      </c>
    </row>
    <row r="25" spans="1:8" s="31" customFormat="1" ht="11.25" customHeight="1" x14ac:dyDescent="0.2">
      <c r="A25" s="38" t="s">
        <v>23</v>
      </c>
      <c r="B25" s="30">
        <f>TFam!H26</f>
        <v>3662</v>
      </c>
      <c r="C25" s="30">
        <f>'Two-par'!H26</f>
        <v>511</v>
      </c>
      <c r="D25" s="30">
        <f>'One-par'!H26</f>
        <v>2157</v>
      </c>
      <c r="E25" s="30">
        <f>'Zero-par'!H26</f>
        <v>994</v>
      </c>
      <c r="F25" s="30">
        <f>TRec!H26</f>
        <v>9487</v>
      </c>
      <c r="G25" s="30">
        <f>Adults!H26</f>
        <v>3076</v>
      </c>
      <c r="H25" s="30">
        <f>Children!H26</f>
        <v>6411</v>
      </c>
    </row>
    <row r="26" spans="1:8" s="31" customFormat="1" ht="11.25" customHeight="1" x14ac:dyDescent="0.2">
      <c r="A26" s="38" t="s">
        <v>24</v>
      </c>
      <c r="B26" s="30">
        <f>TFam!H27</f>
        <v>12946</v>
      </c>
      <c r="C26" s="30">
        <f>'Two-par'!H27</f>
        <v>0</v>
      </c>
      <c r="D26" s="30">
        <f>'One-par'!H27</f>
        <v>9090</v>
      </c>
      <c r="E26" s="30">
        <f>'Zero-par'!H27</f>
        <v>3856</v>
      </c>
      <c r="F26" s="30">
        <f>TRec!H27</f>
        <v>35288</v>
      </c>
      <c r="G26" s="30">
        <f>Adults!H27</f>
        <v>9795</v>
      </c>
      <c r="H26" s="30">
        <f>Children!H27</f>
        <v>25493</v>
      </c>
    </row>
    <row r="27" spans="1:8" s="31" customFormat="1" ht="11.25" customHeight="1" x14ac:dyDescent="0.2">
      <c r="A27" s="38" t="s">
        <v>25</v>
      </c>
      <c r="B27" s="30">
        <f>TFam!H28</f>
        <v>36152</v>
      </c>
      <c r="C27" s="30">
        <f>'Two-par'!H28</f>
        <v>2245</v>
      </c>
      <c r="D27" s="30">
        <f>'One-par'!H28</f>
        <v>21978</v>
      </c>
      <c r="E27" s="30">
        <f>'Zero-par'!H28</f>
        <v>11929</v>
      </c>
      <c r="F27" s="30">
        <f>TRec!H28</f>
        <v>84658</v>
      </c>
      <c r="G27" s="30">
        <f>Adults!H28</f>
        <v>25357</v>
      </c>
      <c r="H27" s="30">
        <f>Children!H28</f>
        <v>59301</v>
      </c>
    </row>
    <row r="28" spans="1:8" s="31" customFormat="1" ht="11.25" customHeight="1" x14ac:dyDescent="0.2">
      <c r="A28" s="38" t="s">
        <v>26</v>
      </c>
      <c r="B28" s="32">
        <f>TFam!H29</f>
        <v>7783</v>
      </c>
      <c r="C28" s="32">
        <f>'Two-par'!H29</f>
        <v>0</v>
      </c>
      <c r="D28" s="32">
        <f>'One-par'!H29</f>
        <v>3747</v>
      </c>
      <c r="E28" s="32">
        <f>'Zero-par'!H29</f>
        <v>4036</v>
      </c>
      <c r="F28" s="32">
        <f>TRec!H29</f>
        <v>19876</v>
      </c>
      <c r="G28" s="32">
        <f>Adults!H29</f>
        <v>4258</v>
      </c>
      <c r="H28" s="32">
        <f>Children!H29</f>
        <v>15618</v>
      </c>
    </row>
    <row r="29" spans="1:8" s="31" customFormat="1" ht="11.25" customHeight="1" x14ac:dyDescent="0.2">
      <c r="A29" s="38" t="s">
        <v>27</v>
      </c>
      <c r="B29" s="30">
        <f>TFam!H30</f>
        <v>13220</v>
      </c>
      <c r="C29" s="30">
        <f>'Two-par'!H30</f>
        <v>0</v>
      </c>
      <c r="D29" s="30">
        <f>'One-par'!H30</f>
        <v>7608</v>
      </c>
      <c r="E29" s="30">
        <f>'Zero-par'!H30</f>
        <v>5612</v>
      </c>
      <c r="F29" s="30">
        <f>TRec!H30</f>
        <v>30662</v>
      </c>
      <c r="G29" s="30">
        <f>Adults!H30</f>
        <v>7578</v>
      </c>
      <c r="H29" s="30">
        <f>Children!H30</f>
        <v>23084</v>
      </c>
    </row>
    <row r="30" spans="1:8" s="31" customFormat="1" ht="11.25" customHeight="1" x14ac:dyDescent="0.2">
      <c r="A30" s="38" t="s">
        <v>28</v>
      </c>
      <c r="B30" s="32">
        <f>TFam!H31</f>
        <v>1396</v>
      </c>
      <c r="C30" s="32">
        <f>'Two-par'!H31</f>
        <v>0</v>
      </c>
      <c r="D30" s="32">
        <f>'One-par'!H31</f>
        <v>281</v>
      </c>
      <c r="E30" s="32">
        <f>'Zero-par'!H31</f>
        <v>1115</v>
      </c>
      <c r="F30" s="32">
        <f>TRec!H31</f>
        <v>2498</v>
      </c>
      <c r="G30" s="32">
        <f>Adults!H31</f>
        <v>284</v>
      </c>
      <c r="H30" s="32">
        <f>Children!H31</f>
        <v>2214</v>
      </c>
    </row>
    <row r="31" spans="1:8" s="31" customFormat="1" x14ac:dyDescent="0.2">
      <c r="A31" s="38" t="s">
        <v>29</v>
      </c>
      <c r="B31" s="30">
        <f>TFam!H32</f>
        <v>4747</v>
      </c>
      <c r="C31" s="30">
        <f>'Two-par'!H32</f>
        <v>0</v>
      </c>
      <c r="D31" s="30">
        <f>'One-par'!H32</f>
        <v>2658</v>
      </c>
      <c r="E31" s="30">
        <f>'Zero-par'!H32</f>
        <v>2089</v>
      </c>
      <c r="F31" s="30">
        <f>TRec!H32</f>
        <v>11006</v>
      </c>
      <c r="G31" s="30">
        <f>Adults!H32</f>
        <v>2342</v>
      </c>
      <c r="H31" s="30">
        <f>Children!H32</f>
        <v>8664</v>
      </c>
    </row>
    <row r="32" spans="1:8" s="31" customFormat="1" x14ac:dyDescent="0.2">
      <c r="A32" s="38" t="s">
        <v>30</v>
      </c>
      <c r="B32" s="32">
        <f>TFam!H33</f>
        <v>1563</v>
      </c>
      <c r="C32" s="32">
        <f>'Two-par'!H33</f>
        <v>88</v>
      </c>
      <c r="D32" s="32">
        <f>'One-par'!H33</f>
        <v>594</v>
      </c>
      <c r="E32" s="32">
        <f>'Zero-par'!H33</f>
        <v>881</v>
      </c>
      <c r="F32" s="32">
        <f>TRec!H33</f>
        <v>3480</v>
      </c>
      <c r="G32" s="32">
        <f>Adults!H33</f>
        <v>620</v>
      </c>
      <c r="H32" s="32">
        <f>Children!H33</f>
        <v>2860</v>
      </c>
    </row>
    <row r="33" spans="1:8" s="31" customFormat="1" x14ac:dyDescent="0.2">
      <c r="A33" s="38" t="s">
        <v>31</v>
      </c>
      <c r="B33" s="30">
        <f>TFam!H34</f>
        <v>2599</v>
      </c>
      <c r="C33" s="30">
        <f>'Two-par'!H34</f>
        <v>0</v>
      </c>
      <c r="D33" s="30">
        <f>'One-par'!H34</f>
        <v>719</v>
      </c>
      <c r="E33" s="30">
        <f>'Zero-par'!H34</f>
        <v>1880</v>
      </c>
      <c r="F33" s="30">
        <f>TRec!H34</f>
        <v>5879</v>
      </c>
      <c r="G33" s="30">
        <f>Adults!H34</f>
        <v>704</v>
      </c>
      <c r="H33" s="30">
        <f>Children!H34</f>
        <v>5175</v>
      </c>
    </row>
    <row r="34" spans="1:8" s="31" customFormat="1" x14ac:dyDescent="0.2">
      <c r="A34" s="38" t="s">
        <v>32</v>
      </c>
      <c r="B34" s="30">
        <f>TFam!H35</f>
        <v>5342</v>
      </c>
      <c r="C34" s="30">
        <f>'Two-par'!H35</f>
        <v>480</v>
      </c>
      <c r="D34" s="30">
        <f>'One-par'!H35</f>
        <v>2230</v>
      </c>
      <c r="E34" s="30">
        <f>'Zero-par'!H35</f>
        <v>2632</v>
      </c>
      <c r="F34" s="30">
        <f>TRec!H35</f>
        <v>13292</v>
      </c>
      <c r="G34" s="30">
        <f>Adults!H35</f>
        <v>3385</v>
      </c>
      <c r="H34" s="30">
        <f>Children!H35</f>
        <v>9907</v>
      </c>
    </row>
    <row r="35" spans="1:8" s="31" customFormat="1" x14ac:dyDescent="0.2">
      <c r="A35" s="38" t="s">
        <v>33</v>
      </c>
      <c r="B35" s="30">
        <f>TFam!H36</f>
        <v>2503</v>
      </c>
      <c r="C35" s="30">
        <f>'Two-par'!H36</f>
        <v>1</v>
      </c>
      <c r="D35" s="30">
        <f>'One-par'!H36</f>
        <v>1015</v>
      </c>
      <c r="E35" s="30">
        <f>'Zero-par'!H36</f>
        <v>1487</v>
      </c>
      <c r="F35" s="30">
        <f>TRec!H36</f>
        <v>5067</v>
      </c>
      <c r="G35" s="30">
        <f>Adults!H36</f>
        <v>1062</v>
      </c>
      <c r="H35" s="30">
        <f>Children!H36</f>
        <v>4005</v>
      </c>
    </row>
    <row r="36" spans="1:8" s="31" customFormat="1" x14ac:dyDescent="0.2">
      <c r="A36" s="38" t="s">
        <v>34</v>
      </c>
      <c r="B36" s="30">
        <f>TFam!H37</f>
        <v>9497</v>
      </c>
      <c r="C36" s="30">
        <f>'Two-par'!H37</f>
        <v>71</v>
      </c>
      <c r="D36" s="30">
        <f>'One-par'!H37</f>
        <v>7228</v>
      </c>
      <c r="E36" s="30">
        <f>'Zero-par'!H37</f>
        <v>2198</v>
      </c>
      <c r="F36" s="30">
        <f>TRec!H37</f>
        <v>22903</v>
      </c>
      <c r="G36" s="30">
        <f>Adults!H37</f>
        <v>6802</v>
      </c>
      <c r="H36" s="30">
        <f>Children!H37</f>
        <v>16101</v>
      </c>
    </row>
    <row r="37" spans="1:8" s="31" customFormat="1" x14ac:dyDescent="0.2">
      <c r="A37" s="38" t="s">
        <v>35</v>
      </c>
      <c r="B37" s="32">
        <f>TFam!H38</f>
        <v>7086</v>
      </c>
      <c r="C37" s="32">
        <f>'Two-par'!H38</f>
        <v>429</v>
      </c>
      <c r="D37" s="32">
        <f>'One-par'!H38</f>
        <v>3438</v>
      </c>
      <c r="E37" s="32">
        <f>'Zero-par'!H38</f>
        <v>3219</v>
      </c>
      <c r="F37" s="32">
        <f>TRec!H38</f>
        <v>17192</v>
      </c>
      <c r="G37" s="32">
        <f>Adults!H38</f>
        <v>4296</v>
      </c>
      <c r="H37" s="32">
        <f>Children!H38</f>
        <v>12896</v>
      </c>
    </row>
    <row r="38" spans="1:8" s="31" customFormat="1" x14ac:dyDescent="0.2">
      <c r="A38" s="38" t="s">
        <v>36</v>
      </c>
      <c r="B38" s="30">
        <f>TFam!H39</f>
        <v>129604</v>
      </c>
      <c r="C38" s="30">
        <f>'Two-par'!H39</f>
        <v>1646</v>
      </c>
      <c r="D38" s="30">
        <f>'One-par'!H39</f>
        <v>96386</v>
      </c>
      <c r="E38" s="30">
        <f>'Zero-par'!H39</f>
        <v>31572</v>
      </c>
      <c r="F38" s="30">
        <f>TRec!H39</f>
        <v>335648</v>
      </c>
      <c r="G38" s="30">
        <f>Adults!H39</f>
        <v>119785</v>
      </c>
      <c r="H38" s="30">
        <f>Children!H39</f>
        <v>215863</v>
      </c>
    </row>
    <row r="39" spans="1:8" s="31" customFormat="1" x14ac:dyDescent="0.2">
      <c r="A39" s="38" t="s">
        <v>37</v>
      </c>
      <c r="B39" s="32">
        <f>TFam!H40</f>
        <v>7134</v>
      </c>
      <c r="C39" s="32">
        <f>'Two-par'!H40</f>
        <v>81</v>
      </c>
      <c r="D39" s="32">
        <f>'One-par'!H40</f>
        <v>1021</v>
      </c>
      <c r="E39" s="32">
        <f>'Zero-par'!H40</f>
        <v>6032</v>
      </c>
      <c r="F39" s="32">
        <f>TRec!H40</f>
        <v>12122</v>
      </c>
      <c r="G39" s="32">
        <f>Adults!H40</f>
        <v>1225</v>
      </c>
      <c r="H39" s="32">
        <f>Children!H40</f>
        <v>10897</v>
      </c>
    </row>
    <row r="40" spans="1:8" s="31" customFormat="1" x14ac:dyDescent="0.2">
      <c r="A40" s="38" t="s">
        <v>38</v>
      </c>
      <c r="B40" s="32">
        <f>TFam!H41</f>
        <v>632</v>
      </c>
      <c r="C40" s="32">
        <f>'Two-par'!H41</f>
        <v>0</v>
      </c>
      <c r="D40" s="32">
        <f>'One-par'!H41</f>
        <v>336</v>
      </c>
      <c r="E40" s="32">
        <f>'Zero-par'!H41</f>
        <v>296</v>
      </c>
      <c r="F40" s="32">
        <f>TRec!H41</f>
        <v>1558</v>
      </c>
      <c r="G40" s="32">
        <f>Adults!H41</f>
        <v>277</v>
      </c>
      <c r="H40" s="32">
        <f>Children!H41</f>
        <v>1281</v>
      </c>
    </row>
    <row r="41" spans="1:8" s="31" customFormat="1" x14ac:dyDescent="0.2">
      <c r="A41" s="38" t="s">
        <v>39</v>
      </c>
      <c r="B41" s="32">
        <f>TFam!H42</f>
        <v>39109</v>
      </c>
      <c r="C41" s="32">
        <f>'Two-par'!H42</f>
        <v>758</v>
      </c>
      <c r="D41" s="32">
        <f>'One-par'!H42</f>
        <v>4844</v>
      </c>
      <c r="E41" s="32">
        <f>'Zero-par'!H42</f>
        <v>33507</v>
      </c>
      <c r="F41" s="32">
        <f>TRec!H42</f>
        <v>69580</v>
      </c>
      <c r="G41" s="32">
        <f>Adults!H42</f>
        <v>6891</v>
      </c>
      <c r="H41" s="32">
        <f>Children!H42</f>
        <v>62689</v>
      </c>
    </row>
    <row r="42" spans="1:8" s="31" customFormat="1" x14ac:dyDescent="0.2">
      <c r="A42" s="38" t="s">
        <v>40</v>
      </c>
      <c r="B42" s="32">
        <f>TFam!H43</f>
        <v>3378</v>
      </c>
      <c r="C42" s="32">
        <f>'Two-par'!H43</f>
        <v>0</v>
      </c>
      <c r="D42" s="32">
        <f>'One-par'!H43</f>
        <v>753</v>
      </c>
      <c r="E42" s="32">
        <f>'Zero-par'!H43</f>
        <v>2625</v>
      </c>
      <c r="F42" s="32">
        <f>TRec!H43</f>
        <v>7098</v>
      </c>
      <c r="G42" s="32">
        <f>Adults!H43</f>
        <v>753</v>
      </c>
      <c r="H42" s="32">
        <f>Children!H43</f>
        <v>6345</v>
      </c>
    </row>
    <row r="43" spans="1:8" s="31" customFormat="1" x14ac:dyDescent="0.2">
      <c r="A43" s="38" t="s">
        <v>41</v>
      </c>
      <c r="B43" s="32">
        <f>TFam!H44</f>
        <v>18283</v>
      </c>
      <c r="C43" s="32">
        <f>'Two-par'!H44</f>
        <v>0</v>
      </c>
      <c r="D43" s="32">
        <f>'One-par'!H44</f>
        <v>12175</v>
      </c>
      <c r="E43" s="32">
        <f>'Zero-par'!H44</f>
        <v>6108</v>
      </c>
      <c r="F43" s="32">
        <f>TRec!H44</f>
        <v>41865</v>
      </c>
      <c r="G43" s="32">
        <f>Adults!H44</f>
        <v>12330</v>
      </c>
      <c r="H43" s="32">
        <f>Children!H44</f>
        <v>29535</v>
      </c>
    </row>
    <row r="44" spans="1:8" s="31" customFormat="1" x14ac:dyDescent="0.2">
      <c r="A44" s="38" t="s">
        <v>42</v>
      </c>
      <c r="B44" s="32">
        <f>TFam!H45</f>
        <v>23784</v>
      </c>
      <c r="C44" s="32">
        <f>'Two-par'!H45</f>
        <v>360</v>
      </c>
      <c r="D44" s="32">
        <f>'One-par'!H45</f>
        <v>14796</v>
      </c>
      <c r="E44" s="32">
        <f>'Zero-par'!H45</f>
        <v>8628</v>
      </c>
      <c r="F44" s="32">
        <f>TRec!H45</f>
        <v>58927</v>
      </c>
      <c r="G44" s="32">
        <f>Adults!H45</f>
        <v>14298</v>
      </c>
      <c r="H44" s="32">
        <f>Children!H45</f>
        <v>44629</v>
      </c>
    </row>
    <row r="45" spans="1:8" s="31" customFormat="1" x14ac:dyDescent="0.2">
      <c r="A45" s="38" t="s">
        <v>43</v>
      </c>
      <c r="B45" s="32">
        <f>TFam!H46</f>
        <v>2200</v>
      </c>
      <c r="C45" s="32">
        <f>'Two-par'!H46</f>
        <v>94</v>
      </c>
      <c r="D45" s="32">
        <f>'One-par'!H46</f>
        <v>1953</v>
      </c>
      <c r="E45" s="32">
        <f>'Zero-par'!H46</f>
        <v>153</v>
      </c>
      <c r="F45" s="32">
        <f>TRec!H46</f>
        <v>6068</v>
      </c>
      <c r="G45" s="32">
        <f>Adults!H46</f>
        <v>2268</v>
      </c>
      <c r="H45" s="32">
        <f>Children!H46</f>
        <v>3800</v>
      </c>
    </row>
    <row r="46" spans="1:8" s="31" customFormat="1" x14ac:dyDescent="0.2">
      <c r="A46" s="38" t="s">
        <v>44</v>
      </c>
      <c r="B46" s="30">
        <f>TFam!H47</f>
        <v>3298</v>
      </c>
      <c r="C46" s="30">
        <f>'Two-par'!H47</f>
        <v>223</v>
      </c>
      <c r="D46" s="30">
        <f>'One-par'!H47</f>
        <v>2481</v>
      </c>
      <c r="E46" s="30">
        <f>'Zero-par'!H47</f>
        <v>594</v>
      </c>
      <c r="F46" s="30">
        <f>TRec!H47</f>
        <v>8534</v>
      </c>
      <c r="G46" s="30">
        <f>Adults!H47</f>
        <v>2608</v>
      </c>
      <c r="H46" s="30">
        <f>Children!H47</f>
        <v>5926</v>
      </c>
    </row>
    <row r="47" spans="1:8" s="31" customFormat="1" x14ac:dyDescent="0.2">
      <c r="A47" s="38" t="s">
        <v>45</v>
      </c>
      <c r="B47" s="30">
        <f>TFam!H48</f>
        <v>5460</v>
      </c>
      <c r="C47" s="30">
        <f>'Two-par'!H48</f>
        <v>0</v>
      </c>
      <c r="D47" s="30">
        <f>'One-par'!H48</f>
        <v>2364</v>
      </c>
      <c r="E47" s="30">
        <f>'Zero-par'!H48</f>
        <v>3096</v>
      </c>
      <c r="F47" s="30">
        <f>TRec!H48</f>
        <v>12505</v>
      </c>
      <c r="G47" s="30">
        <f>Adults!H48</f>
        <v>2364</v>
      </c>
      <c r="H47" s="30">
        <f>Children!H48</f>
        <v>10141</v>
      </c>
    </row>
    <row r="48" spans="1:8" s="31" customFormat="1" x14ac:dyDescent="0.2">
      <c r="A48" s="38" t="s">
        <v>46</v>
      </c>
      <c r="B48" s="32">
        <f>TFam!H49</f>
        <v>2477</v>
      </c>
      <c r="C48" s="32">
        <f>'Two-par'!H49</f>
        <v>0</v>
      </c>
      <c r="D48" s="32">
        <f>'One-par'!H49</f>
        <v>397</v>
      </c>
      <c r="E48" s="32">
        <f>'Zero-par'!H49</f>
        <v>2080</v>
      </c>
      <c r="F48" s="32">
        <f>TRec!H49</f>
        <v>4969</v>
      </c>
      <c r="G48" s="32">
        <f>Adults!H49</f>
        <v>397</v>
      </c>
      <c r="H48" s="32">
        <f>Children!H49</f>
        <v>4572</v>
      </c>
    </row>
    <row r="49" spans="1:18" s="31" customFormat="1" x14ac:dyDescent="0.2">
      <c r="A49" s="38" t="s">
        <v>47</v>
      </c>
      <c r="B49" s="30">
        <f>TFam!H50</f>
        <v>11900</v>
      </c>
      <c r="C49" s="30">
        <f>'Two-par'!H50</f>
        <v>248</v>
      </c>
      <c r="D49" s="30">
        <f>'One-par'!H50</f>
        <v>3967</v>
      </c>
      <c r="E49" s="30">
        <f>'Zero-par'!H50</f>
        <v>7685</v>
      </c>
      <c r="F49" s="30">
        <f>TRec!H50</f>
        <v>26629</v>
      </c>
      <c r="G49" s="30">
        <f>Adults!H50</f>
        <v>5749</v>
      </c>
      <c r="H49" s="30">
        <f>Children!H50</f>
        <v>20880</v>
      </c>
    </row>
    <row r="50" spans="1:18" s="31" customFormat="1" x14ac:dyDescent="0.2">
      <c r="A50" s="38" t="s">
        <v>48</v>
      </c>
      <c r="B50" s="30">
        <f>TFam!H51</f>
        <v>9078</v>
      </c>
      <c r="C50" s="30">
        <f>'Two-par'!H51</f>
        <v>0</v>
      </c>
      <c r="D50" s="30">
        <f>'One-par'!H51</f>
        <v>2415</v>
      </c>
      <c r="E50" s="30">
        <f>'Zero-par'!H51</f>
        <v>6663</v>
      </c>
      <c r="F50" s="30">
        <f>TRec!H51</f>
        <v>17631</v>
      </c>
      <c r="G50" s="30">
        <f>Adults!H51</f>
        <v>2415</v>
      </c>
      <c r="H50" s="30">
        <f>Children!H51</f>
        <v>15216</v>
      </c>
    </row>
    <row r="51" spans="1:18" s="31" customFormat="1" x14ac:dyDescent="0.2">
      <c r="A51" s="38" t="s">
        <v>49</v>
      </c>
      <c r="B51" s="30">
        <f>TFam!H52</f>
        <v>1883</v>
      </c>
      <c r="C51" s="30">
        <f>'Two-par'!H52</f>
        <v>0</v>
      </c>
      <c r="D51" s="30">
        <f>'One-par'!H52</f>
        <v>809</v>
      </c>
      <c r="E51" s="30">
        <f>'Zero-par'!H52</f>
        <v>1074</v>
      </c>
      <c r="F51" s="30">
        <f>TRec!H52</f>
        <v>4329</v>
      </c>
      <c r="G51" s="30">
        <f>Adults!H52</f>
        <v>1129</v>
      </c>
      <c r="H51" s="30">
        <f>Children!H52</f>
        <v>3200</v>
      </c>
    </row>
    <row r="52" spans="1:18" s="31" customFormat="1" x14ac:dyDescent="0.2">
      <c r="A52" s="38" t="s">
        <v>50</v>
      </c>
      <c r="B52" s="30">
        <f>TFam!H53</f>
        <v>1633</v>
      </c>
      <c r="C52" s="30">
        <f>'Two-par'!H53</f>
        <v>109</v>
      </c>
      <c r="D52" s="30">
        <f>'One-par'!H53</f>
        <v>588</v>
      </c>
      <c r="E52" s="30">
        <f>'Zero-par'!H53</f>
        <v>936</v>
      </c>
      <c r="F52" s="30">
        <f>TRec!H53</f>
        <v>3422</v>
      </c>
      <c r="G52" s="30">
        <f>Adults!H53</f>
        <v>810</v>
      </c>
      <c r="H52" s="30">
        <f>Children!H53</f>
        <v>2612</v>
      </c>
    </row>
    <row r="53" spans="1:18" s="31" customFormat="1" x14ac:dyDescent="0.2">
      <c r="A53" s="38" t="s">
        <v>51</v>
      </c>
      <c r="B53" s="32">
        <f>TFam!H54</f>
        <v>53</v>
      </c>
      <c r="C53" s="32">
        <f>'Two-par'!H54</f>
        <v>0</v>
      </c>
      <c r="D53" s="32">
        <f>'One-par'!H54</f>
        <v>43</v>
      </c>
      <c r="E53" s="32">
        <f>'Zero-par'!H54</f>
        <v>10</v>
      </c>
      <c r="F53" s="32">
        <f>TRec!H54</f>
        <v>174</v>
      </c>
      <c r="G53" s="32">
        <f>Adults!H54</f>
        <v>53</v>
      </c>
      <c r="H53" s="32">
        <f>Children!H54</f>
        <v>121</v>
      </c>
    </row>
    <row r="54" spans="1:18" s="31" customFormat="1" x14ac:dyDescent="0.2">
      <c r="A54" s="38" t="s">
        <v>52</v>
      </c>
      <c r="B54" s="30">
        <f>TFam!H55</f>
        <v>12853</v>
      </c>
      <c r="C54" s="30">
        <f>'Two-par'!H55</f>
        <v>0</v>
      </c>
      <c r="D54" s="30">
        <f>'One-par'!H55</f>
        <v>6614</v>
      </c>
      <c r="E54" s="30">
        <f>'Zero-par'!H55</f>
        <v>6239</v>
      </c>
      <c r="F54" s="30">
        <f>TRec!H55</f>
        <v>28819</v>
      </c>
      <c r="G54" s="30">
        <f>Adults!H55</f>
        <v>6514</v>
      </c>
      <c r="H54" s="30">
        <f>Children!H55</f>
        <v>22305</v>
      </c>
    </row>
    <row r="55" spans="1:18" s="31" customFormat="1" x14ac:dyDescent="0.2">
      <c r="A55" s="38" t="s">
        <v>53</v>
      </c>
      <c r="B55" s="30">
        <f>TFam!H56</f>
        <v>33323</v>
      </c>
      <c r="C55" s="30">
        <f>'Two-par'!H56</f>
        <v>4572</v>
      </c>
      <c r="D55" s="30">
        <f>'One-par'!H56</f>
        <v>18204</v>
      </c>
      <c r="E55" s="30">
        <f>'Zero-par'!H56</f>
        <v>10547</v>
      </c>
      <c r="F55" s="30">
        <f>TRec!H56</f>
        <v>84055</v>
      </c>
      <c r="G55" s="30">
        <f>Adults!H56</f>
        <v>27816</v>
      </c>
      <c r="H55" s="30">
        <f>Children!H56</f>
        <v>56239</v>
      </c>
    </row>
    <row r="56" spans="1:18" s="31" customFormat="1" x14ac:dyDescent="0.2">
      <c r="A56" s="38" t="s">
        <v>54</v>
      </c>
      <c r="B56" s="32">
        <f>TFam!H57</f>
        <v>4618</v>
      </c>
      <c r="C56" s="32">
        <f>'Two-par'!H57</f>
        <v>0</v>
      </c>
      <c r="D56" s="32">
        <f>'One-par'!H57</f>
        <v>1078</v>
      </c>
      <c r="E56" s="32">
        <f>'Zero-par'!H57</f>
        <v>3540</v>
      </c>
      <c r="F56" s="32">
        <f>TRec!H57</f>
        <v>8988</v>
      </c>
      <c r="G56" s="32">
        <f>Adults!H57</f>
        <v>1528</v>
      </c>
      <c r="H56" s="32">
        <f>Children!H57</f>
        <v>7460</v>
      </c>
    </row>
    <row r="57" spans="1:18" s="31" customFormat="1" x14ac:dyDescent="0.2">
      <c r="A57" s="38" t="s">
        <v>55</v>
      </c>
      <c r="B57" s="30">
        <f>TFam!H58</f>
        <v>11307</v>
      </c>
      <c r="C57" s="30">
        <f>'Two-par'!H58</f>
        <v>81</v>
      </c>
      <c r="D57" s="30">
        <f>'One-par'!H58</f>
        <v>3043</v>
      </c>
      <c r="E57" s="30">
        <f>'Zero-par'!H58</f>
        <v>8183</v>
      </c>
      <c r="F57" s="30">
        <f>TRec!H58</f>
        <v>23499</v>
      </c>
      <c r="G57" s="30">
        <f>Adults!H58</f>
        <v>3406</v>
      </c>
      <c r="H57" s="30">
        <f>Children!H58</f>
        <v>20093</v>
      </c>
    </row>
    <row r="58" spans="1:18" s="31" customFormat="1" x14ac:dyDescent="0.2">
      <c r="A58" s="39" t="s">
        <v>56</v>
      </c>
      <c r="B58" s="33">
        <f>TFam!H59</f>
        <v>485</v>
      </c>
      <c r="C58" s="33">
        <f>'Two-par'!H59</f>
        <v>20</v>
      </c>
      <c r="D58" s="33">
        <f>'One-par'!H59</f>
        <v>251</v>
      </c>
      <c r="E58" s="33">
        <f>'Zero-par'!H59</f>
        <v>214</v>
      </c>
      <c r="F58" s="33">
        <f>TRec!H59</f>
        <v>1199</v>
      </c>
      <c r="G58" s="33">
        <f>Adults!H59</f>
        <v>292</v>
      </c>
      <c r="H58" s="33">
        <f>Children!H59</f>
        <v>907</v>
      </c>
    </row>
    <row r="59" spans="1:18" x14ac:dyDescent="0.2">
      <c r="A59" s="82">
        <f>TFam!$A$3</f>
        <v>45687</v>
      </c>
      <c r="B59" s="71"/>
      <c r="C59" s="71"/>
      <c r="D59" s="71"/>
      <c r="E59" s="71"/>
      <c r="F59" s="71"/>
      <c r="G59" s="71"/>
      <c r="H59" s="71"/>
      <c r="I59" s="58"/>
      <c r="J59" s="58"/>
      <c r="K59" s="58"/>
      <c r="L59" s="58"/>
      <c r="M59" s="58"/>
      <c r="N59" s="58"/>
      <c r="O59" s="58"/>
      <c r="P59" s="58"/>
      <c r="Q59" s="58"/>
      <c r="R59" s="58"/>
    </row>
    <row r="60" spans="1:18" x14ac:dyDescent="0.2">
      <c r="A60" s="74" t="str">
        <f>'Oct23'!A60</f>
        <v xml:space="preserve">    </v>
      </c>
      <c r="B60" s="74"/>
      <c r="C60" s="74"/>
      <c r="D60" s="74"/>
      <c r="E60" s="74"/>
      <c r="F60" s="74"/>
      <c r="G60" s="74"/>
      <c r="H60" s="74"/>
    </row>
    <row r="61" spans="1:18" x14ac:dyDescent="0.2">
      <c r="A61" s="74" t="str">
        <f>'Oct23'!A61</f>
        <v xml:space="preserve">Notes: </v>
      </c>
      <c r="B61" s="74"/>
      <c r="C61" s="74"/>
      <c r="D61" s="74"/>
      <c r="E61" s="74"/>
      <c r="F61" s="74"/>
      <c r="G61" s="74"/>
      <c r="H61" s="74"/>
    </row>
    <row r="62" spans="1:18" x14ac:dyDescent="0.2">
      <c r="A62" s="74" t="str">
        <f>'Oct23'!A62</f>
        <v>"-" - data inapplicable</v>
      </c>
      <c r="B62" s="74"/>
      <c r="C62" s="74"/>
      <c r="D62" s="74"/>
      <c r="E62" s="74"/>
      <c r="F62" s="74"/>
      <c r="G62" s="74"/>
      <c r="H62" s="74"/>
    </row>
  </sheetData>
  <pageMargins left="0.7" right="0.7" top="0.75" bottom="0.75" header="0.3" footer="0.3"/>
  <pageSetup scale="9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62"/>
  <sheetViews>
    <sheetView workbookViewId="0"/>
  </sheetViews>
  <sheetFormatPr defaultColWidth="9.21875" defaultRowHeight="10.199999999999999" x14ac:dyDescent="0.2"/>
  <cols>
    <col min="1" max="1" width="14.21875" style="42" bestFit="1" customWidth="1"/>
    <col min="2" max="8" width="11.21875" style="36" customWidth="1"/>
    <col min="9" max="16384" width="9.21875" style="36"/>
  </cols>
  <sheetData>
    <row r="1" spans="1:8" s="41" customFormat="1" ht="15.6" x14ac:dyDescent="0.3">
      <c r="A1" s="85" t="s">
        <v>104</v>
      </c>
      <c r="B1" s="85"/>
      <c r="C1" s="85"/>
      <c r="D1" s="85"/>
      <c r="E1" s="85"/>
      <c r="F1" s="85"/>
      <c r="G1" s="85"/>
      <c r="H1" s="85"/>
    </row>
    <row r="2" spans="1:8" s="41" customFormat="1" ht="13.2" x14ac:dyDescent="0.25">
      <c r="A2" s="87" t="str">
        <f>'Oct23'!$A$2</f>
        <v>Temporary Assistance for Needy Families (TANF)</v>
      </c>
      <c r="B2" s="87"/>
      <c r="C2" s="87"/>
      <c r="D2" s="87"/>
      <c r="E2" s="87"/>
      <c r="F2" s="87"/>
      <c r="G2" s="87"/>
      <c r="H2" s="87"/>
    </row>
    <row r="3" spans="1:8" s="27" customFormat="1" ht="30.6" x14ac:dyDescent="0.2">
      <c r="A3" s="25" t="s">
        <v>1</v>
      </c>
      <c r="B3" s="26" t="s">
        <v>66</v>
      </c>
      <c r="C3" s="26" t="s">
        <v>67</v>
      </c>
      <c r="D3" s="26" t="s">
        <v>68</v>
      </c>
      <c r="E3" s="26" t="s">
        <v>69</v>
      </c>
      <c r="F3" s="26" t="s">
        <v>70</v>
      </c>
      <c r="G3" s="26" t="s">
        <v>71</v>
      </c>
      <c r="H3" s="26" t="s">
        <v>72</v>
      </c>
    </row>
    <row r="4" spans="1:8" s="29" customFormat="1" x14ac:dyDescent="0.2">
      <c r="A4" s="7" t="s">
        <v>2</v>
      </c>
      <c r="B4" s="28">
        <f>TFam!I5</f>
        <v>835567</v>
      </c>
      <c r="C4" s="28">
        <f>'Two-par'!I5</f>
        <v>56278</v>
      </c>
      <c r="D4" s="28">
        <f>'One-par'!I5</f>
        <v>434037</v>
      </c>
      <c r="E4" s="28">
        <f>'Zero-par'!I5</f>
        <v>345252</v>
      </c>
      <c r="F4" s="28">
        <f>TRec!I5</f>
        <v>2050653</v>
      </c>
      <c r="G4" s="28">
        <f>Adults!I5</f>
        <v>559353</v>
      </c>
      <c r="H4" s="28">
        <f>Children!I5</f>
        <v>1491300</v>
      </c>
    </row>
    <row r="5" spans="1:8" s="31" customFormat="1" ht="11.25" customHeight="1" x14ac:dyDescent="0.2">
      <c r="A5" s="38" t="s">
        <v>3</v>
      </c>
      <c r="B5" s="30">
        <f>TFam!I6</f>
        <v>5668</v>
      </c>
      <c r="C5" s="30">
        <f>'Two-par'!I6</f>
        <v>31</v>
      </c>
      <c r="D5" s="30">
        <f>'One-par'!I6</f>
        <v>2353</v>
      </c>
      <c r="E5" s="30">
        <f>'Zero-par'!I6</f>
        <v>3284</v>
      </c>
      <c r="F5" s="30">
        <f>TRec!I6</f>
        <v>13315</v>
      </c>
      <c r="G5" s="30">
        <f>Adults!I6</f>
        <v>2474</v>
      </c>
      <c r="H5" s="30">
        <f>Children!I6</f>
        <v>10841</v>
      </c>
    </row>
    <row r="6" spans="1:8" s="31" customFormat="1" ht="11.25" customHeight="1" x14ac:dyDescent="0.2">
      <c r="A6" s="38" t="s">
        <v>4</v>
      </c>
      <c r="B6" s="32">
        <f>TFam!I7</f>
        <v>1322</v>
      </c>
      <c r="C6" s="32">
        <f>'Two-par'!I7</f>
        <v>174</v>
      </c>
      <c r="D6" s="32">
        <f>'One-par'!I7</f>
        <v>766</v>
      </c>
      <c r="E6" s="32">
        <f>'Zero-par'!I7</f>
        <v>382</v>
      </c>
      <c r="F6" s="32">
        <f>TRec!I7</f>
        <v>3662</v>
      </c>
      <c r="G6" s="32">
        <f>Adults!I7</f>
        <v>1157</v>
      </c>
      <c r="H6" s="32">
        <f>Children!I7</f>
        <v>2505</v>
      </c>
    </row>
    <row r="7" spans="1:8" s="31" customFormat="1" ht="11.25" customHeight="1" x14ac:dyDescent="0.2">
      <c r="A7" s="38" t="s">
        <v>5</v>
      </c>
      <c r="B7" s="32">
        <f>TFam!I8</f>
        <v>4882</v>
      </c>
      <c r="C7" s="32">
        <f>'Two-par'!I8</f>
        <v>358</v>
      </c>
      <c r="D7" s="32">
        <f>'One-par'!I8</f>
        <v>1284</v>
      </c>
      <c r="E7" s="32">
        <f>'Zero-par'!I8</f>
        <v>3240</v>
      </c>
      <c r="F7" s="32">
        <f>TRec!I8</f>
        <v>10244</v>
      </c>
      <c r="G7" s="32">
        <f>Adults!I8</f>
        <v>2023</v>
      </c>
      <c r="H7" s="32">
        <f>Children!I8</f>
        <v>8221</v>
      </c>
    </row>
    <row r="8" spans="1:8" s="31" customFormat="1" ht="11.25" customHeight="1" x14ac:dyDescent="0.2">
      <c r="A8" s="38" t="s">
        <v>6</v>
      </c>
      <c r="B8" s="32">
        <f>TFam!I9</f>
        <v>879</v>
      </c>
      <c r="C8" s="32">
        <f>'Two-par'!I9</f>
        <v>41</v>
      </c>
      <c r="D8" s="32">
        <f>'One-par'!I9</f>
        <v>488</v>
      </c>
      <c r="E8" s="32">
        <f>'Zero-par'!I9</f>
        <v>350</v>
      </c>
      <c r="F8" s="32">
        <f>TRec!I9</f>
        <v>2182</v>
      </c>
      <c r="G8" s="32">
        <f>Adults!I9</f>
        <v>570</v>
      </c>
      <c r="H8" s="32">
        <f>Children!I9</f>
        <v>1612</v>
      </c>
    </row>
    <row r="9" spans="1:8" s="31" customFormat="1" ht="11.25" customHeight="1" x14ac:dyDescent="0.2">
      <c r="A9" s="38" t="s">
        <v>7</v>
      </c>
      <c r="B9" s="30">
        <f>TFam!I10</f>
        <v>284394</v>
      </c>
      <c r="C9" s="30">
        <f>'Two-par'!I10</f>
        <v>36222</v>
      </c>
      <c r="D9" s="30">
        <f>'One-par'!I10</f>
        <v>149622</v>
      </c>
      <c r="E9" s="30">
        <f>'Zero-par'!I10</f>
        <v>98550</v>
      </c>
      <c r="F9" s="30">
        <f>TRec!I10</f>
        <v>754368</v>
      </c>
      <c r="G9" s="30">
        <f>Adults!I10</f>
        <v>204462</v>
      </c>
      <c r="H9" s="30">
        <f>Children!I10</f>
        <v>549906</v>
      </c>
    </row>
    <row r="10" spans="1:8" s="31" customFormat="1" ht="11.25" customHeight="1" x14ac:dyDescent="0.2">
      <c r="A10" s="38" t="s">
        <v>8</v>
      </c>
      <c r="B10" s="32">
        <f>TFam!I11</f>
        <v>12292</v>
      </c>
      <c r="C10" s="32">
        <f>'Two-par'!I11</f>
        <v>0</v>
      </c>
      <c r="D10" s="32">
        <f>'One-par'!I11</f>
        <v>8090</v>
      </c>
      <c r="E10" s="32">
        <f>'Zero-par'!I11</f>
        <v>4202</v>
      </c>
      <c r="F10" s="32">
        <f>TRec!I11</f>
        <v>29996</v>
      </c>
      <c r="G10" s="32">
        <f>Adults!I11</f>
        <v>8365</v>
      </c>
      <c r="H10" s="32">
        <f>Children!I11</f>
        <v>21631</v>
      </c>
    </row>
    <row r="11" spans="1:8" s="31" customFormat="1" ht="11.25" customHeight="1" x14ac:dyDescent="0.2">
      <c r="A11" s="38" t="s">
        <v>9</v>
      </c>
      <c r="B11" s="30">
        <f>TFam!I12</f>
        <v>5103</v>
      </c>
      <c r="C11" s="30">
        <f>'Two-par'!I12</f>
        <v>0</v>
      </c>
      <c r="D11" s="30">
        <f>'One-par'!I12</f>
        <v>2058</v>
      </c>
      <c r="E11" s="30">
        <f>'Zero-par'!I12</f>
        <v>3045</v>
      </c>
      <c r="F11" s="30">
        <f>TRec!I12</f>
        <v>12196</v>
      </c>
      <c r="G11" s="30">
        <f>Adults!I12</f>
        <v>3532</v>
      </c>
      <c r="H11" s="30">
        <f>Children!I12</f>
        <v>8664</v>
      </c>
    </row>
    <row r="12" spans="1:8" s="31" customFormat="1" ht="11.25" customHeight="1" x14ac:dyDescent="0.2">
      <c r="A12" s="38" t="s">
        <v>10</v>
      </c>
      <c r="B12" s="30">
        <f>TFam!I13</f>
        <v>2455</v>
      </c>
      <c r="C12" s="30">
        <f>'Two-par'!I13</f>
        <v>4</v>
      </c>
      <c r="D12" s="30">
        <f>'One-par'!I13</f>
        <v>582</v>
      </c>
      <c r="E12" s="30">
        <f>'Zero-par'!I13</f>
        <v>1869</v>
      </c>
      <c r="F12" s="30">
        <f>TRec!I13</f>
        <v>6865</v>
      </c>
      <c r="G12" s="30">
        <f>Adults!I13</f>
        <v>2804</v>
      </c>
      <c r="H12" s="30">
        <f>Children!I13</f>
        <v>4061</v>
      </c>
    </row>
    <row r="13" spans="1:8" s="31" customFormat="1" ht="11.25" customHeight="1" x14ac:dyDescent="0.2">
      <c r="A13" s="38" t="s">
        <v>11</v>
      </c>
      <c r="B13" s="30">
        <f>TFam!I14</f>
        <v>4835</v>
      </c>
      <c r="C13" s="30">
        <f>'Two-par'!I14</f>
        <v>0</v>
      </c>
      <c r="D13" s="30">
        <f>'One-par'!I14</f>
        <v>3398</v>
      </c>
      <c r="E13" s="30">
        <f>'Zero-par'!I14</f>
        <v>1437</v>
      </c>
      <c r="F13" s="30">
        <f>TRec!I14</f>
        <v>15525</v>
      </c>
      <c r="G13" s="30">
        <f>Adults!I14</f>
        <v>3398</v>
      </c>
      <c r="H13" s="30">
        <f>Children!I14</f>
        <v>12127</v>
      </c>
    </row>
    <row r="14" spans="1:8" s="31" customFormat="1" ht="11.25" customHeight="1" x14ac:dyDescent="0.2">
      <c r="A14" s="38" t="s">
        <v>12</v>
      </c>
      <c r="B14" s="30">
        <f>TFam!I15</f>
        <v>29042</v>
      </c>
      <c r="C14" s="30">
        <f>'Two-par'!I15</f>
        <v>4537</v>
      </c>
      <c r="D14" s="30">
        <f>'One-par'!I15</f>
        <v>7131</v>
      </c>
      <c r="E14" s="30">
        <f>'Zero-par'!I15</f>
        <v>17374</v>
      </c>
      <c r="F14" s="30">
        <f>TRec!I15</f>
        <v>57058</v>
      </c>
      <c r="G14" s="30">
        <f>Adults!I15</f>
        <v>18977</v>
      </c>
      <c r="H14" s="30">
        <f>Children!I15</f>
        <v>38081</v>
      </c>
    </row>
    <row r="15" spans="1:8" s="31" customFormat="1" ht="11.25" customHeight="1" x14ac:dyDescent="0.2">
      <c r="A15" s="38" t="s">
        <v>13</v>
      </c>
      <c r="B15" s="30">
        <f>TFam!I16</f>
        <v>4038</v>
      </c>
      <c r="C15" s="30">
        <f>'Two-par'!I16</f>
        <v>0</v>
      </c>
      <c r="D15" s="30">
        <f>'One-par'!I16</f>
        <v>143</v>
      </c>
      <c r="E15" s="30">
        <f>'Zero-par'!I16</f>
        <v>3895</v>
      </c>
      <c r="F15" s="30">
        <f>TRec!I16</f>
        <v>6972</v>
      </c>
      <c r="G15" s="30">
        <f>Adults!I16</f>
        <v>140</v>
      </c>
      <c r="H15" s="30">
        <f>Children!I16</f>
        <v>6832</v>
      </c>
    </row>
    <row r="16" spans="1:8" s="31" customFormat="1" ht="11.25" customHeight="1" x14ac:dyDescent="0.2">
      <c r="A16" s="38" t="s">
        <v>14</v>
      </c>
      <c r="B16" s="32">
        <f>TFam!I17</f>
        <v>195</v>
      </c>
      <c r="C16" s="32">
        <f>'Two-par'!I17</f>
        <v>12</v>
      </c>
      <c r="D16" s="32">
        <f>'One-par'!I17</f>
        <v>47</v>
      </c>
      <c r="E16" s="32">
        <f>'Zero-par'!I17</f>
        <v>136</v>
      </c>
      <c r="F16" s="32">
        <f>TRec!I17</f>
        <v>455</v>
      </c>
      <c r="G16" s="32">
        <f>Adults!I17</f>
        <v>72</v>
      </c>
      <c r="H16" s="32">
        <f>Children!I17</f>
        <v>383</v>
      </c>
    </row>
    <row r="17" spans="1:8" s="31" customFormat="1" ht="11.25" customHeight="1" x14ac:dyDescent="0.2">
      <c r="A17" s="38" t="s">
        <v>15</v>
      </c>
      <c r="B17" s="30">
        <f>TFam!I18</f>
        <v>2633</v>
      </c>
      <c r="C17" s="30">
        <f>'Two-par'!I18</f>
        <v>368</v>
      </c>
      <c r="D17" s="30">
        <f>'One-par'!I18</f>
        <v>1655</v>
      </c>
      <c r="E17" s="30">
        <f>'Zero-par'!I18</f>
        <v>610</v>
      </c>
      <c r="F17" s="30">
        <f>TRec!I18</f>
        <v>7228</v>
      </c>
      <c r="G17" s="30">
        <f>Adults!I18</f>
        <v>2124</v>
      </c>
      <c r="H17" s="30">
        <f>Children!I18</f>
        <v>5104</v>
      </c>
    </row>
    <row r="18" spans="1:8" s="31" customFormat="1" ht="11.25" customHeight="1" x14ac:dyDescent="0.2">
      <c r="A18" s="38" t="s">
        <v>16</v>
      </c>
      <c r="B18" s="32">
        <f>TFam!I19</f>
        <v>1476</v>
      </c>
      <c r="C18" s="32">
        <f>'Two-par'!I19</f>
        <v>0</v>
      </c>
      <c r="D18" s="32">
        <f>'One-par'!I19</f>
        <v>20</v>
      </c>
      <c r="E18" s="32">
        <f>'Zero-par'!I19</f>
        <v>1456</v>
      </c>
      <c r="F18" s="32">
        <f>TRec!I19</f>
        <v>2010</v>
      </c>
      <c r="G18" s="32">
        <f>Adults!I19</f>
        <v>20</v>
      </c>
      <c r="H18" s="32">
        <f>Children!I19</f>
        <v>1990</v>
      </c>
    </row>
    <row r="19" spans="1:8" s="31" customFormat="1" ht="11.25" customHeight="1" x14ac:dyDescent="0.2">
      <c r="A19" s="38" t="s">
        <v>17</v>
      </c>
      <c r="B19" s="30">
        <f>TFam!I20</f>
        <v>9793</v>
      </c>
      <c r="C19" s="30">
        <f>'Two-par'!I20</f>
        <v>0</v>
      </c>
      <c r="D19" s="30">
        <f>'One-par'!I20</f>
        <v>2184</v>
      </c>
      <c r="E19" s="30">
        <f>'Zero-par'!I20</f>
        <v>7609</v>
      </c>
      <c r="F19" s="30">
        <f>TRec!I20</f>
        <v>19887</v>
      </c>
      <c r="G19" s="30">
        <f>Adults!I20</f>
        <v>2486</v>
      </c>
      <c r="H19" s="30">
        <f>Children!I20</f>
        <v>17401</v>
      </c>
    </row>
    <row r="20" spans="1:8" s="31" customFormat="1" ht="11.25" customHeight="1" x14ac:dyDescent="0.2">
      <c r="A20" s="38" t="s">
        <v>18</v>
      </c>
      <c r="B20" s="30">
        <f>TFam!I21</f>
        <v>5224</v>
      </c>
      <c r="C20" s="30">
        <f>'Two-par'!I21</f>
        <v>790</v>
      </c>
      <c r="D20" s="30">
        <f>'One-par'!I21</f>
        <v>1961</v>
      </c>
      <c r="E20" s="30">
        <f>'Zero-par'!I21</f>
        <v>2473</v>
      </c>
      <c r="F20" s="30">
        <f>TRec!I21</f>
        <v>12259</v>
      </c>
      <c r="G20" s="30">
        <f>Adults!I21</f>
        <v>3111</v>
      </c>
      <c r="H20" s="30">
        <f>Children!I21</f>
        <v>9148</v>
      </c>
    </row>
    <row r="21" spans="1:8" s="31" customFormat="1" ht="11.25" customHeight="1" x14ac:dyDescent="0.2">
      <c r="A21" s="38" t="s">
        <v>19</v>
      </c>
      <c r="B21" s="30">
        <f>TFam!I22</f>
        <v>4045</v>
      </c>
      <c r="C21" s="30">
        <f>'Two-par'!I22</f>
        <v>231</v>
      </c>
      <c r="D21" s="30">
        <f>'One-par'!I22</f>
        <v>1923</v>
      </c>
      <c r="E21" s="30">
        <f>'Zero-par'!I22</f>
        <v>1891</v>
      </c>
      <c r="F21" s="30">
        <f>TRec!I22</f>
        <v>10158</v>
      </c>
      <c r="G21" s="30">
        <f>Adults!I22</f>
        <v>2411</v>
      </c>
      <c r="H21" s="30">
        <f>Children!I22</f>
        <v>7747</v>
      </c>
    </row>
    <row r="22" spans="1:8" s="31" customFormat="1" ht="11.25" customHeight="1" x14ac:dyDescent="0.2">
      <c r="A22" s="38" t="s">
        <v>20</v>
      </c>
      <c r="B22" s="32">
        <f>TFam!I23</f>
        <v>2912</v>
      </c>
      <c r="C22" s="32">
        <f>'Two-par'!I23</f>
        <v>262</v>
      </c>
      <c r="D22" s="32">
        <f>'One-par'!I23</f>
        <v>1375</v>
      </c>
      <c r="E22" s="32">
        <f>'Zero-par'!I23</f>
        <v>1275</v>
      </c>
      <c r="F22" s="32">
        <f>TRec!I23</f>
        <v>2912</v>
      </c>
      <c r="G22" s="32">
        <f>Adults!I23</f>
        <v>1459</v>
      </c>
      <c r="H22" s="32">
        <f>Children!I23</f>
        <v>1453</v>
      </c>
    </row>
    <row r="23" spans="1:8" s="31" customFormat="1" ht="11.25" customHeight="1" x14ac:dyDescent="0.2">
      <c r="A23" s="38" t="s">
        <v>21</v>
      </c>
      <c r="B23" s="32">
        <f>TFam!I24</f>
        <v>14935</v>
      </c>
      <c r="C23" s="32">
        <f>'Two-par'!I24</f>
        <v>1050</v>
      </c>
      <c r="D23" s="32">
        <f>'One-par'!I24</f>
        <v>5531</v>
      </c>
      <c r="E23" s="32">
        <f>'Zero-par'!I24</f>
        <v>8354</v>
      </c>
      <c r="F23" s="32">
        <f>TRec!I24</f>
        <v>34339</v>
      </c>
      <c r="G23" s="32">
        <f>Adults!I24</f>
        <v>7822</v>
      </c>
      <c r="H23" s="32">
        <f>Children!I24</f>
        <v>26517</v>
      </c>
    </row>
    <row r="24" spans="1:8" s="31" customFormat="1" ht="11.25" customHeight="1" x14ac:dyDescent="0.2">
      <c r="A24" s="38" t="s">
        <v>22</v>
      </c>
      <c r="B24" s="32">
        <f>TFam!I25</f>
        <v>4755</v>
      </c>
      <c r="C24" s="32">
        <f>'Two-par'!I25</f>
        <v>0</v>
      </c>
      <c r="D24" s="32">
        <f>'One-par'!I25</f>
        <v>2669</v>
      </c>
      <c r="E24" s="32">
        <f>'Zero-par'!I25</f>
        <v>2086</v>
      </c>
      <c r="F24" s="32">
        <f>TRec!I25</f>
        <v>12241</v>
      </c>
      <c r="G24" s="32">
        <f>Adults!I25</f>
        <v>2309</v>
      </c>
      <c r="H24" s="32">
        <f>Children!I25</f>
        <v>9932</v>
      </c>
    </row>
    <row r="25" spans="1:8" s="31" customFormat="1" ht="11.25" customHeight="1" x14ac:dyDescent="0.2">
      <c r="A25" s="38" t="s">
        <v>23</v>
      </c>
      <c r="B25" s="30">
        <f>TFam!I26</f>
        <v>3702</v>
      </c>
      <c r="C25" s="30">
        <f>'Two-par'!I26</f>
        <v>505</v>
      </c>
      <c r="D25" s="30">
        <f>'One-par'!I26</f>
        <v>2195</v>
      </c>
      <c r="E25" s="30">
        <f>'Zero-par'!I26</f>
        <v>1002</v>
      </c>
      <c r="F25" s="30">
        <f>TRec!I26</f>
        <v>9564</v>
      </c>
      <c r="G25" s="30">
        <f>Adults!I26</f>
        <v>3092</v>
      </c>
      <c r="H25" s="30">
        <f>Children!I26</f>
        <v>6472</v>
      </c>
    </row>
    <row r="26" spans="1:8" s="31" customFormat="1" ht="11.25" customHeight="1" x14ac:dyDescent="0.2">
      <c r="A26" s="38" t="s">
        <v>24</v>
      </c>
      <c r="B26" s="30">
        <f>TFam!I27</f>
        <v>14834</v>
      </c>
      <c r="C26" s="30">
        <f>'Two-par'!I27</f>
        <v>0</v>
      </c>
      <c r="D26" s="30">
        <f>'One-par'!I27</f>
        <v>10806</v>
      </c>
      <c r="E26" s="30">
        <f>'Zero-par'!I27</f>
        <v>4028</v>
      </c>
      <c r="F26" s="30">
        <f>TRec!I27</f>
        <v>47291</v>
      </c>
      <c r="G26" s="30">
        <f>Adults!I27</f>
        <v>14569</v>
      </c>
      <c r="H26" s="30">
        <f>Children!I27</f>
        <v>32722</v>
      </c>
    </row>
    <row r="27" spans="1:8" s="31" customFormat="1" ht="11.25" customHeight="1" x14ac:dyDescent="0.2">
      <c r="A27" s="38" t="s">
        <v>25</v>
      </c>
      <c r="B27" s="30">
        <f>TFam!I28</f>
        <v>36448</v>
      </c>
      <c r="C27" s="30">
        <f>'Two-par'!I28</f>
        <v>2295</v>
      </c>
      <c r="D27" s="30">
        <f>'One-par'!I28</f>
        <v>22128</v>
      </c>
      <c r="E27" s="30">
        <f>'Zero-par'!I28</f>
        <v>12025</v>
      </c>
      <c r="F27" s="30">
        <f>TRec!I28</f>
        <v>85347</v>
      </c>
      <c r="G27" s="30">
        <f>Adults!I28</f>
        <v>25642</v>
      </c>
      <c r="H27" s="30">
        <f>Children!I28</f>
        <v>59705</v>
      </c>
    </row>
    <row r="28" spans="1:8" s="31" customFormat="1" ht="11.25" customHeight="1" x14ac:dyDescent="0.2">
      <c r="A28" s="38" t="s">
        <v>26</v>
      </c>
      <c r="B28" s="32">
        <f>TFam!I29</f>
        <v>7513</v>
      </c>
      <c r="C28" s="32">
        <f>'Two-par'!I29</f>
        <v>0</v>
      </c>
      <c r="D28" s="32">
        <f>'One-par'!I29</f>
        <v>3522</v>
      </c>
      <c r="E28" s="32">
        <f>'Zero-par'!I29</f>
        <v>3991</v>
      </c>
      <c r="F28" s="32">
        <f>TRec!I29</f>
        <v>19756</v>
      </c>
      <c r="G28" s="32">
        <f>Adults!I29</f>
        <v>4223</v>
      </c>
      <c r="H28" s="32">
        <f>Children!I29</f>
        <v>15533</v>
      </c>
    </row>
    <row r="29" spans="1:8" s="31" customFormat="1" ht="11.25" customHeight="1" x14ac:dyDescent="0.2">
      <c r="A29" s="38" t="s">
        <v>27</v>
      </c>
      <c r="B29" s="30">
        <f>TFam!I30</f>
        <v>13278</v>
      </c>
      <c r="C29" s="30">
        <f>'Two-par'!I30</f>
        <v>0</v>
      </c>
      <c r="D29" s="30">
        <f>'One-par'!I30</f>
        <v>7686</v>
      </c>
      <c r="E29" s="30">
        <f>'Zero-par'!I30</f>
        <v>5592</v>
      </c>
      <c r="F29" s="30">
        <f>TRec!I30</f>
        <v>30933</v>
      </c>
      <c r="G29" s="30">
        <f>Adults!I30</f>
        <v>7643</v>
      </c>
      <c r="H29" s="30">
        <f>Children!I30</f>
        <v>23290</v>
      </c>
    </row>
    <row r="30" spans="1:8" s="31" customFormat="1" ht="11.25" customHeight="1" x14ac:dyDescent="0.2">
      <c r="A30" s="38" t="s">
        <v>28</v>
      </c>
      <c r="B30" s="32">
        <f>TFam!I31</f>
        <v>1399</v>
      </c>
      <c r="C30" s="32">
        <f>'Two-par'!I31</f>
        <v>0</v>
      </c>
      <c r="D30" s="32">
        <f>'One-par'!I31</f>
        <v>288</v>
      </c>
      <c r="E30" s="32">
        <f>'Zero-par'!I31</f>
        <v>1111</v>
      </c>
      <c r="F30" s="32">
        <f>TRec!I31</f>
        <v>2482</v>
      </c>
      <c r="G30" s="32">
        <f>Adults!I31</f>
        <v>292</v>
      </c>
      <c r="H30" s="32">
        <f>Children!I31</f>
        <v>2190</v>
      </c>
    </row>
    <row r="31" spans="1:8" s="31" customFormat="1" x14ac:dyDescent="0.2">
      <c r="A31" s="38" t="s">
        <v>29</v>
      </c>
      <c r="B31" s="30">
        <f>TFam!I32</f>
        <v>4725</v>
      </c>
      <c r="C31" s="30">
        <f>'Two-par'!I32</f>
        <v>0</v>
      </c>
      <c r="D31" s="30">
        <f>'One-par'!I32</f>
        <v>2653</v>
      </c>
      <c r="E31" s="30">
        <f>'Zero-par'!I32</f>
        <v>2072</v>
      </c>
      <c r="F31" s="30">
        <f>TRec!I32</f>
        <v>10947</v>
      </c>
      <c r="G31" s="30">
        <f>Adults!I32</f>
        <v>2332</v>
      </c>
      <c r="H31" s="30">
        <f>Children!I32</f>
        <v>8615</v>
      </c>
    </row>
    <row r="32" spans="1:8" s="31" customFormat="1" x14ac:dyDescent="0.2">
      <c r="A32" s="38" t="s">
        <v>30</v>
      </c>
      <c r="B32" s="32">
        <f>TFam!I33</f>
        <v>1587</v>
      </c>
      <c r="C32" s="32">
        <f>'Two-par'!I33</f>
        <v>95</v>
      </c>
      <c r="D32" s="32">
        <f>'One-par'!I33</f>
        <v>606</v>
      </c>
      <c r="E32" s="32">
        <f>'Zero-par'!I33</f>
        <v>886</v>
      </c>
      <c r="F32" s="32">
        <f>TRec!I33</f>
        <v>3543</v>
      </c>
      <c r="G32" s="32">
        <f>Adults!I33</f>
        <v>647</v>
      </c>
      <c r="H32" s="32">
        <f>Children!I33</f>
        <v>2896</v>
      </c>
    </row>
    <row r="33" spans="1:8" s="31" customFormat="1" x14ac:dyDescent="0.2">
      <c r="A33" s="38" t="s">
        <v>31</v>
      </c>
      <c r="B33" s="30">
        <f>TFam!I34</f>
        <v>2590</v>
      </c>
      <c r="C33" s="30">
        <f>'Two-par'!I34</f>
        <v>0</v>
      </c>
      <c r="D33" s="30">
        <f>'One-par'!I34</f>
        <v>708</v>
      </c>
      <c r="E33" s="30">
        <f>'Zero-par'!I34</f>
        <v>1882</v>
      </c>
      <c r="F33" s="30">
        <f>TRec!I34</f>
        <v>5902</v>
      </c>
      <c r="G33" s="30">
        <f>Adults!I34</f>
        <v>698</v>
      </c>
      <c r="H33" s="30">
        <f>Children!I34</f>
        <v>5204</v>
      </c>
    </row>
    <row r="34" spans="1:8" s="31" customFormat="1" x14ac:dyDescent="0.2">
      <c r="A34" s="38" t="s">
        <v>32</v>
      </c>
      <c r="B34" s="30">
        <f>TFam!I35</f>
        <v>5390</v>
      </c>
      <c r="C34" s="30">
        <f>'Two-par'!I35</f>
        <v>475</v>
      </c>
      <c r="D34" s="30">
        <f>'One-par'!I35</f>
        <v>2277</v>
      </c>
      <c r="E34" s="30">
        <f>'Zero-par'!I35</f>
        <v>2638</v>
      </c>
      <c r="F34" s="30">
        <f>TRec!I35</f>
        <v>13504</v>
      </c>
      <c r="G34" s="30">
        <f>Adults!I35</f>
        <v>3460</v>
      </c>
      <c r="H34" s="30">
        <f>Children!I35</f>
        <v>10044</v>
      </c>
    </row>
    <row r="35" spans="1:8" s="31" customFormat="1" x14ac:dyDescent="0.2">
      <c r="A35" s="38" t="s">
        <v>33</v>
      </c>
      <c r="B35" s="30">
        <f>TFam!I36</f>
        <v>2501</v>
      </c>
      <c r="C35" s="30">
        <f>'Two-par'!I36</f>
        <v>1</v>
      </c>
      <c r="D35" s="30">
        <f>'One-par'!I36</f>
        <v>1018</v>
      </c>
      <c r="E35" s="30">
        <f>'Zero-par'!I36</f>
        <v>1482</v>
      </c>
      <c r="F35" s="30">
        <f>TRec!I36</f>
        <v>5065</v>
      </c>
      <c r="G35" s="30">
        <f>Adults!I36</f>
        <v>1067</v>
      </c>
      <c r="H35" s="30">
        <f>Children!I36</f>
        <v>3998</v>
      </c>
    </row>
    <row r="36" spans="1:8" s="31" customFormat="1" x14ac:dyDescent="0.2">
      <c r="A36" s="38" t="s">
        <v>34</v>
      </c>
      <c r="B36" s="30">
        <f>TFam!I37</f>
        <v>9513</v>
      </c>
      <c r="C36" s="30">
        <f>'Two-par'!I37</f>
        <v>59</v>
      </c>
      <c r="D36" s="30">
        <f>'One-par'!I37</f>
        <v>7243</v>
      </c>
      <c r="E36" s="30">
        <f>'Zero-par'!I37</f>
        <v>2211</v>
      </c>
      <c r="F36" s="30">
        <f>TRec!I37</f>
        <v>22622</v>
      </c>
      <c r="G36" s="30">
        <f>Adults!I37</f>
        <v>6561</v>
      </c>
      <c r="H36" s="30">
        <f>Children!I37</f>
        <v>16061</v>
      </c>
    </row>
    <row r="37" spans="1:8" s="31" customFormat="1" x14ac:dyDescent="0.2">
      <c r="A37" s="38" t="s">
        <v>35</v>
      </c>
      <c r="B37" s="32">
        <f>TFam!I38</f>
        <v>7173</v>
      </c>
      <c r="C37" s="32">
        <f>'Two-par'!I38</f>
        <v>449</v>
      </c>
      <c r="D37" s="32">
        <f>'One-par'!I38</f>
        <v>3491</v>
      </c>
      <c r="E37" s="32">
        <f>'Zero-par'!I38</f>
        <v>3233</v>
      </c>
      <c r="F37" s="32">
        <f>TRec!I38</f>
        <v>17440</v>
      </c>
      <c r="G37" s="32">
        <f>Adults!I38</f>
        <v>4389</v>
      </c>
      <c r="H37" s="32">
        <f>Children!I38</f>
        <v>13051</v>
      </c>
    </row>
    <row r="38" spans="1:8" s="31" customFormat="1" x14ac:dyDescent="0.2">
      <c r="A38" s="38" t="s">
        <v>36</v>
      </c>
      <c r="B38" s="30">
        <f>TFam!I39</f>
        <v>130773</v>
      </c>
      <c r="C38" s="30">
        <f>'Two-par'!I39</f>
        <v>1659</v>
      </c>
      <c r="D38" s="30">
        <f>'One-par'!I39</f>
        <v>97252</v>
      </c>
      <c r="E38" s="30">
        <f>'Zero-par'!I39</f>
        <v>31862</v>
      </c>
      <c r="F38" s="30">
        <f>TRec!I39</f>
        <v>338695</v>
      </c>
      <c r="G38" s="30">
        <f>Adults!I39</f>
        <v>121107</v>
      </c>
      <c r="H38" s="30">
        <f>Children!I39</f>
        <v>217588</v>
      </c>
    </row>
    <row r="39" spans="1:8" s="31" customFormat="1" x14ac:dyDescent="0.2">
      <c r="A39" s="38" t="s">
        <v>37</v>
      </c>
      <c r="B39" s="32">
        <f>TFam!I40</f>
        <v>7059</v>
      </c>
      <c r="C39" s="32">
        <f>'Two-par'!I40</f>
        <v>73</v>
      </c>
      <c r="D39" s="32">
        <f>'One-par'!I40</f>
        <v>1019</v>
      </c>
      <c r="E39" s="32">
        <f>'Zero-par'!I40</f>
        <v>5967</v>
      </c>
      <c r="F39" s="32">
        <f>TRec!I40</f>
        <v>12059</v>
      </c>
      <c r="G39" s="32">
        <f>Adults!I40</f>
        <v>1210</v>
      </c>
      <c r="H39" s="32">
        <f>Children!I40</f>
        <v>10849</v>
      </c>
    </row>
    <row r="40" spans="1:8" s="31" customFormat="1" x14ac:dyDescent="0.2">
      <c r="A40" s="38" t="s">
        <v>38</v>
      </c>
      <c r="B40" s="32">
        <f>TFam!I41</f>
        <v>631</v>
      </c>
      <c r="C40" s="32">
        <f>'Two-par'!I41</f>
        <v>0</v>
      </c>
      <c r="D40" s="32">
        <f>'One-par'!I41</f>
        <v>330</v>
      </c>
      <c r="E40" s="32">
        <f>'Zero-par'!I41</f>
        <v>301</v>
      </c>
      <c r="F40" s="32">
        <f>TRec!I41</f>
        <v>1544</v>
      </c>
      <c r="G40" s="32">
        <f>Adults!I41</f>
        <v>270</v>
      </c>
      <c r="H40" s="32">
        <f>Children!I41</f>
        <v>1274</v>
      </c>
    </row>
    <row r="41" spans="1:8" s="31" customFormat="1" x14ac:dyDescent="0.2">
      <c r="A41" s="38" t="s">
        <v>39</v>
      </c>
      <c r="B41" s="32">
        <f>TFam!I42</f>
        <v>39045</v>
      </c>
      <c r="C41" s="32">
        <f>'Two-par'!I42</f>
        <v>759</v>
      </c>
      <c r="D41" s="32">
        <f>'One-par'!I42</f>
        <v>4812</v>
      </c>
      <c r="E41" s="32">
        <f>'Zero-par'!I42</f>
        <v>33474</v>
      </c>
      <c r="F41" s="32">
        <f>TRec!I42</f>
        <v>69451</v>
      </c>
      <c r="G41" s="32">
        <f>Adults!I42</f>
        <v>6870</v>
      </c>
      <c r="H41" s="32">
        <f>Children!I42</f>
        <v>62581</v>
      </c>
    </row>
    <row r="42" spans="1:8" s="31" customFormat="1" x14ac:dyDescent="0.2">
      <c r="A42" s="38" t="s">
        <v>40</v>
      </c>
      <c r="B42" s="32">
        <f>TFam!I43</f>
        <v>3283</v>
      </c>
      <c r="C42" s="32">
        <f>'Two-par'!I43</f>
        <v>0</v>
      </c>
      <c r="D42" s="32">
        <f>'One-par'!I43</f>
        <v>782</v>
      </c>
      <c r="E42" s="32">
        <f>'Zero-par'!I43</f>
        <v>2501</v>
      </c>
      <c r="F42" s="32">
        <f>TRec!I43</f>
        <v>6985</v>
      </c>
      <c r="G42" s="32">
        <f>Adults!I43</f>
        <v>782</v>
      </c>
      <c r="H42" s="32">
        <f>Children!I43</f>
        <v>6203</v>
      </c>
    </row>
    <row r="43" spans="1:8" s="31" customFormat="1" x14ac:dyDescent="0.2">
      <c r="A43" s="38" t="s">
        <v>41</v>
      </c>
      <c r="B43" s="32">
        <f>TFam!I44</f>
        <v>18259</v>
      </c>
      <c r="C43" s="32">
        <f>'Two-par'!I44</f>
        <v>0</v>
      </c>
      <c r="D43" s="32">
        <f>'One-par'!I44</f>
        <v>12175</v>
      </c>
      <c r="E43" s="32">
        <f>'Zero-par'!I44</f>
        <v>6084</v>
      </c>
      <c r="F43" s="32">
        <f>TRec!I44</f>
        <v>41804</v>
      </c>
      <c r="G43" s="32">
        <f>Adults!I44</f>
        <v>12343</v>
      </c>
      <c r="H43" s="32">
        <f>Children!I44</f>
        <v>29461</v>
      </c>
    </row>
    <row r="44" spans="1:8" s="31" customFormat="1" x14ac:dyDescent="0.2">
      <c r="A44" s="38" t="s">
        <v>42</v>
      </c>
      <c r="B44" s="32">
        <f>TFam!I45</f>
        <v>23640</v>
      </c>
      <c r="C44" s="32">
        <f>'Two-par'!I45</f>
        <v>383</v>
      </c>
      <c r="D44" s="32">
        <f>'One-par'!I45</f>
        <v>14727</v>
      </c>
      <c r="E44" s="32">
        <f>'Zero-par'!I45</f>
        <v>8530</v>
      </c>
      <c r="F44" s="32">
        <f>TRec!I45</f>
        <v>58714</v>
      </c>
      <c r="G44" s="32">
        <f>Adults!I45</f>
        <v>14278</v>
      </c>
      <c r="H44" s="32">
        <f>Children!I45</f>
        <v>44436</v>
      </c>
    </row>
    <row r="45" spans="1:8" s="31" customFormat="1" x14ac:dyDescent="0.2">
      <c r="A45" s="38" t="s">
        <v>43</v>
      </c>
      <c r="B45" s="32">
        <f>TFam!I46</f>
        <v>2167</v>
      </c>
      <c r="C45" s="32">
        <f>'Two-par'!I46</f>
        <v>91</v>
      </c>
      <c r="D45" s="32">
        <f>'One-par'!I46</f>
        <v>1927</v>
      </c>
      <c r="E45" s="32">
        <f>'Zero-par'!I46</f>
        <v>149</v>
      </c>
      <c r="F45" s="32">
        <f>TRec!I46</f>
        <v>5997</v>
      </c>
      <c r="G45" s="32">
        <f>Adults!I46</f>
        <v>2233</v>
      </c>
      <c r="H45" s="32">
        <f>Children!I46</f>
        <v>3764</v>
      </c>
    </row>
    <row r="46" spans="1:8" s="31" customFormat="1" x14ac:dyDescent="0.2">
      <c r="A46" s="38" t="s">
        <v>44</v>
      </c>
      <c r="B46" s="30">
        <f>TFam!I47</f>
        <v>3340</v>
      </c>
      <c r="C46" s="30">
        <f>'Two-par'!I47</f>
        <v>225</v>
      </c>
      <c r="D46" s="30">
        <f>'One-par'!I47</f>
        <v>2537</v>
      </c>
      <c r="E46" s="30">
        <f>'Zero-par'!I47</f>
        <v>578</v>
      </c>
      <c r="F46" s="30">
        <f>TRec!I47</f>
        <v>8674</v>
      </c>
      <c r="G46" s="30">
        <f>Adults!I47</f>
        <v>2637</v>
      </c>
      <c r="H46" s="30">
        <f>Children!I47</f>
        <v>6037</v>
      </c>
    </row>
    <row r="47" spans="1:8" s="31" customFormat="1" x14ac:dyDescent="0.2">
      <c r="A47" s="38" t="s">
        <v>45</v>
      </c>
      <c r="B47" s="30">
        <f>TFam!I48</f>
        <v>5567</v>
      </c>
      <c r="C47" s="30">
        <f>'Two-par'!I48</f>
        <v>0</v>
      </c>
      <c r="D47" s="30">
        <f>'One-par'!I48</f>
        <v>2454</v>
      </c>
      <c r="E47" s="30">
        <f>'Zero-par'!I48</f>
        <v>3113</v>
      </c>
      <c r="F47" s="30">
        <f>TRec!I48</f>
        <v>12853</v>
      </c>
      <c r="G47" s="30">
        <f>Adults!I48</f>
        <v>2454</v>
      </c>
      <c r="H47" s="30">
        <f>Children!I48</f>
        <v>10399</v>
      </c>
    </row>
    <row r="48" spans="1:8" s="31" customFormat="1" x14ac:dyDescent="0.2">
      <c r="A48" s="38" t="s">
        <v>46</v>
      </c>
      <c r="B48" s="32">
        <f>TFam!I49</f>
        <v>2505</v>
      </c>
      <c r="C48" s="32">
        <f>'Two-par'!I49</f>
        <v>0</v>
      </c>
      <c r="D48" s="32">
        <f>'One-par'!I49</f>
        <v>423</v>
      </c>
      <c r="E48" s="32">
        <f>'Zero-par'!I49</f>
        <v>2082</v>
      </c>
      <c r="F48" s="32">
        <f>TRec!I49</f>
        <v>5061</v>
      </c>
      <c r="G48" s="32">
        <f>Adults!I49</f>
        <v>423</v>
      </c>
      <c r="H48" s="32">
        <f>Children!I49</f>
        <v>4638</v>
      </c>
    </row>
    <row r="49" spans="1:18" s="31" customFormat="1" x14ac:dyDescent="0.2">
      <c r="A49" s="38" t="s">
        <v>47</v>
      </c>
      <c r="B49" s="30">
        <f>TFam!I50</f>
        <v>12159</v>
      </c>
      <c r="C49" s="30">
        <f>'Two-par'!I50</f>
        <v>256</v>
      </c>
      <c r="D49" s="30">
        <f>'One-par'!I50</f>
        <v>4291</v>
      </c>
      <c r="E49" s="30">
        <f>'Zero-par'!I50</f>
        <v>7612</v>
      </c>
      <c r="F49" s="30">
        <f>TRec!I50</f>
        <v>27292</v>
      </c>
      <c r="G49" s="30">
        <f>Adults!I50</f>
        <v>5987</v>
      </c>
      <c r="H49" s="30">
        <f>Children!I50</f>
        <v>21305</v>
      </c>
    </row>
    <row r="50" spans="1:18" s="31" customFormat="1" x14ac:dyDescent="0.2">
      <c r="A50" s="38" t="s">
        <v>48</v>
      </c>
      <c r="B50" s="30">
        <f>TFam!I51</f>
        <v>9047</v>
      </c>
      <c r="C50" s="30">
        <f>'Two-par'!I51</f>
        <v>0</v>
      </c>
      <c r="D50" s="30">
        <f>'One-par'!I51</f>
        <v>2478</v>
      </c>
      <c r="E50" s="30">
        <f>'Zero-par'!I51</f>
        <v>6569</v>
      </c>
      <c r="F50" s="30">
        <f>TRec!I51</f>
        <v>17790</v>
      </c>
      <c r="G50" s="30">
        <f>Adults!I51</f>
        <v>2478</v>
      </c>
      <c r="H50" s="30">
        <f>Children!I51</f>
        <v>15312</v>
      </c>
    </row>
    <row r="51" spans="1:18" s="31" customFormat="1" x14ac:dyDescent="0.2">
      <c r="A51" s="38" t="s">
        <v>49</v>
      </c>
      <c r="B51" s="30">
        <f>TFam!I52</f>
        <v>1890</v>
      </c>
      <c r="C51" s="30">
        <f>'Two-par'!I52</f>
        <v>0</v>
      </c>
      <c r="D51" s="30">
        <f>'One-par'!I52</f>
        <v>826</v>
      </c>
      <c r="E51" s="30">
        <f>'Zero-par'!I52</f>
        <v>1064</v>
      </c>
      <c r="F51" s="30">
        <f>TRec!I52</f>
        <v>4405</v>
      </c>
      <c r="G51" s="30">
        <f>Adults!I52</f>
        <v>1153</v>
      </c>
      <c r="H51" s="30">
        <f>Children!I52</f>
        <v>3252</v>
      </c>
    </row>
    <row r="52" spans="1:18" s="31" customFormat="1" x14ac:dyDescent="0.2">
      <c r="A52" s="38" t="s">
        <v>50</v>
      </c>
      <c r="B52" s="30">
        <f>TFam!I53</f>
        <v>1682</v>
      </c>
      <c r="C52" s="30">
        <f>'Two-par'!I53</f>
        <v>128</v>
      </c>
      <c r="D52" s="30">
        <f>'One-par'!I53</f>
        <v>624</v>
      </c>
      <c r="E52" s="30">
        <f>'Zero-par'!I53</f>
        <v>930</v>
      </c>
      <c r="F52" s="30">
        <f>TRec!I53</f>
        <v>3574</v>
      </c>
      <c r="G52" s="30">
        <f>Adults!I53</f>
        <v>884</v>
      </c>
      <c r="H52" s="30">
        <f>Children!I53</f>
        <v>2690</v>
      </c>
    </row>
    <row r="53" spans="1:18" s="31" customFormat="1" x14ac:dyDescent="0.2">
      <c r="A53" s="38" t="s">
        <v>51</v>
      </c>
      <c r="B53" s="32">
        <f>TFam!I54</f>
        <v>50</v>
      </c>
      <c r="C53" s="32">
        <f>'Two-par'!I54</f>
        <v>0</v>
      </c>
      <c r="D53" s="32">
        <f>'One-par'!I54</f>
        <v>40</v>
      </c>
      <c r="E53" s="32">
        <f>'Zero-par'!I54</f>
        <v>10</v>
      </c>
      <c r="F53" s="32">
        <f>TRec!I54</f>
        <v>170</v>
      </c>
      <c r="G53" s="32">
        <f>Adults!I54</f>
        <v>51</v>
      </c>
      <c r="H53" s="32">
        <f>Children!I54</f>
        <v>119</v>
      </c>
    </row>
    <row r="54" spans="1:18" s="31" customFormat="1" x14ac:dyDescent="0.2">
      <c r="A54" s="38" t="s">
        <v>52</v>
      </c>
      <c r="B54" s="30">
        <f>TFam!I55</f>
        <v>12980</v>
      </c>
      <c r="C54" s="30">
        <f>'Two-par'!I55</f>
        <v>0</v>
      </c>
      <c r="D54" s="30">
        <f>'One-par'!I55</f>
        <v>6710</v>
      </c>
      <c r="E54" s="30">
        <f>'Zero-par'!I55</f>
        <v>6270</v>
      </c>
      <c r="F54" s="30">
        <f>TRec!I55</f>
        <v>29175</v>
      </c>
      <c r="G54" s="30">
        <f>Adults!I55</f>
        <v>6607</v>
      </c>
      <c r="H54" s="30">
        <f>Children!I55</f>
        <v>22568</v>
      </c>
    </row>
    <row r="55" spans="1:18" s="31" customFormat="1" x14ac:dyDescent="0.2">
      <c r="A55" s="38" t="s">
        <v>53</v>
      </c>
      <c r="B55" s="30">
        <f>TFam!I56</f>
        <v>33594</v>
      </c>
      <c r="C55" s="30">
        <f>'Two-par'!I56</f>
        <v>4646</v>
      </c>
      <c r="D55" s="30">
        <f>'One-par'!I56</f>
        <v>18401</v>
      </c>
      <c r="E55" s="30">
        <f>'Zero-par'!I56</f>
        <v>10547</v>
      </c>
      <c r="F55" s="30">
        <f>TRec!I56</f>
        <v>84610</v>
      </c>
      <c r="G55" s="30">
        <f>Adults!I56</f>
        <v>28151</v>
      </c>
      <c r="H55" s="30">
        <f>Children!I56</f>
        <v>56459</v>
      </c>
    </row>
    <row r="56" spans="1:18" s="31" customFormat="1" x14ac:dyDescent="0.2">
      <c r="A56" s="38" t="s">
        <v>54</v>
      </c>
      <c r="B56" s="32">
        <f>TFam!I57</f>
        <v>4579</v>
      </c>
      <c r="C56" s="32">
        <f>'Two-par'!I57</f>
        <v>0</v>
      </c>
      <c r="D56" s="32">
        <f>'One-par'!I57</f>
        <v>1053</v>
      </c>
      <c r="E56" s="32">
        <f>'Zero-par'!I57</f>
        <v>3526</v>
      </c>
      <c r="F56" s="32">
        <f>TRec!I57</f>
        <v>8830</v>
      </c>
      <c r="G56" s="32">
        <f>Adults!I57</f>
        <v>1427</v>
      </c>
      <c r="H56" s="32">
        <f>Children!I57</f>
        <v>7403</v>
      </c>
    </row>
    <row r="57" spans="1:18" s="31" customFormat="1" x14ac:dyDescent="0.2">
      <c r="A57" s="38" t="s">
        <v>55</v>
      </c>
      <c r="B57" s="30">
        <f>TFam!I58</f>
        <v>11304</v>
      </c>
      <c r="C57" s="30">
        <f>'Two-par'!I58</f>
        <v>77</v>
      </c>
      <c r="D57" s="30">
        <f>'One-par'!I58</f>
        <v>3029</v>
      </c>
      <c r="E57" s="30">
        <f>'Zero-par'!I58</f>
        <v>8198</v>
      </c>
      <c r="F57" s="30">
        <f>TRec!I58</f>
        <v>23507</v>
      </c>
      <c r="G57" s="30">
        <f>Adults!I58</f>
        <v>3386</v>
      </c>
      <c r="H57" s="30">
        <f>Children!I58</f>
        <v>20121</v>
      </c>
    </row>
    <row r="58" spans="1:18" s="31" customFormat="1" x14ac:dyDescent="0.2">
      <c r="A58" s="39" t="s">
        <v>56</v>
      </c>
      <c r="B58" s="33">
        <f>TFam!I59</f>
        <v>482</v>
      </c>
      <c r="C58" s="33">
        <f>'Two-par'!I59</f>
        <v>22</v>
      </c>
      <c r="D58" s="33">
        <f>'One-par'!I59</f>
        <v>246</v>
      </c>
      <c r="E58" s="33">
        <f>'Zero-par'!I59</f>
        <v>214</v>
      </c>
      <c r="F58" s="33">
        <f>TRec!I59</f>
        <v>1195</v>
      </c>
      <c r="G58" s="33">
        <f>Adults!I59</f>
        <v>291</v>
      </c>
      <c r="H58" s="33">
        <f>Children!I59</f>
        <v>904</v>
      </c>
    </row>
    <row r="59" spans="1:18" x14ac:dyDescent="0.2">
      <c r="A59" s="82">
        <f>TFam!$A$3</f>
        <v>45687</v>
      </c>
      <c r="B59" s="72"/>
      <c r="C59" s="72"/>
      <c r="D59" s="72"/>
      <c r="E59" s="72"/>
      <c r="F59" s="72"/>
      <c r="G59" s="72"/>
      <c r="H59" s="72"/>
      <c r="I59" s="58"/>
      <c r="J59" s="58"/>
      <c r="K59" s="58"/>
      <c r="L59" s="58"/>
      <c r="M59" s="58"/>
      <c r="N59" s="58"/>
      <c r="O59" s="58"/>
      <c r="P59" s="58"/>
      <c r="Q59" s="58"/>
      <c r="R59" s="58"/>
    </row>
    <row r="60" spans="1:18" x14ac:dyDescent="0.2">
      <c r="A60" s="63" t="str">
        <f>'Oct23'!A60</f>
        <v xml:space="preserve">    </v>
      </c>
      <c r="B60" s="63"/>
      <c r="C60" s="63"/>
      <c r="D60" s="63"/>
      <c r="E60" s="63"/>
      <c r="F60" s="63"/>
      <c r="G60" s="63"/>
      <c r="H60" s="63"/>
    </row>
    <row r="61" spans="1:18" x14ac:dyDescent="0.2">
      <c r="A61" s="63" t="str">
        <f>'Oct23'!A61</f>
        <v xml:space="preserve">Notes: </v>
      </c>
      <c r="B61" s="63"/>
      <c r="C61" s="63"/>
      <c r="D61" s="63"/>
      <c r="E61" s="63"/>
      <c r="F61" s="63"/>
      <c r="G61" s="63"/>
      <c r="H61" s="63"/>
    </row>
    <row r="62" spans="1:18" x14ac:dyDescent="0.2">
      <c r="A62" s="63" t="str">
        <f>'Oct23'!A62</f>
        <v>"-" - data inapplicable</v>
      </c>
      <c r="B62" s="63"/>
      <c r="C62" s="63"/>
      <c r="D62" s="63"/>
      <c r="E62" s="63"/>
      <c r="F62" s="63"/>
      <c r="G62" s="63"/>
      <c r="H62" s="63"/>
    </row>
  </sheetData>
  <pageMargins left="0.7" right="0.7" top="0.75" bottom="0.75" header="0.3" footer="0.3"/>
  <pageSetup scale="9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62"/>
  <sheetViews>
    <sheetView workbookViewId="0"/>
  </sheetViews>
  <sheetFormatPr defaultColWidth="9.21875" defaultRowHeight="10.199999999999999" x14ac:dyDescent="0.2"/>
  <cols>
    <col min="1" max="1" width="14.21875" style="42" bestFit="1" customWidth="1"/>
    <col min="2" max="8" width="11.21875" style="36" customWidth="1"/>
    <col min="9" max="16384" width="9.21875" style="36"/>
  </cols>
  <sheetData>
    <row r="1" spans="1:8" s="43" customFormat="1" ht="15.6" x14ac:dyDescent="0.3">
      <c r="A1" s="88" t="s">
        <v>90</v>
      </c>
      <c r="B1" s="88"/>
      <c r="C1" s="88"/>
      <c r="D1" s="88"/>
      <c r="E1" s="88"/>
      <c r="F1" s="88"/>
      <c r="G1" s="88"/>
      <c r="H1" s="88"/>
    </row>
    <row r="2" spans="1:8" s="43" customFormat="1" ht="13.2" x14ac:dyDescent="0.25">
      <c r="A2" s="87" t="str">
        <f>'Oct23'!$A$2</f>
        <v>Temporary Assistance for Needy Families (TANF)</v>
      </c>
      <c r="B2" s="89"/>
      <c r="C2" s="89"/>
      <c r="D2" s="89"/>
      <c r="E2" s="89"/>
      <c r="F2" s="89"/>
      <c r="G2" s="89"/>
      <c r="H2" s="89"/>
    </row>
    <row r="3" spans="1:8" s="44" customFormat="1" ht="30.6" x14ac:dyDescent="0.2">
      <c r="A3" s="25" t="s">
        <v>1</v>
      </c>
      <c r="B3" s="26" t="s">
        <v>66</v>
      </c>
      <c r="C3" s="26" t="s">
        <v>67</v>
      </c>
      <c r="D3" s="26" t="s">
        <v>68</v>
      </c>
      <c r="E3" s="26" t="s">
        <v>69</v>
      </c>
      <c r="F3" s="26" t="s">
        <v>70</v>
      </c>
      <c r="G3" s="26" t="s">
        <v>71</v>
      </c>
      <c r="H3" s="26" t="s">
        <v>72</v>
      </c>
    </row>
    <row r="4" spans="1:8" s="29" customFormat="1" x14ac:dyDescent="0.2">
      <c r="A4" s="7" t="s">
        <v>2</v>
      </c>
      <c r="B4" s="28">
        <f>TFam!J5</f>
        <v>825495</v>
      </c>
      <c r="C4" s="28">
        <f>'Two-par'!J5</f>
        <v>55055</v>
      </c>
      <c r="D4" s="28">
        <f>'One-par'!J5</f>
        <v>431648</v>
      </c>
      <c r="E4" s="28">
        <f>'Zero-par'!J5</f>
        <v>338792</v>
      </c>
      <c r="F4" s="28">
        <f>TRec!J5</f>
        <v>2017199</v>
      </c>
      <c r="G4" s="28">
        <f>Adults!J5</f>
        <v>551890</v>
      </c>
      <c r="H4" s="28">
        <f>Children!J5</f>
        <v>1465309</v>
      </c>
    </row>
    <row r="5" spans="1:8" s="31" customFormat="1" ht="11.25" customHeight="1" x14ac:dyDescent="0.2">
      <c r="A5" s="38" t="s">
        <v>3</v>
      </c>
      <c r="B5" s="30">
        <f>TFam!J6</f>
        <v>5638</v>
      </c>
      <c r="C5" s="30">
        <f>'Two-par'!J6</f>
        <v>34</v>
      </c>
      <c r="D5" s="30">
        <f>'One-par'!J6</f>
        <v>2373</v>
      </c>
      <c r="E5" s="30">
        <f>'Zero-par'!J6</f>
        <v>3231</v>
      </c>
      <c r="F5" s="30">
        <f>TRec!J6</f>
        <v>13348</v>
      </c>
      <c r="G5" s="30">
        <f>Adults!J6</f>
        <v>2507</v>
      </c>
      <c r="H5" s="30">
        <f>Children!J6</f>
        <v>10841</v>
      </c>
    </row>
    <row r="6" spans="1:8" s="31" customFormat="1" ht="11.25" customHeight="1" x14ac:dyDescent="0.2">
      <c r="A6" s="38" t="s">
        <v>4</v>
      </c>
      <c r="B6" s="32">
        <f>TFam!J7</f>
        <v>1253</v>
      </c>
      <c r="C6" s="32">
        <f>'Two-par'!J7</f>
        <v>155</v>
      </c>
      <c r="D6" s="32">
        <f>'One-par'!J7</f>
        <v>722</v>
      </c>
      <c r="E6" s="32">
        <f>'Zero-par'!J7</f>
        <v>376</v>
      </c>
      <c r="F6" s="32">
        <f>TRec!J7</f>
        <v>3440</v>
      </c>
      <c r="G6" s="32">
        <f>Adults!J7</f>
        <v>1074</v>
      </c>
      <c r="H6" s="32">
        <f>Children!J7</f>
        <v>2366</v>
      </c>
    </row>
    <row r="7" spans="1:8" s="31" customFormat="1" ht="11.25" customHeight="1" x14ac:dyDescent="0.2">
      <c r="A7" s="38" t="s">
        <v>5</v>
      </c>
      <c r="B7" s="32">
        <f>TFam!J8</f>
        <v>4744</v>
      </c>
      <c r="C7" s="32">
        <f>'Two-par'!J8</f>
        <v>359</v>
      </c>
      <c r="D7" s="32">
        <f>'One-par'!J8</f>
        <v>1251</v>
      </c>
      <c r="E7" s="32">
        <f>'Zero-par'!J8</f>
        <v>3134</v>
      </c>
      <c r="F7" s="32">
        <f>TRec!J8</f>
        <v>10076</v>
      </c>
      <c r="G7" s="32">
        <f>Adults!J8</f>
        <v>1996</v>
      </c>
      <c r="H7" s="32">
        <f>Children!J8</f>
        <v>8080</v>
      </c>
    </row>
    <row r="8" spans="1:8" s="31" customFormat="1" ht="11.25" customHeight="1" x14ac:dyDescent="0.2">
      <c r="A8" s="38" t="s">
        <v>6</v>
      </c>
      <c r="B8" s="32">
        <f>TFam!J9</f>
        <v>838</v>
      </c>
      <c r="C8" s="32">
        <f>'Two-par'!J9</f>
        <v>32</v>
      </c>
      <c r="D8" s="32">
        <f>'One-par'!J9</f>
        <v>470</v>
      </c>
      <c r="E8" s="32">
        <f>'Zero-par'!J9</f>
        <v>336</v>
      </c>
      <c r="F8" s="32">
        <f>TRec!J9</f>
        <v>2046</v>
      </c>
      <c r="G8" s="32">
        <f>Adults!J9</f>
        <v>534</v>
      </c>
      <c r="H8" s="32">
        <f>Children!J9</f>
        <v>1512</v>
      </c>
    </row>
    <row r="9" spans="1:8" s="31" customFormat="1" ht="11.25" customHeight="1" x14ac:dyDescent="0.2">
      <c r="A9" s="38" t="s">
        <v>7</v>
      </c>
      <c r="B9" s="30">
        <f>TFam!J10</f>
        <v>274381</v>
      </c>
      <c r="C9" s="30">
        <f>'Two-par'!J10</f>
        <v>35171</v>
      </c>
      <c r="D9" s="30">
        <f>'One-par'!J10</f>
        <v>144691</v>
      </c>
      <c r="E9" s="30">
        <f>'Zero-par'!J10</f>
        <v>94519</v>
      </c>
      <c r="F9" s="30">
        <f>TRec!J10</f>
        <v>725301</v>
      </c>
      <c r="G9" s="30">
        <f>Adults!J10</f>
        <v>197720</v>
      </c>
      <c r="H9" s="30">
        <f>Children!J10</f>
        <v>527581</v>
      </c>
    </row>
    <row r="10" spans="1:8" s="31" customFormat="1" ht="11.25" customHeight="1" x14ac:dyDescent="0.2">
      <c r="A10" s="38" t="s">
        <v>8</v>
      </c>
      <c r="B10" s="32">
        <f>TFam!J11</f>
        <v>12257</v>
      </c>
      <c r="C10" s="32">
        <f>'Two-par'!J11</f>
        <v>0</v>
      </c>
      <c r="D10" s="32">
        <f>'One-par'!J11</f>
        <v>8145</v>
      </c>
      <c r="E10" s="32">
        <f>'Zero-par'!J11</f>
        <v>4112</v>
      </c>
      <c r="F10" s="32">
        <f>TRec!J11</f>
        <v>30000</v>
      </c>
      <c r="G10" s="32">
        <f>Adults!J11</f>
        <v>8441</v>
      </c>
      <c r="H10" s="32">
        <f>Children!J11</f>
        <v>21559</v>
      </c>
    </row>
    <row r="11" spans="1:8" s="31" customFormat="1" ht="11.25" customHeight="1" x14ac:dyDescent="0.2">
      <c r="A11" s="38" t="s">
        <v>9</v>
      </c>
      <c r="B11" s="30">
        <f>TFam!J12</f>
        <v>5303</v>
      </c>
      <c r="C11" s="30">
        <f>'Two-par'!J12</f>
        <v>0</v>
      </c>
      <c r="D11" s="30">
        <f>'One-par'!J12</f>
        <v>2211</v>
      </c>
      <c r="E11" s="30">
        <f>'Zero-par'!J12</f>
        <v>3092</v>
      </c>
      <c r="F11" s="30">
        <f>TRec!J12</f>
        <v>12660</v>
      </c>
      <c r="G11" s="30">
        <f>Adults!J12</f>
        <v>3706</v>
      </c>
      <c r="H11" s="30">
        <f>Children!J12</f>
        <v>8954</v>
      </c>
    </row>
    <row r="12" spans="1:8" s="31" customFormat="1" ht="11.25" customHeight="1" x14ac:dyDescent="0.2">
      <c r="A12" s="38" t="s">
        <v>10</v>
      </c>
      <c r="B12" s="30">
        <f>TFam!J13</f>
        <v>2470</v>
      </c>
      <c r="C12" s="30">
        <f>'Two-par'!J13</f>
        <v>5</v>
      </c>
      <c r="D12" s="30">
        <f>'One-par'!J13</f>
        <v>573</v>
      </c>
      <c r="E12" s="30">
        <f>'Zero-par'!J13</f>
        <v>1892</v>
      </c>
      <c r="F12" s="30">
        <f>TRec!J13</f>
        <v>6932</v>
      </c>
      <c r="G12" s="30">
        <f>Adults!J13</f>
        <v>2830</v>
      </c>
      <c r="H12" s="30">
        <f>Children!J13</f>
        <v>4102</v>
      </c>
    </row>
    <row r="13" spans="1:8" s="31" customFormat="1" ht="11.25" customHeight="1" x14ac:dyDescent="0.2">
      <c r="A13" s="38" t="s">
        <v>11</v>
      </c>
      <c r="B13" s="30">
        <f>TFam!J14</f>
        <v>4884</v>
      </c>
      <c r="C13" s="30">
        <f>'Two-par'!J14</f>
        <v>0</v>
      </c>
      <c r="D13" s="30">
        <f>'One-par'!J14</f>
        <v>3423</v>
      </c>
      <c r="E13" s="30">
        <f>'Zero-par'!J14</f>
        <v>1461</v>
      </c>
      <c r="F13" s="30">
        <f>TRec!J14</f>
        <v>15727</v>
      </c>
      <c r="G13" s="30">
        <f>Adults!J14</f>
        <v>3423</v>
      </c>
      <c r="H13" s="30">
        <f>Children!J14</f>
        <v>12304</v>
      </c>
    </row>
    <row r="14" spans="1:8" s="31" customFormat="1" ht="11.25" customHeight="1" x14ac:dyDescent="0.2">
      <c r="A14" s="38" t="s">
        <v>12</v>
      </c>
      <c r="B14" s="30">
        <f>TFam!J15</f>
        <v>28754</v>
      </c>
      <c r="C14" s="30">
        <f>'Two-par'!J15</f>
        <v>4331</v>
      </c>
      <c r="D14" s="30">
        <f>'One-par'!J15</f>
        <v>7397</v>
      </c>
      <c r="E14" s="30">
        <f>'Zero-par'!J15</f>
        <v>17026</v>
      </c>
      <c r="F14" s="30">
        <f>TRec!J15</f>
        <v>56752</v>
      </c>
      <c r="G14" s="30">
        <f>Adults!J15</f>
        <v>18893</v>
      </c>
      <c r="H14" s="30">
        <f>Children!J15</f>
        <v>37859</v>
      </c>
    </row>
    <row r="15" spans="1:8" s="31" customFormat="1" ht="11.25" customHeight="1" x14ac:dyDescent="0.2">
      <c r="A15" s="38" t="s">
        <v>13</v>
      </c>
      <c r="B15" s="30">
        <f>TFam!J16</f>
        <v>4007</v>
      </c>
      <c r="C15" s="30">
        <f>'Two-par'!J16</f>
        <v>0</v>
      </c>
      <c r="D15" s="30">
        <f>'One-par'!J16</f>
        <v>129</v>
      </c>
      <c r="E15" s="30">
        <f>'Zero-par'!J16</f>
        <v>3878</v>
      </c>
      <c r="F15" s="30">
        <f>TRec!J16</f>
        <v>6894</v>
      </c>
      <c r="G15" s="30">
        <f>Adults!J16</f>
        <v>126</v>
      </c>
      <c r="H15" s="30">
        <f>Children!J16</f>
        <v>6768</v>
      </c>
    </row>
    <row r="16" spans="1:8" s="31" customFormat="1" ht="11.25" customHeight="1" x14ac:dyDescent="0.2">
      <c r="A16" s="38" t="s">
        <v>14</v>
      </c>
      <c r="B16" s="32">
        <f>TFam!J17</f>
        <v>204</v>
      </c>
      <c r="C16" s="32">
        <f>'Two-par'!J17</f>
        <v>12</v>
      </c>
      <c r="D16" s="32">
        <f>'One-par'!J17</f>
        <v>51</v>
      </c>
      <c r="E16" s="32">
        <f>'Zero-par'!J17</f>
        <v>141</v>
      </c>
      <c r="F16" s="32">
        <f>TRec!J17</f>
        <v>474</v>
      </c>
      <c r="G16" s="32">
        <f>Adults!J17</f>
        <v>76</v>
      </c>
      <c r="H16" s="32">
        <f>Children!J17</f>
        <v>398</v>
      </c>
    </row>
    <row r="17" spans="1:8" s="31" customFormat="1" ht="11.25" customHeight="1" x14ac:dyDescent="0.2">
      <c r="A17" s="38" t="s">
        <v>15</v>
      </c>
      <c r="B17" s="30">
        <f>TFam!J18</f>
        <v>2577</v>
      </c>
      <c r="C17" s="30">
        <f>'Two-par'!J18</f>
        <v>360</v>
      </c>
      <c r="D17" s="30">
        <f>'One-par'!J18</f>
        <v>1619</v>
      </c>
      <c r="E17" s="30">
        <f>'Zero-par'!J18</f>
        <v>598</v>
      </c>
      <c r="F17" s="30">
        <f>TRec!J18</f>
        <v>7084</v>
      </c>
      <c r="G17" s="30">
        <f>Adults!J18</f>
        <v>2072</v>
      </c>
      <c r="H17" s="30">
        <f>Children!J18</f>
        <v>5012</v>
      </c>
    </row>
    <row r="18" spans="1:8" s="31" customFormat="1" ht="11.25" customHeight="1" x14ac:dyDescent="0.2">
      <c r="A18" s="38" t="s">
        <v>16</v>
      </c>
      <c r="B18" s="32">
        <f>TFam!J19</f>
        <v>1466</v>
      </c>
      <c r="C18" s="32">
        <f>'Two-par'!J19</f>
        <v>0</v>
      </c>
      <c r="D18" s="32">
        <f>'One-par'!J19</f>
        <v>15</v>
      </c>
      <c r="E18" s="32">
        <f>'Zero-par'!J19</f>
        <v>1451</v>
      </c>
      <c r="F18" s="32">
        <f>TRec!J19</f>
        <v>1977</v>
      </c>
      <c r="G18" s="32">
        <f>Adults!J19</f>
        <v>15</v>
      </c>
      <c r="H18" s="32">
        <f>Children!J19</f>
        <v>1962</v>
      </c>
    </row>
    <row r="19" spans="1:8" s="31" customFormat="1" ht="11.25" customHeight="1" x14ac:dyDescent="0.2">
      <c r="A19" s="38" t="s">
        <v>17</v>
      </c>
      <c r="B19" s="30">
        <f>TFam!J20</f>
        <v>9884</v>
      </c>
      <c r="C19" s="30">
        <f>'Two-par'!J20</f>
        <v>0</v>
      </c>
      <c r="D19" s="30">
        <f>'One-par'!J20</f>
        <v>2249</v>
      </c>
      <c r="E19" s="30">
        <f>'Zero-par'!J20</f>
        <v>7635</v>
      </c>
      <c r="F19" s="30">
        <f>TRec!J20</f>
        <v>20045</v>
      </c>
      <c r="G19" s="30">
        <f>Adults!J20</f>
        <v>2530</v>
      </c>
      <c r="H19" s="30">
        <f>Children!J20</f>
        <v>17515</v>
      </c>
    </row>
    <row r="20" spans="1:8" s="31" customFormat="1" ht="11.25" customHeight="1" x14ac:dyDescent="0.2">
      <c r="A20" s="38" t="s">
        <v>18</v>
      </c>
      <c r="B20" s="30">
        <f>TFam!J21</f>
        <v>5290</v>
      </c>
      <c r="C20" s="30">
        <f>'Two-par'!J21</f>
        <v>786</v>
      </c>
      <c r="D20" s="30">
        <f>'One-par'!J21</f>
        <v>2039</v>
      </c>
      <c r="E20" s="30">
        <f>'Zero-par'!J21</f>
        <v>2465</v>
      </c>
      <c r="F20" s="30">
        <f>TRec!J21</f>
        <v>12530</v>
      </c>
      <c r="G20" s="30">
        <f>Adults!J21</f>
        <v>3217</v>
      </c>
      <c r="H20" s="30">
        <f>Children!J21</f>
        <v>9313</v>
      </c>
    </row>
    <row r="21" spans="1:8" s="31" customFormat="1" ht="11.25" customHeight="1" x14ac:dyDescent="0.2">
      <c r="A21" s="38" t="s">
        <v>19</v>
      </c>
      <c r="B21" s="30">
        <f>TFam!J22</f>
        <v>4011</v>
      </c>
      <c r="C21" s="30">
        <f>'Two-par'!J22</f>
        <v>231</v>
      </c>
      <c r="D21" s="30">
        <f>'One-par'!J22</f>
        <v>1922</v>
      </c>
      <c r="E21" s="30">
        <f>'Zero-par'!J22</f>
        <v>1858</v>
      </c>
      <c r="F21" s="30">
        <f>TRec!J22</f>
        <v>10082</v>
      </c>
      <c r="G21" s="30">
        <f>Adults!J22</f>
        <v>2414</v>
      </c>
      <c r="H21" s="30">
        <f>Children!J22</f>
        <v>7668</v>
      </c>
    </row>
    <row r="22" spans="1:8" s="31" customFormat="1" ht="11.25" customHeight="1" x14ac:dyDescent="0.2">
      <c r="A22" s="38" t="s">
        <v>20</v>
      </c>
      <c r="B22" s="32">
        <f>TFam!J23</f>
        <v>2903</v>
      </c>
      <c r="C22" s="32">
        <f>'Two-par'!J23</f>
        <v>261</v>
      </c>
      <c r="D22" s="32">
        <f>'One-par'!J23</f>
        <v>1387</v>
      </c>
      <c r="E22" s="32">
        <f>'Zero-par'!J23</f>
        <v>1255</v>
      </c>
      <c r="F22" s="32">
        <f>TRec!J23</f>
        <v>2903</v>
      </c>
      <c r="G22" s="32">
        <f>Adults!J23</f>
        <v>1486</v>
      </c>
      <c r="H22" s="32">
        <f>Children!J23</f>
        <v>1417</v>
      </c>
    </row>
    <row r="23" spans="1:8" s="31" customFormat="1" ht="11.25" customHeight="1" x14ac:dyDescent="0.2">
      <c r="A23" s="38" t="s">
        <v>21</v>
      </c>
      <c r="B23" s="32">
        <f>TFam!J24</f>
        <v>14977</v>
      </c>
      <c r="C23" s="32">
        <f>'Two-par'!J24</f>
        <v>1059</v>
      </c>
      <c r="D23" s="32">
        <f>'One-par'!J24</f>
        <v>5699</v>
      </c>
      <c r="E23" s="32">
        <f>'Zero-par'!J24</f>
        <v>8219</v>
      </c>
      <c r="F23" s="32">
        <f>TRec!J24</f>
        <v>34685</v>
      </c>
      <c r="G23" s="32">
        <f>Adults!J24</f>
        <v>8010</v>
      </c>
      <c r="H23" s="32">
        <f>Children!J24</f>
        <v>26675</v>
      </c>
    </row>
    <row r="24" spans="1:8" s="31" customFormat="1" ht="11.25" customHeight="1" x14ac:dyDescent="0.2">
      <c r="A24" s="38" t="s">
        <v>22</v>
      </c>
      <c r="B24" s="32">
        <f>TFam!J25</f>
        <v>4822</v>
      </c>
      <c r="C24" s="32">
        <f>'Two-par'!J25</f>
        <v>0</v>
      </c>
      <c r="D24" s="32">
        <f>'One-par'!J25</f>
        <v>2723</v>
      </c>
      <c r="E24" s="32">
        <f>'Zero-par'!J25</f>
        <v>2099</v>
      </c>
      <c r="F24" s="32">
        <f>TRec!J25</f>
        <v>12410</v>
      </c>
      <c r="G24" s="32">
        <f>Adults!J25</f>
        <v>2358</v>
      </c>
      <c r="H24" s="32">
        <f>Children!J25</f>
        <v>10052</v>
      </c>
    </row>
    <row r="25" spans="1:8" s="31" customFormat="1" ht="11.25" customHeight="1" x14ac:dyDescent="0.2">
      <c r="A25" s="38" t="s">
        <v>23</v>
      </c>
      <c r="B25" s="30">
        <f>TFam!J26</f>
        <v>3753</v>
      </c>
      <c r="C25" s="30">
        <f>'Two-par'!J26</f>
        <v>517</v>
      </c>
      <c r="D25" s="30">
        <f>'One-par'!J26</f>
        <v>2235</v>
      </c>
      <c r="E25" s="30">
        <f>'Zero-par'!J26</f>
        <v>1001</v>
      </c>
      <c r="F25" s="30">
        <f>TRec!J26</f>
        <v>9730</v>
      </c>
      <c r="G25" s="30">
        <f>Adults!J26</f>
        <v>3161</v>
      </c>
      <c r="H25" s="30">
        <f>Children!J26</f>
        <v>6569</v>
      </c>
    </row>
    <row r="26" spans="1:8" s="31" customFormat="1" ht="11.25" customHeight="1" x14ac:dyDescent="0.2">
      <c r="A26" s="38" t="s">
        <v>24</v>
      </c>
      <c r="B26" s="30">
        <f>TFam!J27</f>
        <v>14753</v>
      </c>
      <c r="C26" s="30">
        <f>'Two-par'!J27</f>
        <v>0</v>
      </c>
      <c r="D26" s="30">
        <f>'One-par'!J27</f>
        <v>10721</v>
      </c>
      <c r="E26" s="30">
        <f>'Zero-par'!J27</f>
        <v>4032</v>
      </c>
      <c r="F26" s="30">
        <f>TRec!J27</f>
        <v>40468</v>
      </c>
      <c r="G26" s="30">
        <f>Adults!J27</f>
        <v>11541</v>
      </c>
      <c r="H26" s="30">
        <f>Children!J27</f>
        <v>28927</v>
      </c>
    </row>
    <row r="27" spans="1:8" s="31" customFormat="1" ht="11.25" customHeight="1" x14ac:dyDescent="0.2">
      <c r="A27" s="38" t="s">
        <v>25</v>
      </c>
      <c r="B27" s="30">
        <f>TFam!J28</f>
        <v>36572</v>
      </c>
      <c r="C27" s="30">
        <f>'Two-par'!J28</f>
        <v>2331</v>
      </c>
      <c r="D27" s="30">
        <f>'One-par'!J28</f>
        <v>22365</v>
      </c>
      <c r="E27" s="30">
        <f>'Zero-par'!J28</f>
        <v>11876</v>
      </c>
      <c r="F27" s="30">
        <f>TRec!J28</f>
        <v>85650</v>
      </c>
      <c r="G27" s="30">
        <f>Adults!J28</f>
        <v>25807</v>
      </c>
      <c r="H27" s="30">
        <f>Children!J28</f>
        <v>59843</v>
      </c>
    </row>
    <row r="28" spans="1:8" s="31" customFormat="1" ht="11.25" customHeight="1" x14ac:dyDescent="0.2">
      <c r="A28" s="38" t="s">
        <v>26</v>
      </c>
      <c r="B28" s="32">
        <f>TFam!J29</f>
        <v>7604</v>
      </c>
      <c r="C28" s="32">
        <f>'Two-par'!J29</f>
        <v>0</v>
      </c>
      <c r="D28" s="32">
        <f>'One-par'!J29</f>
        <v>3623</v>
      </c>
      <c r="E28" s="32">
        <f>'Zero-par'!J29</f>
        <v>3981</v>
      </c>
      <c r="F28" s="32">
        <f>TRec!J29</f>
        <v>20050</v>
      </c>
      <c r="G28" s="32">
        <f>Adults!J29</f>
        <v>4316</v>
      </c>
      <c r="H28" s="32">
        <f>Children!J29</f>
        <v>15734</v>
      </c>
    </row>
    <row r="29" spans="1:8" s="31" customFormat="1" ht="11.25" customHeight="1" x14ac:dyDescent="0.2">
      <c r="A29" s="38" t="s">
        <v>27</v>
      </c>
      <c r="B29" s="30">
        <f>TFam!J30</f>
        <v>13325</v>
      </c>
      <c r="C29" s="30">
        <f>'Two-par'!J30</f>
        <v>0</v>
      </c>
      <c r="D29" s="30">
        <f>'One-par'!J30</f>
        <v>7789</v>
      </c>
      <c r="E29" s="30">
        <f>'Zero-par'!J30</f>
        <v>5536</v>
      </c>
      <c r="F29" s="30">
        <f>TRec!J30</f>
        <v>31070</v>
      </c>
      <c r="G29" s="30">
        <f>Adults!J30</f>
        <v>7754</v>
      </c>
      <c r="H29" s="30">
        <f>Children!J30</f>
        <v>23316</v>
      </c>
    </row>
    <row r="30" spans="1:8" s="31" customFormat="1" ht="11.25" customHeight="1" x14ac:dyDescent="0.2">
      <c r="A30" s="38" t="s">
        <v>28</v>
      </c>
      <c r="B30" s="32">
        <f>TFam!J31</f>
        <v>1407</v>
      </c>
      <c r="C30" s="32">
        <f>'Two-par'!J31</f>
        <v>0</v>
      </c>
      <c r="D30" s="32">
        <f>'One-par'!J31</f>
        <v>306</v>
      </c>
      <c r="E30" s="32">
        <f>'Zero-par'!J31</f>
        <v>1101</v>
      </c>
      <c r="F30" s="32">
        <f>TRec!J31</f>
        <v>2540</v>
      </c>
      <c r="G30" s="32">
        <f>Adults!J31</f>
        <v>317</v>
      </c>
      <c r="H30" s="32">
        <f>Children!J31</f>
        <v>2223</v>
      </c>
    </row>
    <row r="31" spans="1:8" s="31" customFormat="1" x14ac:dyDescent="0.2">
      <c r="A31" s="38" t="s">
        <v>29</v>
      </c>
      <c r="B31" s="30">
        <f>TFam!J32</f>
        <v>4675</v>
      </c>
      <c r="C31" s="30">
        <f>'Two-par'!J32</f>
        <v>0</v>
      </c>
      <c r="D31" s="30">
        <f>'One-par'!J32</f>
        <v>2608</v>
      </c>
      <c r="E31" s="30">
        <f>'Zero-par'!J32</f>
        <v>2067</v>
      </c>
      <c r="F31" s="30">
        <f>TRec!J32</f>
        <v>10789</v>
      </c>
      <c r="G31" s="30">
        <f>Adults!J32</f>
        <v>2300</v>
      </c>
      <c r="H31" s="30">
        <f>Children!J32</f>
        <v>8489</v>
      </c>
    </row>
    <row r="32" spans="1:8" s="31" customFormat="1" x14ac:dyDescent="0.2">
      <c r="A32" s="38" t="s">
        <v>30</v>
      </c>
      <c r="B32" s="32">
        <f>TFam!J33</f>
        <v>1584</v>
      </c>
      <c r="C32" s="32">
        <f>'Two-par'!J33</f>
        <v>91</v>
      </c>
      <c r="D32" s="32">
        <f>'One-par'!J33</f>
        <v>612</v>
      </c>
      <c r="E32" s="32">
        <f>'Zero-par'!J33</f>
        <v>881</v>
      </c>
      <c r="F32" s="32">
        <f>TRec!J33</f>
        <v>3509</v>
      </c>
      <c r="G32" s="32">
        <f>Adults!J33</f>
        <v>646</v>
      </c>
      <c r="H32" s="32">
        <f>Children!J33</f>
        <v>2863</v>
      </c>
    </row>
    <row r="33" spans="1:8" s="31" customFormat="1" x14ac:dyDescent="0.2">
      <c r="A33" s="38" t="s">
        <v>31</v>
      </c>
      <c r="B33" s="30">
        <f>TFam!J34</f>
        <v>2576</v>
      </c>
      <c r="C33" s="30">
        <f>'Two-par'!J34</f>
        <v>0</v>
      </c>
      <c r="D33" s="30">
        <f>'One-par'!J34</f>
        <v>729</v>
      </c>
      <c r="E33" s="30">
        <f>'Zero-par'!J34</f>
        <v>1847</v>
      </c>
      <c r="F33" s="30">
        <f>TRec!J34</f>
        <v>5905</v>
      </c>
      <c r="G33" s="30">
        <f>Adults!J34</f>
        <v>716</v>
      </c>
      <c r="H33" s="30">
        <f>Children!J34</f>
        <v>5189</v>
      </c>
    </row>
    <row r="34" spans="1:8" s="31" customFormat="1" x14ac:dyDescent="0.2">
      <c r="A34" s="38" t="s">
        <v>32</v>
      </c>
      <c r="B34" s="30">
        <f>TFam!J35</f>
        <v>5444</v>
      </c>
      <c r="C34" s="30">
        <f>'Two-par'!J35</f>
        <v>513</v>
      </c>
      <c r="D34" s="30">
        <f>'One-par'!J35</f>
        <v>2344</v>
      </c>
      <c r="E34" s="30">
        <f>'Zero-par'!J35</f>
        <v>2587</v>
      </c>
      <c r="F34" s="30">
        <f>TRec!J35</f>
        <v>13661</v>
      </c>
      <c r="G34" s="30">
        <f>Adults!J35</f>
        <v>3579</v>
      </c>
      <c r="H34" s="30">
        <f>Children!J35</f>
        <v>10082</v>
      </c>
    </row>
    <row r="35" spans="1:8" s="31" customFormat="1" x14ac:dyDescent="0.2">
      <c r="A35" s="38" t="s">
        <v>33</v>
      </c>
      <c r="B35" s="30">
        <f>TFam!J36</f>
        <v>2499</v>
      </c>
      <c r="C35" s="30">
        <f>'Two-par'!J36</f>
        <v>1</v>
      </c>
      <c r="D35" s="30">
        <f>'One-par'!J36</f>
        <v>1024</v>
      </c>
      <c r="E35" s="30">
        <f>'Zero-par'!J36</f>
        <v>1474</v>
      </c>
      <c r="F35" s="30">
        <f>TRec!J36</f>
        <v>5051</v>
      </c>
      <c r="G35" s="30">
        <f>Adults!J36</f>
        <v>1071</v>
      </c>
      <c r="H35" s="30">
        <f>Children!J36</f>
        <v>3980</v>
      </c>
    </row>
    <row r="36" spans="1:8" s="31" customFormat="1" x14ac:dyDescent="0.2">
      <c r="A36" s="38" t="s">
        <v>34</v>
      </c>
      <c r="B36" s="30">
        <f>TFam!J37</f>
        <v>9491</v>
      </c>
      <c r="C36" s="30">
        <f>'Two-par'!J37</f>
        <v>56</v>
      </c>
      <c r="D36" s="30">
        <f>'One-par'!J37</f>
        <v>7243</v>
      </c>
      <c r="E36" s="30">
        <f>'Zero-par'!J37</f>
        <v>2192</v>
      </c>
      <c r="F36" s="30">
        <f>TRec!J37</f>
        <v>22358</v>
      </c>
      <c r="G36" s="30">
        <f>Adults!J37</f>
        <v>6329</v>
      </c>
      <c r="H36" s="30">
        <f>Children!J37</f>
        <v>16029</v>
      </c>
    </row>
    <row r="37" spans="1:8" s="31" customFormat="1" x14ac:dyDescent="0.2">
      <c r="A37" s="38" t="s">
        <v>35</v>
      </c>
      <c r="B37" s="32">
        <f>TFam!J38</f>
        <v>7408</v>
      </c>
      <c r="C37" s="32">
        <f>'Two-par'!J38</f>
        <v>481</v>
      </c>
      <c r="D37" s="32">
        <f>'One-par'!J38</f>
        <v>3705</v>
      </c>
      <c r="E37" s="32">
        <f>'Zero-par'!J38</f>
        <v>3222</v>
      </c>
      <c r="F37" s="32">
        <f>TRec!J38</f>
        <v>18212</v>
      </c>
      <c r="G37" s="32">
        <f>Adults!J38</f>
        <v>4667</v>
      </c>
      <c r="H37" s="32">
        <f>Children!J38</f>
        <v>13545</v>
      </c>
    </row>
    <row r="38" spans="1:8" s="31" customFormat="1" x14ac:dyDescent="0.2">
      <c r="A38" s="38" t="s">
        <v>36</v>
      </c>
      <c r="B38" s="30">
        <f>TFam!J39</f>
        <v>131856</v>
      </c>
      <c r="C38" s="30">
        <f>'Two-par'!J39</f>
        <v>1742</v>
      </c>
      <c r="D38" s="30">
        <f>'One-par'!J39</f>
        <v>98179</v>
      </c>
      <c r="E38" s="30">
        <f>'Zero-par'!J39</f>
        <v>31935</v>
      </c>
      <c r="F38" s="30">
        <f>TRec!J39</f>
        <v>341200</v>
      </c>
      <c r="G38" s="30">
        <f>Adults!J39</f>
        <v>122320</v>
      </c>
      <c r="H38" s="30">
        <f>Children!J39</f>
        <v>218880</v>
      </c>
    </row>
    <row r="39" spans="1:8" s="31" customFormat="1" x14ac:dyDescent="0.2">
      <c r="A39" s="38" t="s">
        <v>37</v>
      </c>
      <c r="B39" s="32">
        <f>TFam!J40</f>
        <v>6848</v>
      </c>
      <c r="C39" s="32">
        <f>'Two-par'!J40</f>
        <v>65</v>
      </c>
      <c r="D39" s="32">
        <f>'One-par'!J40</f>
        <v>899</v>
      </c>
      <c r="E39" s="32">
        <f>'Zero-par'!J40</f>
        <v>5884</v>
      </c>
      <c r="F39" s="32">
        <f>TRec!J40</f>
        <v>11578</v>
      </c>
      <c r="G39" s="32">
        <f>Adults!J40</f>
        <v>1069</v>
      </c>
      <c r="H39" s="32">
        <f>Children!J40</f>
        <v>10509</v>
      </c>
    </row>
    <row r="40" spans="1:8" s="31" customFormat="1" x14ac:dyDescent="0.2">
      <c r="A40" s="38" t="s">
        <v>38</v>
      </c>
      <c r="B40" s="32">
        <f>TFam!J41</f>
        <v>652</v>
      </c>
      <c r="C40" s="32">
        <f>'Two-par'!J41</f>
        <v>0</v>
      </c>
      <c r="D40" s="32">
        <f>'One-par'!J41</f>
        <v>352</v>
      </c>
      <c r="E40" s="32">
        <f>'Zero-par'!J41</f>
        <v>300</v>
      </c>
      <c r="F40" s="32">
        <f>TRec!J41</f>
        <v>1646</v>
      </c>
      <c r="G40" s="32">
        <f>Adults!J41</f>
        <v>292</v>
      </c>
      <c r="H40" s="32">
        <f>Children!J41</f>
        <v>1354</v>
      </c>
    </row>
    <row r="41" spans="1:8" s="31" customFormat="1" x14ac:dyDescent="0.2">
      <c r="A41" s="38" t="s">
        <v>39</v>
      </c>
      <c r="B41" s="32">
        <f>TFam!J42</f>
        <v>38369</v>
      </c>
      <c r="C41" s="32">
        <f>'Two-par'!J42</f>
        <v>699</v>
      </c>
      <c r="D41" s="32">
        <f>'One-par'!J42</f>
        <v>4684</v>
      </c>
      <c r="E41" s="32">
        <f>'Zero-par'!J42</f>
        <v>32986</v>
      </c>
      <c r="F41" s="32">
        <f>TRec!J42</f>
        <v>68155</v>
      </c>
      <c r="G41" s="32">
        <f>Adults!J42</f>
        <v>6604</v>
      </c>
      <c r="H41" s="32">
        <f>Children!J42</f>
        <v>61551</v>
      </c>
    </row>
    <row r="42" spans="1:8" s="31" customFormat="1" x14ac:dyDescent="0.2">
      <c r="A42" s="38" t="s">
        <v>40</v>
      </c>
      <c r="B42" s="32">
        <f>TFam!J43</f>
        <v>3157</v>
      </c>
      <c r="C42" s="32">
        <f>'Two-par'!J43</f>
        <v>0</v>
      </c>
      <c r="D42" s="32">
        <f>'One-par'!J43</f>
        <v>768</v>
      </c>
      <c r="E42" s="32">
        <f>'Zero-par'!J43</f>
        <v>2389</v>
      </c>
      <c r="F42" s="32">
        <f>TRec!J43</f>
        <v>6767</v>
      </c>
      <c r="G42" s="32">
        <f>Adults!J43</f>
        <v>768</v>
      </c>
      <c r="H42" s="32">
        <f>Children!J43</f>
        <v>5999</v>
      </c>
    </row>
    <row r="43" spans="1:8" s="31" customFormat="1" x14ac:dyDescent="0.2">
      <c r="A43" s="38" t="s">
        <v>41</v>
      </c>
      <c r="B43" s="32">
        <f>TFam!J44</f>
        <v>18181</v>
      </c>
      <c r="C43" s="32">
        <f>'Two-par'!J44</f>
        <v>0</v>
      </c>
      <c r="D43" s="32">
        <f>'One-par'!J44</f>
        <v>12061</v>
      </c>
      <c r="E43" s="32">
        <f>'Zero-par'!J44</f>
        <v>6120</v>
      </c>
      <c r="F43" s="32">
        <f>TRec!J44</f>
        <v>41542</v>
      </c>
      <c r="G43" s="32">
        <f>Adults!J44</f>
        <v>12223</v>
      </c>
      <c r="H43" s="32">
        <f>Children!J44</f>
        <v>29319</v>
      </c>
    </row>
    <row r="44" spans="1:8" s="31" customFormat="1" x14ac:dyDescent="0.2">
      <c r="A44" s="38" t="s">
        <v>42</v>
      </c>
      <c r="B44" s="32">
        <f>TFam!J45</f>
        <v>23351</v>
      </c>
      <c r="C44" s="32">
        <f>'Two-par'!J45</f>
        <v>345</v>
      </c>
      <c r="D44" s="32">
        <f>'One-par'!J45</f>
        <v>14661</v>
      </c>
      <c r="E44" s="32">
        <f>'Zero-par'!J45</f>
        <v>8345</v>
      </c>
      <c r="F44" s="32">
        <f>TRec!J45</f>
        <v>57879</v>
      </c>
      <c r="G44" s="32">
        <f>Adults!J45</f>
        <v>14262</v>
      </c>
      <c r="H44" s="32">
        <f>Children!J45</f>
        <v>43617</v>
      </c>
    </row>
    <row r="45" spans="1:8" s="31" customFormat="1" x14ac:dyDescent="0.2">
      <c r="A45" s="38" t="s">
        <v>43</v>
      </c>
      <c r="B45" s="32">
        <f>TFam!J46</f>
        <v>2223</v>
      </c>
      <c r="C45" s="32">
        <f>'Two-par'!J46</f>
        <v>92</v>
      </c>
      <c r="D45" s="32">
        <f>'One-par'!J46</f>
        <v>1975</v>
      </c>
      <c r="E45" s="32">
        <f>'Zero-par'!J46</f>
        <v>156</v>
      </c>
      <c r="F45" s="32">
        <f>TRec!J46</f>
        <v>6155</v>
      </c>
      <c r="G45" s="32">
        <f>Adults!J46</f>
        <v>2286</v>
      </c>
      <c r="H45" s="32">
        <f>Children!J46</f>
        <v>3869</v>
      </c>
    </row>
    <row r="46" spans="1:8" s="31" customFormat="1" x14ac:dyDescent="0.2">
      <c r="A46" s="38" t="s">
        <v>44</v>
      </c>
      <c r="B46" s="30">
        <f>TFam!J47</f>
        <v>3369</v>
      </c>
      <c r="C46" s="30">
        <f>'Two-par'!J47</f>
        <v>230</v>
      </c>
      <c r="D46" s="30">
        <f>'One-par'!J47</f>
        <v>2569</v>
      </c>
      <c r="E46" s="30">
        <f>'Zero-par'!J47</f>
        <v>570</v>
      </c>
      <c r="F46" s="30">
        <f>TRec!J47</f>
        <v>8726</v>
      </c>
      <c r="G46" s="30">
        <f>Adults!J47</f>
        <v>2650</v>
      </c>
      <c r="H46" s="30">
        <f>Children!J47</f>
        <v>6076</v>
      </c>
    </row>
    <row r="47" spans="1:8" s="31" customFormat="1" x14ac:dyDescent="0.2">
      <c r="A47" s="38" t="s">
        <v>45</v>
      </c>
      <c r="B47" s="30">
        <f>TFam!J48</f>
        <v>5605</v>
      </c>
      <c r="C47" s="30">
        <f>'Two-par'!J48</f>
        <v>0</v>
      </c>
      <c r="D47" s="30">
        <f>'One-par'!J48</f>
        <v>2535</v>
      </c>
      <c r="E47" s="30">
        <f>'Zero-par'!J48</f>
        <v>3070</v>
      </c>
      <c r="F47" s="30">
        <f>TRec!J48</f>
        <v>13124</v>
      </c>
      <c r="G47" s="30">
        <f>Adults!J48</f>
        <v>2535</v>
      </c>
      <c r="H47" s="30">
        <f>Children!J48</f>
        <v>10589</v>
      </c>
    </row>
    <row r="48" spans="1:8" s="31" customFormat="1" x14ac:dyDescent="0.2">
      <c r="A48" s="38" t="s">
        <v>46</v>
      </c>
      <c r="B48" s="32">
        <f>TFam!J49</f>
        <v>2495</v>
      </c>
      <c r="C48" s="32">
        <f>'Two-par'!J49</f>
        <v>0</v>
      </c>
      <c r="D48" s="32">
        <f>'One-par'!J49</f>
        <v>433</v>
      </c>
      <c r="E48" s="32">
        <f>'Zero-par'!J49</f>
        <v>2062</v>
      </c>
      <c r="F48" s="32">
        <f>TRec!J49</f>
        <v>5053</v>
      </c>
      <c r="G48" s="32">
        <f>Adults!J49</f>
        <v>433</v>
      </c>
      <c r="H48" s="32">
        <f>Children!J49</f>
        <v>4620</v>
      </c>
    </row>
    <row r="49" spans="1:18" s="31" customFormat="1" x14ac:dyDescent="0.2">
      <c r="A49" s="38" t="s">
        <v>47</v>
      </c>
      <c r="B49" s="30">
        <f>TFam!J50</f>
        <v>12086</v>
      </c>
      <c r="C49" s="30">
        <f>'Two-par'!J50</f>
        <v>253</v>
      </c>
      <c r="D49" s="30">
        <f>'One-par'!J50</f>
        <v>4402</v>
      </c>
      <c r="E49" s="30">
        <f>'Zero-par'!J50</f>
        <v>7431</v>
      </c>
      <c r="F49" s="30">
        <f>TRec!J50</f>
        <v>27211</v>
      </c>
      <c r="G49" s="30">
        <f>Adults!J50</f>
        <v>6045</v>
      </c>
      <c r="H49" s="30">
        <f>Children!J50</f>
        <v>21166</v>
      </c>
    </row>
    <row r="50" spans="1:18" s="31" customFormat="1" x14ac:dyDescent="0.2">
      <c r="A50" s="38" t="s">
        <v>48</v>
      </c>
      <c r="B50" s="30">
        <f>TFam!J51</f>
        <v>9267</v>
      </c>
      <c r="C50" s="30">
        <f>'Two-par'!J51</f>
        <v>0</v>
      </c>
      <c r="D50" s="30">
        <f>'One-par'!J51</f>
        <v>2741</v>
      </c>
      <c r="E50" s="30">
        <f>'Zero-par'!J51</f>
        <v>6526</v>
      </c>
      <c r="F50" s="30">
        <f>TRec!J51</f>
        <v>18672</v>
      </c>
      <c r="G50" s="30">
        <f>Adults!J51</f>
        <v>2741</v>
      </c>
      <c r="H50" s="30">
        <f>Children!J51</f>
        <v>15931</v>
      </c>
    </row>
    <row r="51" spans="1:18" s="31" customFormat="1" x14ac:dyDescent="0.2">
      <c r="A51" s="38" t="s">
        <v>49</v>
      </c>
      <c r="B51" s="30">
        <f>TFam!J52</f>
        <v>1878</v>
      </c>
      <c r="C51" s="30">
        <f>'Two-par'!J52</f>
        <v>0</v>
      </c>
      <c r="D51" s="30">
        <f>'One-par'!J52</f>
        <v>840</v>
      </c>
      <c r="E51" s="30">
        <f>'Zero-par'!J52</f>
        <v>1038</v>
      </c>
      <c r="F51" s="30">
        <f>TRec!J52</f>
        <v>4388</v>
      </c>
      <c r="G51" s="30">
        <f>Adults!J52</f>
        <v>1163</v>
      </c>
      <c r="H51" s="30">
        <f>Children!J52</f>
        <v>3225</v>
      </c>
    </row>
    <row r="52" spans="1:18" s="31" customFormat="1" x14ac:dyDescent="0.2">
      <c r="A52" s="38" t="s">
        <v>50</v>
      </c>
      <c r="B52" s="30">
        <f>TFam!J53</f>
        <v>1621</v>
      </c>
      <c r="C52" s="30">
        <f>'Two-par'!J53</f>
        <v>115</v>
      </c>
      <c r="D52" s="30">
        <f>'One-par'!J53</f>
        <v>574</v>
      </c>
      <c r="E52" s="30">
        <f>'Zero-par'!J53</f>
        <v>932</v>
      </c>
      <c r="F52" s="30">
        <f>TRec!J53</f>
        <v>3429</v>
      </c>
      <c r="G52" s="30">
        <f>Adults!J53</f>
        <v>806</v>
      </c>
      <c r="H52" s="30">
        <f>Children!J53</f>
        <v>2623</v>
      </c>
    </row>
    <row r="53" spans="1:18" s="31" customFormat="1" x14ac:dyDescent="0.2">
      <c r="A53" s="38" t="s">
        <v>51</v>
      </c>
      <c r="B53" s="32">
        <f>TFam!J54</f>
        <v>50</v>
      </c>
      <c r="C53" s="32">
        <f>'Two-par'!J54</f>
        <v>0</v>
      </c>
      <c r="D53" s="32">
        <f>'One-par'!J54</f>
        <v>39</v>
      </c>
      <c r="E53" s="32">
        <f>'Zero-par'!J54</f>
        <v>11</v>
      </c>
      <c r="F53" s="32">
        <f>TRec!J54</f>
        <v>165</v>
      </c>
      <c r="G53" s="32">
        <f>Adults!J54</f>
        <v>50</v>
      </c>
      <c r="H53" s="32">
        <f>Children!J54</f>
        <v>115</v>
      </c>
    </row>
    <row r="54" spans="1:18" s="31" customFormat="1" x14ac:dyDescent="0.2">
      <c r="A54" s="38" t="s">
        <v>52</v>
      </c>
      <c r="B54" s="30">
        <f>TFam!J55</f>
        <v>12921</v>
      </c>
      <c r="C54" s="30">
        <f>'Two-par'!J55</f>
        <v>0</v>
      </c>
      <c r="D54" s="30">
        <f>'One-par'!J55</f>
        <v>6696</v>
      </c>
      <c r="E54" s="30">
        <f>'Zero-par'!J55</f>
        <v>6225</v>
      </c>
      <c r="F54" s="30">
        <f>TRec!J55</f>
        <v>29096</v>
      </c>
      <c r="G54" s="30">
        <f>Adults!J55</f>
        <v>6623</v>
      </c>
      <c r="H54" s="30">
        <f>Children!J55</f>
        <v>22473</v>
      </c>
    </row>
    <row r="55" spans="1:18" s="31" customFormat="1" x14ac:dyDescent="0.2">
      <c r="A55" s="38" t="s">
        <v>53</v>
      </c>
      <c r="B55" s="30">
        <f>TFam!J56</f>
        <v>33549</v>
      </c>
      <c r="C55" s="30">
        <f>'Two-par'!J56</f>
        <v>4623</v>
      </c>
      <c r="D55" s="30">
        <f>'One-par'!J56</f>
        <v>18477</v>
      </c>
      <c r="E55" s="30">
        <f>'Zero-par'!J56</f>
        <v>10449</v>
      </c>
      <c r="F55" s="30">
        <f>TRec!J56</f>
        <v>84604</v>
      </c>
      <c r="G55" s="30">
        <f>Adults!J56</f>
        <v>28209</v>
      </c>
      <c r="H55" s="30">
        <f>Children!J56</f>
        <v>56395</v>
      </c>
    </row>
    <row r="56" spans="1:18" s="31" customFormat="1" x14ac:dyDescent="0.2">
      <c r="A56" s="38" t="s">
        <v>54</v>
      </c>
      <c r="B56" s="32">
        <f>TFam!J57</f>
        <v>4500</v>
      </c>
      <c r="C56" s="32">
        <f>'Two-par'!J57</f>
        <v>0</v>
      </c>
      <c r="D56" s="32">
        <f>'One-par'!J57</f>
        <v>1046</v>
      </c>
      <c r="E56" s="32">
        <f>'Zero-par'!J57</f>
        <v>3454</v>
      </c>
      <c r="F56" s="32">
        <f>TRec!J57</f>
        <v>8732</v>
      </c>
      <c r="G56" s="32">
        <f>Adults!J57</f>
        <v>1436</v>
      </c>
      <c r="H56" s="32">
        <f>Children!J57</f>
        <v>7296</v>
      </c>
    </row>
    <row r="57" spans="1:18" s="31" customFormat="1" x14ac:dyDescent="0.2">
      <c r="A57" s="38" t="s">
        <v>55</v>
      </c>
      <c r="B57" s="30">
        <f>TFam!J58</f>
        <v>11272</v>
      </c>
      <c r="C57" s="30">
        <f>'Two-par'!J58</f>
        <v>82</v>
      </c>
      <c r="D57" s="30">
        <f>'One-par'!J58</f>
        <v>3072</v>
      </c>
      <c r="E57" s="30">
        <f>'Zero-par'!J58</f>
        <v>8118</v>
      </c>
      <c r="F57" s="30">
        <f>TRec!J58</f>
        <v>23508</v>
      </c>
      <c r="G57" s="30">
        <f>Adults!J58</f>
        <v>3445</v>
      </c>
      <c r="H57" s="30">
        <f>Children!J58</f>
        <v>20063</v>
      </c>
    </row>
    <row r="58" spans="1:18" s="31" customFormat="1" x14ac:dyDescent="0.2">
      <c r="A58" s="39" t="s">
        <v>56</v>
      </c>
      <c r="B58" s="33">
        <f>TFam!J59</f>
        <v>491</v>
      </c>
      <c r="C58" s="33">
        <f>'Two-par'!J59</f>
        <v>23</v>
      </c>
      <c r="D58" s="33">
        <f>'One-par'!J59</f>
        <v>252</v>
      </c>
      <c r="E58" s="33">
        <f>'Zero-par'!J59</f>
        <v>216</v>
      </c>
      <c r="F58" s="33">
        <f>TRec!J59</f>
        <v>1210</v>
      </c>
      <c r="G58" s="33">
        <f>Adults!J59</f>
        <v>298</v>
      </c>
      <c r="H58" s="33">
        <f>Children!J59</f>
        <v>912</v>
      </c>
    </row>
    <row r="59" spans="1:18" x14ac:dyDescent="0.2">
      <c r="A59" s="82">
        <f>TFam!$A$3</f>
        <v>45687</v>
      </c>
      <c r="B59" s="72"/>
      <c r="C59" s="72"/>
      <c r="D59" s="72"/>
      <c r="E59" s="72"/>
      <c r="F59" s="72"/>
      <c r="G59" s="72"/>
      <c r="H59" s="72"/>
      <c r="I59" s="58"/>
      <c r="J59" s="58"/>
      <c r="K59" s="58"/>
      <c r="L59" s="58"/>
      <c r="M59" s="58"/>
      <c r="N59" s="58"/>
      <c r="O59" s="58"/>
      <c r="P59" s="58"/>
      <c r="Q59" s="58"/>
      <c r="R59" s="58"/>
    </row>
    <row r="60" spans="1:18" x14ac:dyDescent="0.2">
      <c r="A60" s="63" t="str">
        <f>'Oct23'!A60</f>
        <v xml:space="preserve">    </v>
      </c>
      <c r="B60" s="63"/>
      <c r="C60" s="63"/>
      <c r="D60" s="63"/>
      <c r="E60" s="63"/>
      <c r="F60" s="63"/>
      <c r="G60" s="63"/>
      <c r="H60" s="63"/>
    </row>
    <row r="61" spans="1:18" x14ac:dyDescent="0.2">
      <c r="A61" s="63" t="str">
        <f>'Oct23'!A61</f>
        <v xml:space="preserve">Notes: </v>
      </c>
      <c r="B61" s="63"/>
      <c r="C61" s="63"/>
      <c r="D61" s="63"/>
      <c r="E61" s="63"/>
      <c r="F61" s="63"/>
      <c r="G61" s="63"/>
      <c r="H61" s="63"/>
    </row>
    <row r="62" spans="1:18" x14ac:dyDescent="0.2">
      <c r="A62" s="63" t="str">
        <f>'Oct23'!A62</f>
        <v>"-" - data inapplicable</v>
      </c>
      <c r="B62" s="63"/>
      <c r="C62" s="63"/>
      <c r="D62" s="63"/>
      <c r="E62" s="63"/>
      <c r="F62" s="63"/>
      <c r="G62" s="63"/>
      <c r="H62" s="63"/>
    </row>
  </sheetData>
  <pageMargins left="0.7" right="0.7" top="0.75" bottom="0.75" header="0.3" footer="0.3"/>
  <pageSetup scale="9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62"/>
  <sheetViews>
    <sheetView topLeftCell="A49" workbookViewId="0"/>
  </sheetViews>
  <sheetFormatPr defaultColWidth="9.21875" defaultRowHeight="10.199999999999999" x14ac:dyDescent="0.2"/>
  <cols>
    <col min="1" max="1" width="14.21875" style="48" bestFit="1" customWidth="1"/>
    <col min="2" max="8" width="11.21875" style="45" customWidth="1"/>
    <col min="9" max="16384" width="9.21875" style="45"/>
  </cols>
  <sheetData>
    <row r="1" spans="1:8" ht="15.6" x14ac:dyDescent="0.3">
      <c r="A1" s="85" t="s">
        <v>105</v>
      </c>
      <c r="B1" s="85"/>
      <c r="C1" s="85"/>
      <c r="D1" s="85"/>
      <c r="E1" s="85"/>
      <c r="F1" s="85"/>
      <c r="G1" s="85"/>
      <c r="H1" s="85"/>
    </row>
    <row r="2" spans="1:8" ht="13.2" x14ac:dyDescent="0.25">
      <c r="A2" s="87" t="str">
        <f>'Oct23'!$A$2</f>
        <v>Temporary Assistance for Needy Families (TANF)</v>
      </c>
      <c r="B2" s="87"/>
      <c r="C2" s="87"/>
      <c r="D2" s="87"/>
      <c r="E2" s="87"/>
      <c r="F2" s="87"/>
      <c r="G2" s="87"/>
      <c r="H2" s="87"/>
    </row>
    <row r="3" spans="1:8" s="46" customFormat="1" ht="30.6" x14ac:dyDescent="0.2">
      <c r="A3" s="25" t="s">
        <v>1</v>
      </c>
      <c r="B3" s="26" t="s">
        <v>66</v>
      </c>
      <c r="C3" s="26" t="s">
        <v>67</v>
      </c>
      <c r="D3" s="26" t="s">
        <v>68</v>
      </c>
      <c r="E3" s="26" t="s">
        <v>69</v>
      </c>
      <c r="F3" s="26" t="s">
        <v>70</v>
      </c>
      <c r="G3" s="26" t="s">
        <v>71</v>
      </c>
      <c r="H3" s="26" t="s">
        <v>72</v>
      </c>
    </row>
    <row r="4" spans="1:8" s="47" customFormat="1" x14ac:dyDescent="0.2">
      <c r="A4" s="7" t="s">
        <v>2</v>
      </c>
      <c r="B4" s="8">
        <f>TFam!K5</f>
        <v>865103</v>
      </c>
      <c r="C4" s="8">
        <f>'Two-par'!K5</f>
        <v>59572</v>
      </c>
      <c r="D4" s="8">
        <f>'One-par'!K5</f>
        <v>458344</v>
      </c>
      <c r="E4" s="8">
        <f>'Zero-par'!K5</f>
        <v>347187</v>
      </c>
      <c r="F4" s="8">
        <f>TRec!K5</f>
        <v>2125439</v>
      </c>
      <c r="G4" s="8">
        <f>Adults!K5</f>
        <v>583299</v>
      </c>
      <c r="H4" s="8">
        <f>Children!K5</f>
        <v>1542140</v>
      </c>
    </row>
    <row r="5" spans="1:8" s="6" customFormat="1" x14ac:dyDescent="0.2">
      <c r="A5" s="10" t="s">
        <v>3</v>
      </c>
      <c r="B5" s="30">
        <f>TFam!K6</f>
        <v>5791</v>
      </c>
      <c r="C5" s="30">
        <f>'Two-par'!K6</f>
        <v>32</v>
      </c>
      <c r="D5" s="30">
        <f>'One-par'!K6</f>
        <v>2471</v>
      </c>
      <c r="E5" s="30">
        <f>'Zero-par'!K6</f>
        <v>3288</v>
      </c>
      <c r="F5" s="30">
        <f>TRec!K6</f>
        <v>13804</v>
      </c>
      <c r="G5" s="30">
        <f>Adults!K6</f>
        <v>2639</v>
      </c>
      <c r="H5" s="30">
        <f>Children!K6</f>
        <v>11165</v>
      </c>
    </row>
    <row r="6" spans="1:8" s="13" customFormat="1" x14ac:dyDescent="0.2">
      <c r="A6" s="10" t="s">
        <v>4</v>
      </c>
      <c r="B6" s="32">
        <f>TFam!K7</f>
        <v>1214</v>
      </c>
      <c r="C6" s="32">
        <f>'Two-par'!K7</f>
        <v>154</v>
      </c>
      <c r="D6" s="32">
        <f>'One-par'!K7</f>
        <v>689</v>
      </c>
      <c r="E6" s="32">
        <f>'Zero-par'!K7</f>
        <v>371</v>
      </c>
      <c r="F6" s="32">
        <f>TRec!K7</f>
        <v>3340</v>
      </c>
      <c r="G6" s="32">
        <f>Adults!K7</f>
        <v>1036</v>
      </c>
      <c r="H6" s="32">
        <f>Children!K7</f>
        <v>2304</v>
      </c>
    </row>
    <row r="7" spans="1:8" s="13" customFormat="1" x14ac:dyDescent="0.2">
      <c r="A7" s="10" t="s">
        <v>5</v>
      </c>
      <c r="B7" s="32">
        <f>TFam!K8</f>
        <v>4627</v>
      </c>
      <c r="C7" s="32">
        <f>'Two-par'!K8</f>
        <v>341</v>
      </c>
      <c r="D7" s="32">
        <f>'One-par'!K8</f>
        <v>1218</v>
      </c>
      <c r="E7" s="32">
        <f>'Zero-par'!K8</f>
        <v>3068</v>
      </c>
      <c r="F7" s="32">
        <f>TRec!K8</f>
        <v>9806</v>
      </c>
      <c r="G7" s="32">
        <f>Adults!K8</f>
        <v>1928</v>
      </c>
      <c r="H7" s="32">
        <f>Children!K8</f>
        <v>7878</v>
      </c>
    </row>
    <row r="8" spans="1:8" s="13" customFormat="1" x14ac:dyDescent="0.2">
      <c r="A8" s="10" t="s">
        <v>6</v>
      </c>
      <c r="B8" s="32">
        <f>TFam!K9</f>
        <v>788</v>
      </c>
      <c r="C8" s="32">
        <f>'Two-par'!K9</f>
        <v>28</v>
      </c>
      <c r="D8" s="32">
        <f>'One-par'!K9</f>
        <v>432</v>
      </c>
      <c r="E8" s="32">
        <f>'Zero-par'!K9</f>
        <v>328</v>
      </c>
      <c r="F8" s="32">
        <f>TRec!K9</f>
        <v>1902</v>
      </c>
      <c r="G8" s="32">
        <f>Adults!K9</f>
        <v>488</v>
      </c>
      <c r="H8" s="32">
        <f>Children!K9</f>
        <v>1414</v>
      </c>
    </row>
    <row r="9" spans="1:8" s="13" customFormat="1" x14ac:dyDescent="0.2">
      <c r="A9" s="10" t="s">
        <v>7</v>
      </c>
      <c r="B9" s="30">
        <f>TFam!K10</f>
        <v>308527</v>
      </c>
      <c r="C9" s="30">
        <f>'Two-par'!K10</f>
        <v>39623</v>
      </c>
      <c r="D9" s="30">
        <f>'One-par'!K10</f>
        <v>165248</v>
      </c>
      <c r="E9" s="30">
        <f>'Zero-par'!K10</f>
        <v>103656</v>
      </c>
      <c r="F9" s="30">
        <f>TRec!K10</f>
        <v>815989</v>
      </c>
      <c r="G9" s="30">
        <f>Adults!K10</f>
        <v>222030</v>
      </c>
      <c r="H9" s="30">
        <f>Children!K10</f>
        <v>593959</v>
      </c>
    </row>
    <row r="10" spans="1:8" s="13" customFormat="1" x14ac:dyDescent="0.2">
      <c r="A10" s="10" t="s">
        <v>8</v>
      </c>
      <c r="B10" s="32">
        <f>TFam!K11</f>
        <v>12640</v>
      </c>
      <c r="C10" s="32">
        <f>'Two-par'!K11</f>
        <v>0</v>
      </c>
      <c r="D10" s="32">
        <f>'One-par'!K11</f>
        <v>8490</v>
      </c>
      <c r="E10" s="32">
        <f>'Zero-par'!K11</f>
        <v>4150</v>
      </c>
      <c r="F10" s="32">
        <f>TRec!K11</f>
        <v>31070</v>
      </c>
      <c r="G10" s="32">
        <f>Adults!K11</f>
        <v>8781</v>
      </c>
      <c r="H10" s="32">
        <f>Children!K11</f>
        <v>22289</v>
      </c>
    </row>
    <row r="11" spans="1:8" s="13" customFormat="1" x14ac:dyDescent="0.2">
      <c r="A11" s="10" t="s">
        <v>9</v>
      </c>
      <c r="B11" s="30">
        <f>TFam!K12</f>
        <v>5385</v>
      </c>
      <c r="C11" s="30">
        <f>'Two-par'!K12</f>
        <v>0</v>
      </c>
      <c r="D11" s="30">
        <f>'One-par'!K12</f>
        <v>2300</v>
      </c>
      <c r="E11" s="30">
        <f>'Zero-par'!K12</f>
        <v>3085</v>
      </c>
      <c r="F11" s="30">
        <f>TRec!K12</f>
        <v>12881</v>
      </c>
      <c r="G11" s="30">
        <f>Adults!K12</f>
        <v>3803</v>
      </c>
      <c r="H11" s="30">
        <f>Children!K12</f>
        <v>9078</v>
      </c>
    </row>
    <row r="12" spans="1:8" s="13" customFormat="1" x14ac:dyDescent="0.2">
      <c r="A12" s="10" t="s">
        <v>10</v>
      </c>
      <c r="B12" s="30">
        <f>TFam!K13</f>
        <v>2476</v>
      </c>
      <c r="C12" s="30">
        <f>'Two-par'!K13</f>
        <v>6</v>
      </c>
      <c r="D12" s="30">
        <f>'One-par'!K13</f>
        <v>570</v>
      </c>
      <c r="E12" s="30">
        <f>'Zero-par'!K13</f>
        <v>1900</v>
      </c>
      <c r="F12" s="30">
        <f>TRec!K13</f>
        <v>6914</v>
      </c>
      <c r="G12" s="30">
        <f>Adults!K13</f>
        <v>2837</v>
      </c>
      <c r="H12" s="30">
        <f>Children!K13</f>
        <v>4077</v>
      </c>
    </row>
    <row r="13" spans="1:8" s="13" customFormat="1" x14ac:dyDescent="0.2">
      <c r="A13" s="10" t="s">
        <v>11</v>
      </c>
      <c r="B13" s="30">
        <f>TFam!K14</f>
        <v>6004</v>
      </c>
      <c r="C13" s="30">
        <f>'Two-par'!K14</f>
        <v>0</v>
      </c>
      <c r="D13" s="30">
        <f>'One-par'!K14</f>
        <v>4527</v>
      </c>
      <c r="E13" s="30">
        <f>'Zero-par'!K14</f>
        <v>1477</v>
      </c>
      <c r="F13" s="30">
        <f>TRec!K14</f>
        <v>19321</v>
      </c>
      <c r="G13" s="30">
        <f>Adults!K14</f>
        <v>4527</v>
      </c>
      <c r="H13" s="30">
        <f>Children!K14</f>
        <v>14794</v>
      </c>
    </row>
    <row r="14" spans="1:8" s="13" customFormat="1" x14ac:dyDescent="0.2">
      <c r="A14" s="10" t="s">
        <v>12</v>
      </c>
      <c r="B14" s="30">
        <f>TFam!K15</f>
        <v>28070</v>
      </c>
      <c r="C14" s="30">
        <f>'Two-par'!K15</f>
        <v>4126</v>
      </c>
      <c r="D14" s="30">
        <f>'One-par'!K15</f>
        <v>7345</v>
      </c>
      <c r="E14" s="30">
        <f>'Zero-par'!K15</f>
        <v>16599</v>
      </c>
      <c r="F14" s="30">
        <f>TRec!K15</f>
        <v>55415</v>
      </c>
      <c r="G14" s="30">
        <f>Adults!K15</f>
        <v>18447</v>
      </c>
      <c r="H14" s="30">
        <f>Children!K15</f>
        <v>36968</v>
      </c>
    </row>
    <row r="15" spans="1:8" s="13" customFormat="1" x14ac:dyDescent="0.2">
      <c r="A15" s="10" t="s">
        <v>13</v>
      </c>
      <c r="B15" s="30">
        <f>TFam!K16</f>
        <v>3978</v>
      </c>
      <c r="C15" s="30">
        <f>'Two-par'!K16</f>
        <v>2</v>
      </c>
      <c r="D15" s="30">
        <f>'One-par'!K16</f>
        <v>101</v>
      </c>
      <c r="E15" s="30">
        <f>'Zero-par'!K16</f>
        <v>3875</v>
      </c>
      <c r="F15" s="30">
        <f>TRec!K16</f>
        <v>6861</v>
      </c>
      <c r="G15" s="30">
        <f>Adults!K16</f>
        <v>149</v>
      </c>
      <c r="H15" s="30">
        <f>Children!K16</f>
        <v>6712</v>
      </c>
    </row>
    <row r="16" spans="1:8" s="13" customFormat="1" x14ac:dyDescent="0.2">
      <c r="A16" s="10" t="s">
        <v>14</v>
      </c>
      <c r="B16" s="32">
        <f>TFam!K17</f>
        <v>205</v>
      </c>
      <c r="C16" s="32">
        <f>'Two-par'!K17</f>
        <v>13</v>
      </c>
      <c r="D16" s="32">
        <f>'One-par'!K17</f>
        <v>54</v>
      </c>
      <c r="E16" s="32">
        <f>'Zero-par'!K17</f>
        <v>138</v>
      </c>
      <c r="F16" s="32">
        <f>TRec!K17</f>
        <v>480</v>
      </c>
      <c r="G16" s="32">
        <f>Adults!K17</f>
        <v>82</v>
      </c>
      <c r="H16" s="32">
        <f>Children!K17</f>
        <v>398</v>
      </c>
    </row>
    <row r="17" spans="1:8" s="13" customFormat="1" x14ac:dyDescent="0.2">
      <c r="A17" s="10" t="s">
        <v>15</v>
      </c>
      <c r="B17" s="30">
        <f>TFam!K18</f>
        <v>2540</v>
      </c>
      <c r="C17" s="30">
        <f>'Two-par'!K18</f>
        <v>361</v>
      </c>
      <c r="D17" s="30">
        <f>'One-par'!K18</f>
        <v>1597</v>
      </c>
      <c r="E17" s="30">
        <f>'Zero-par'!K18</f>
        <v>582</v>
      </c>
      <c r="F17" s="30">
        <f>TRec!K18</f>
        <v>7019</v>
      </c>
      <c r="G17" s="30">
        <f>Adults!K18</f>
        <v>2054</v>
      </c>
      <c r="H17" s="30">
        <f>Children!K18</f>
        <v>4965</v>
      </c>
    </row>
    <row r="18" spans="1:8" s="13" customFormat="1" x14ac:dyDescent="0.2">
      <c r="A18" s="10" t="s">
        <v>16</v>
      </c>
      <c r="B18" s="32">
        <f>TFam!K19</f>
        <v>1477</v>
      </c>
      <c r="C18" s="32">
        <f>'Two-par'!K19</f>
        <v>0</v>
      </c>
      <c r="D18" s="32">
        <f>'One-par'!K19</f>
        <v>28</v>
      </c>
      <c r="E18" s="32">
        <f>'Zero-par'!K19</f>
        <v>1449</v>
      </c>
      <c r="F18" s="32">
        <f>TRec!K19</f>
        <v>2022</v>
      </c>
      <c r="G18" s="32">
        <f>Adults!K19</f>
        <v>28</v>
      </c>
      <c r="H18" s="32">
        <f>Children!K19</f>
        <v>1994</v>
      </c>
    </row>
    <row r="19" spans="1:8" s="13" customFormat="1" x14ac:dyDescent="0.2">
      <c r="A19" s="10" t="s">
        <v>17</v>
      </c>
      <c r="B19" s="30">
        <f>TFam!K20</f>
        <v>9882</v>
      </c>
      <c r="C19" s="30">
        <f>'Two-par'!K20</f>
        <v>0</v>
      </c>
      <c r="D19" s="30">
        <f>'One-par'!K20</f>
        <v>2198</v>
      </c>
      <c r="E19" s="30">
        <f>'Zero-par'!K20</f>
        <v>7684</v>
      </c>
      <c r="F19" s="30">
        <f>TRec!K20</f>
        <v>20012</v>
      </c>
      <c r="G19" s="30">
        <f>Adults!K20</f>
        <v>2526</v>
      </c>
      <c r="H19" s="30">
        <f>Children!K20</f>
        <v>17486</v>
      </c>
    </row>
    <row r="20" spans="1:8" s="13" customFormat="1" x14ac:dyDescent="0.2">
      <c r="A20" s="10" t="s">
        <v>18</v>
      </c>
      <c r="B20" s="30">
        <f>TFam!K21</f>
        <v>5375</v>
      </c>
      <c r="C20" s="30">
        <f>'Two-par'!K21</f>
        <v>748</v>
      </c>
      <c r="D20" s="30">
        <f>'One-par'!K21</f>
        <v>2173</v>
      </c>
      <c r="E20" s="30">
        <f>'Zero-par'!K21</f>
        <v>2454</v>
      </c>
      <c r="F20" s="30">
        <f>TRec!K21</f>
        <v>12797</v>
      </c>
      <c r="G20" s="30">
        <f>Adults!K21</f>
        <v>3268</v>
      </c>
      <c r="H20" s="30">
        <f>Children!K21</f>
        <v>9529</v>
      </c>
    </row>
    <row r="21" spans="1:8" s="13" customFormat="1" x14ac:dyDescent="0.2">
      <c r="A21" s="10" t="s">
        <v>19</v>
      </c>
      <c r="B21" s="30">
        <f>TFam!K22</f>
        <v>4009</v>
      </c>
      <c r="C21" s="30">
        <f>'Two-par'!K22</f>
        <v>238</v>
      </c>
      <c r="D21" s="30">
        <f>'One-par'!K22</f>
        <v>1931</v>
      </c>
      <c r="E21" s="30">
        <f>'Zero-par'!K22</f>
        <v>1840</v>
      </c>
      <c r="F21" s="30">
        <f>TRec!K22</f>
        <v>10136</v>
      </c>
      <c r="G21" s="30">
        <f>Adults!K22</f>
        <v>2442</v>
      </c>
      <c r="H21" s="30">
        <f>Children!K22</f>
        <v>7694</v>
      </c>
    </row>
    <row r="22" spans="1:8" s="13" customFormat="1" x14ac:dyDescent="0.2">
      <c r="A22" s="10" t="s">
        <v>20</v>
      </c>
      <c r="B22" s="32">
        <f>TFam!K23</f>
        <v>2875</v>
      </c>
      <c r="C22" s="32">
        <f>'Two-par'!K23</f>
        <v>248</v>
      </c>
      <c r="D22" s="32">
        <f>'One-par'!K23</f>
        <v>1394</v>
      </c>
      <c r="E22" s="32">
        <f>'Zero-par'!K23</f>
        <v>1233</v>
      </c>
      <c r="F22" s="32">
        <f>TRec!K23</f>
        <v>2875</v>
      </c>
      <c r="G22" s="32">
        <f>Adults!K23</f>
        <v>1492</v>
      </c>
      <c r="H22" s="32">
        <f>Children!K23</f>
        <v>1383</v>
      </c>
    </row>
    <row r="23" spans="1:8" s="13" customFormat="1" x14ac:dyDescent="0.2">
      <c r="A23" s="10" t="s">
        <v>21</v>
      </c>
      <c r="B23" s="32">
        <f>TFam!K24</f>
        <v>15365</v>
      </c>
      <c r="C23" s="32">
        <f>'Two-par'!K24</f>
        <v>1097</v>
      </c>
      <c r="D23" s="32">
        <f>'One-par'!K24</f>
        <v>6016</v>
      </c>
      <c r="E23" s="32">
        <f>'Zero-par'!K24</f>
        <v>8252</v>
      </c>
      <c r="F23" s="32">
        <f>TRec!K24</f>
        <v>35793</v>
      </c>
      <c r="G23" s="32">
        <f>Adults!K24</f>
        <v>8412</v>
      </c>
      <c r="H23" s="32">
        <f>Children!K24</f>
        <v>27381</v>
      </c>
    </row>
    <row r="24" spans="1:8" s="13" customFormat="1" x14ac:dyDescent="0.2">
      <c r="A24" s="10" t="s">
        <v>22</v>
      </c>
      <c r="B24" s="32">
        <f>TFam!K25</f>
        <v>4931</v>
      </c>
      <c r="C24" s="32">
        <f>'Two-par'!K25</f>
        <v>0</v>
      </c>
      <c r="D24" s="32">
        <f>'One-par'!K25</f>
        <v>2818</v>
      </c>
      <c r="E24" s="32">
        <f>'Zero-par'!K25</f>
        <v>2113</v>
      </c>
      <c r="F24" s="32">
        <f>TRec!K25</f>
        <v>12730</v>
      </c>
      <c r="G24" s="32">
        <f>Adults!K25</f>
        <v>2455</v>
      </c>
      <c r="H24" s="32">
        <f>Children!K25</f>
        <v>10275</v>
      </c>
    </row>
    <row r="25" spans="1:8" s="13" customFormat="1" x14ac:dyDescent="0.2">
      <c r="A25" s="10" t="s">
        <v>23</v>
      </c>
      <c r="B25" s="30">
        <f>TFam!K26</f>
        <v>3803</v>
      </c>
      <c r="C25" s="30">
        <f>'Two-par'!K26</f>
        <v>531</v>
      </c>
      <c r="D25" s="30">
        <f>'One-par'!K26</f>
        <v>2231</v>
      </c>
      <c r="E25" s="30">
        <f>'Zero-par'!K26</f>
        <v>1041</v>
      </c>
      <c r="F25" s="30">
        <f>TRec!K26</f>
        <v>9857</v>
      </c>
      <c r="G25" s="30">
        <f>Adults!K26</f>
        <v>3202</v>
      </c>
      <c r="H25" s="30">
        <f>Children!K26</f>
        <v>6655</v>
      </c>
    </row>
    <row r="26" spans="1:8" s="13" customFormat="1" x14ac:dyDescent="0.2">
      <c r="A26" s="10" t="s">
        <v>24</v>
      </c>
      <c r="B26" s="30">
        <f>TFam!K27</f>
        <v>14967</v>
      </c>
      <c r="C26" s="30">
        <f>'Two-par'!K27</f>
        <v>0</v>
      </c>
      <c r="D26" s="30">
        <f>'One-par'!K27</f>
        <v>10857</v>
      </c>
      <c r="E26" s="30">
        <f>'Zero-par'!K27</f>
        <v>4110</v>
      </c>
      <c r="F26" s="30">
        <f>TRec!K27</f>
        <v>41002</v>
      </c>
      <c r="G26" s="30">
        <f>Adults!K27</f>
        <v>11701</v>
      </c>
      <c r="H26" s="30">
        <f>Children!K27</f>
        <v>29301</v>
      </c>
    </row>
    <row r="27" spans="1:8" s="13" customFormat="1" x14ac:dyDescent="0.2">
      <c r="A27" s="10" t="s">
        <v>25</v>
      </c>
      <c r="B27" s="30">
        <f>TFam!K28</f>
        <v>36943</v>
      </c>
      <c r="C27" s="30">
        <f>'Two-par'!K28</f>
        <v>2349</v>
      </c>
      <c r="D27" s="30">
        <f>'One-par'!K28</f>
        <v>22817</v>
      </c>
      <c r="E27" s="30">
        <f>'Zero-par'!K28</f>
        <v>11777</v>
      </c>
      <c r="F27" s="30">
        <f>TRec!K28</f>
        <v>86876</v>
      </c>
      <c r="G27" s="30">
        <f>Adults!K28</f>
        <v>26384</v>
      </c>
      <c r="H27" s="30">
        <f>Children!K28</f>
        <v>60492</v>
      </c>
    </row>
    <row r="28" spans="1:8" s="13" customFormat="1" x14ac:dyDescent="0.2">
      <c r="A28" s="10" t="s">
        <v>26</v>
      </c>
      <c r="B28" s="32">
        <f>TFam!K29</f>
        <v>7704</v>
      </c>
      <c r="C28" s="32">
        <f>'Two-par'!K29</f>
        <v>0</v>
      </c>
      <c r="D28" s="32">
        <f>'One-par'!K29</f>
        <v>3717</v>
      </c>
      <c r="E28" s="32">
        <f>'Zero-par'!K29</f>
        <v>3987</v>
      </c>
      <c r="F28" s="32">
        <f>TRec!K29</f>
        <v>20641</v>
      </c>
      <c r="G28" s="32">
        <f>Adults!K29</f>
        <v>4452</v>
      </c>
      <c r="H28" s="32">
        <f>Children!K29</f>
        <v>16189</v>
      </c>
    </row>
    <row r="29" spans="1:8" s="13" customFormat="1" x14ac:dyDescent="0.2">
      <c r="A29" s="10" t="s">
        <v>27</v>
      </c>
      <c r="B29" s="30">
        <f>TFam!K30</f>
        <v>13184</v>
      </c>
      <c r="C29" s="30">
        <f>'Two-par'!K30</f>
        <v>0</v>
      </c>
      <c r="D29" s="30">
        <f>'One-par'!K30</f>
        <v>7794</v>
      </c>
      <c r="E29" s="30">
        <f>'Zero-par'!K30</f>
        <v>5390</v>
      </c>
      <c r="F29" s="30">
        <f>TRec!K30</f>
        <v>30708</v>
      </c>
      <c r="G29" s="30">
        <f>Adults!K30</f>
        <v>7754</v>
      </c>
      <c r="H29" s="30">
        <f>Children!K30</f>
        <v>22954</v>
      </c>
    </row>
    <row r="30" spans="1:8" s="13" customFormat="1" x14ac:dyDescent="0.2">
      <c r="A30" s="10" t="s">
        <v>28</v>
      </c>
      <c r="B30" s="32">
        <f>TFam!K31</f>
        <v>1390</v>
      </c>
      <c r="C30" s="32">
        <f>'Two-par'!K31</f>
        <v>0</v>
      </c>
      <c r="D30" s="32">
        <f>'One-par'!K31</f>
        <v>294</v>
      </c>
      <c r="E30" s="32">
        <f>'Zero-par'!K31</f>
        <v>1096</v>
      </c>
      <c r="F30" s="32">
        <f>TRec!K31</f>
        <v>2498</v>
      </c>
      <c r="G30" s="32">
        <f>Adults!K31</f>
        <v>298</v>
      </c>
      <c r="H30" s="32">
        <f>Children!K31</f>
        <v>2200</v>
      </c>
    </row>
    <row r="31" spans="1:8" s="13" customFormat="1" x14ac:dyDescent="0.2">
      <c r="A31" s="10" t="s">
        <v>29</v>
      </c>
      <c r="B31" s="30">
        <f>TFam!K32</f>
        <v>4805</v>
      </c>
      <c r="C31" s="30">
        <f>'Two-par'!K32</f>
        <v>0</v>
      </c>
      <c r="D31" s="30">
        <f>'One-par'!K32</f>
        <v>2736</v>
      </c>
      <c r="E31" s="30">
        <f>'Zero-par'!K32</f>
        <v>2069</v>
      </c>
      <c r="F31" s="30">
        <f>TRec!K32</f>
        <v>11192</v>
      </c>
      <c r="G31" s="30">
        <f>Adults!K32</f>
        <v>2432</v>
      </c>
      <c r="H31" s="30">
        <f>Children!K32</f>
        <v>8760</v>
      </c>
    </row>
    <row r="32" spans="1:8" s="13" customFormat="1" x14ac:dyDescent="0.2">
      <c r="A32" s="10" t="s">
        <v>30</v>
      </c>
      <c r="B32" s="32">
        <f>TFam!K33</f>
        <v>1586</v>
      </c>
      <c r="C32" s="32">
        <f>'Two-par'!K33</f>
        <v>98</v>
      </c>
      <c r="D32" s="32">
        <f>'One-par'!K33</f>
        <v>618</v>
      </c>
      <c r="E32" s="32">
        <f>'Zero-par'!K33</f>
        <v>870</v>
      </c>
      <c r="F32" s="32">
        <f>TRec!K33</f>
        <v>3538</v>
      </c>
      <c r="G32" s="32">
        <f>Adults!K33</f>
        <v>666</v>
      </c>
      <c r="H32" s="32">
        <f>Children!K33</f>
        <v>2872</v>
      </c>
    </row>
    <row r="33" spans="1:8" s="13" customFormat="1" x14ac:dyDescent="0.2">
      <c r="A33" s="10" t="s">
        <v>31</v>
      </c>
      <c r="B33" s="30">
        <f>TFam!K34</f>
        <v>2503</v>
      </c>
      <c r="C33" s="30">
        <f>'Two-par'!K34</f>
        <v>0</v>
      </c>
      <c r="D33" s="30">
        <f>'One-par'!K34</f>
        <v>728</v>
      </c>
      <c r="E33" s="30">
        <f>'Zero-par'!K34</f>
        <v>1775</v>
      </c>
      <c r="F33" s="30">
        <f>TRec!K34</f>
        <v>5756</v>
      </c>
      <c r="G33" s="30">
        <f>Adults!K34</f>
        <v>710</v>
      </c>
      <c r="H33" s="30">
        <f>Children!K34</f>
        <v>5046</v>
      </c>
    </row>
    <row r="34" spans="1:8" s="13" customFormat="1" x14ac:dyDescent="0.2">
      <c r="A34" s="10" t="s">
        <v>32</v>
      </c>
      <c r="B34" s="30">
        <f>TFam!K35</f>
        <v>5446</v>
      </c>
      <c r="C34" s="30">
        <f>'Two-par'!K35</f>
        <v>526</v>
      </c>
      <c r="D34" s="30">
        <f>'One-par'!K35</f>
        <v>2348</v>
      </c>
      <c r="E34" s="30">
        <f>'Zero-par'!K35</f>
        <v>2572</v>
      </c>
      <c r="F34" s="30">
        <f>TRec!K35</f>
        <v>13755</v>
      </c>
      <c r="G34" s="30">
        <f>Adults!K35</f>
        <v>3652</v>
      </c>
      <c r="H34" s="30">
        <f>Children!K35</f>
        <v>10103</v>
      </c>
    </row>
    <row r="35" spans="1:8" s="13" customFormat="1" x14ac:dyDescent="0.2">
      <c r="A35" s="10" t="s">
        <v>33</v>
      </c>
      <c r="B35" s="30">
        <f>TFam!K36</f>
        <v>2516</v>
      </c>
      <c r="C35" s="30">
        <f>'Two-par'!K36</f>
        <v>1</v>
      </c>
      <c r="D35" s="30">
        <f>'One-par'!K36</f>
        <v>1043</v>
      </c>
      <c r="E35" s="30">
        <f>'Zero-par'!K36</f>
        <v>1472</v>
      </c>
      <c r="F35" s="30">
        <f>TRec!K36</f>
        <v>5091</v>
      </c>
      <c r="G35" s="30">
        <f>Adults!K36</f>
        <v>1092</v>
      </c>
      <c r="H35" s="30">
        <f>Children!K36</f>
        <v>3999</v>
      </c>
    </row>
    <row r="36" spans="1:8" s="13" customFormat="1" x14ac:dyDescent="0.2">
      <c r="A36" s="10" t="s">
        <v>34</v>
      </c>
      <c r="B36" s="30">
        <f>TFam!K37</f>
        <v>9551</v>
      </c>
      <c r="C36" s="30">
        <f>'Two-par'!K37</f>
        <v>66</v>
      </c>
      <c r="D36" s="30">
        <f>'One-par'!K37</f>
        <v>7317</v>
      </c>
      <c r="E36" s="30">
        <f>'Zero-par'!K37</f>
        <v>2168</v>
      </c>
      <c r="F36" s="30">
        <f>TRec!K37</f>
        <v>22582</v>
      </c>
      <c r="G36" s="30">
        <f>Adults!K37</f>
        <v>6389</v>
      </c>
      <c r="H36" s="30">
        <f>Children!K37</f>
        <v>16193</v>
      </c>
    </row>
    <row r="37" spans="1:8" s="13" customFormat="1" x14ac:dyDescent="0.2">
      <c r="A37" s="10" t="s">
        <v>35</v>
      </c>
      <c r="B37" s="32">
        <f>TFam!K38</f>
        <v>7644</v>
      </c>
      <c r="C37" s="32">
        <f>'Two-par'!K38</f>
        <v>505</v>
      </c>
      <c r="D37" s="32">
        <f>'One-par'!K38</f>
        <v>3858</v>
      </c>
      <c r="E37" s="32">
        <f>'Zero-par'!K38</f>
        <v>3281</v>
      </c>
      <c r="F37" s="32">
        <f>TRec!K38</f>
        <v>18836</v>
      </c>
      <c r="G37" s="32">
        <f>Adults!K38</f>
        <v>4868</v>
      </c>
      <c r="H37" s="32">
        <f>Children!K38</f>
        <v>13968</v>
      </c>
    </row>
    <row r="38" spans="1:8" s="13" customFormat="1" x14ac:dyDescent="0.2">
      <c r="A38" s="10" t="s">
        <v>36</v>
      </c>
      <c r="B38" s="30">
        <f>TFam!K39</f>
        <v>132834</v>
      </c>
      <c r="C38" s="30">
        <f>'Two-par'!K39</f>
        <v>1794</v>
      </c>
      <c r="D38" s="30">
        <f>'One-par'!K39</f>
        <v>99088</v>
      </c>
      <c r="E38" s="30">
        <f>'Zero-par'!K39</f>
        <v>31952</v>
      </c>
      <c r="F38" s="30">
        <f>TRec!K39</f>
        <v>343753</v>
      </c>
      <c r="G38" s="30">
        <f>Adults!K39</f>
        <v>123690</v>
      </c>
      <c r="H38" s="30">
        <f>Children!K39</f>
        <v>220063</v>
      </c>
    </row>
    <row r="39" spans="1:8" s="13" customFormat="1" x14ac:dyDescent="0.2">
      <c r="A39" s="10" t="s">
        <v>37</v>
      </c>
      <c r="B39" s="32">
        <f>TFam!K40</f>
        <v>6899</v>
      </c>
      <c r="C39" s="32">
        <f>'Two-par'!K40</f>
        <v>59</v>
      </c>
      <c r="D39" s="32">
        <f>'One-par'!K40</f>
        <v>1043</v>
      </c>
      <c r="E39" s="32">
        <f>'Zero-par'!K40</f>
        <v>5797</v>
      </c>
      <c r="F39" s="32">
        <f>TRec!K40</f>
        <v>11815</v>
      </c>
      <c r="G39" s="32">
        <f>Adults!K40</f>
        <v>1196</v>
      </c>
      <c r="H39" s="32">
        <f>Children!K40</f>
        <v>10619</v>
      </c>
    </row>
    <row r="40" spans="1:8" s="13" customFormat="1" x14ac:dyDescent="0.2">
      <c r="A40" s="10" t="s">
        <v>38</v>
      </c>
      <c r="B40" s="32">
        <f>TFam!K41</f>
        <v>659</v>
      </c>
      <c r="C40" s="32">
        <f>'Two-par'!K41</f>
        <v>0</v>
      </c>
      <c r="D40" s="32">
        <f>'One-par'!K41</f>
        <v>369</v>
      </c>
      <c r="E40" s="32">
        <f>'Zero-par'!K41</f>
        <v>290</v>
      </c>
      <c r="F40" s="32">
        <f>TRec!K41</f>
        <v>1700</v>
      </c>
      <c r="G40" s="32">
        <f>Adults!K41</f>
        <v>316</v>
      </c>
      <c r="H40" s="32">
        <f>Children!K41</f>
        <v>1384</v>
      </c>
    </row>
    <row r="41" spans="1:8" s="13" customFormat="1" x14ac:dyDescent="0.2">
      <c r="A41" s="10" t="s">
        <v>39</v>
      </c>
      <c r="B41" s="32">
        <f>TFam!K42</f>
        <v>38676</v>
      </c>
      <c r="C41" s="32">
        <f>'Two-par'!K42</f>
        <v>664</v>
      </c>
      <c r="D41" s="32">
        <f>'One-par'!K42</f>
        <v>5089</v>
      </c>
      <c r="E41" s="32">
        <f>'Zero-par'!K42</f>
        <v>32923</v>
      </c>
      <c r="F41" s="32">
        <f>TRec!K42</f>
        <v>69116</v>
      </c>
      <c r="G41" s="32">
        <f>Adults!K42</f>
        <v>6962</v>
      </c>
      <c r="H41" s="32">
        <f>Children!K42</f>
        <v>62154</v>
      </c>
    </row>
    <row r="42" spans="1:8" s="13" customFormat="1" x14ac:dyDescent="0.2">
      <c r="A42" s="10" t="s">
        <v>40</v>
      </c>
      <c r="B42" s="32">
        <f>TFam!K43</f>
        <v>3195</v>
      </c>
      <c r="C42" s="32">
        <f>'Two-par'!K43</f>
        <v>0</v>
      </c>
      <c r="D42" s="32">
        <f>'One-par'!K43</f>
        <v>786</v>
      </c>
      <c r="E42" s="32">
        <f>'Zero-par'!K43</f>
        <v>2409</v>
      </c>
      <c r="F42" s="32">
        <f>TRec!K43</f>
        <v>6890</v>
      </c>
      <c r="G42" s="32">
        <f>Adults!K43</f>
        <v>786</v>
      </c>
      <c r="H42" s="32">
        <f>Children!K43</f>
        <v>6104</v>
      </c>
    </row>
    <row r="43" spans="1:8" s="13" customFormat="1" x14ac:dyDescent="0.2">
      <c r="A43" s="10" t="s">
        <v>41</v>
      </c>
      <c r="B43" s="32">
        <f>TFam!K44</f>
        <v>18342</v>
      </c>
      <c r="C43" s="32">
        <f>'Two-par'!K44</f>
        <v>0</v>
      </c>
      <c r="D43" s="32">
        <f>'One-par'!K44</f>
        <v>12193</v>
      </c>
      <c r="E43" s="32">
        <f>'Zero-par'!K44</f>
        <v>6149</v>
      </c>
      <c r="F43" s="32">
        <f>TRec!K44</f>
        <v>41939</v>
      </c>
      <c r="G43" s="32">
        <f>Adults!K44</f>
        <v>12362</v>
      </c>
      <c r="H43" s="32">
        <f>Children!K44</f>
        <v>29577</v>
      </c>
    </row>
    <row r="44" spans="1:8" s="13" customFormat="1" x14ac:dyDescent="0.2">
      <c r="A44" s="10" t="s">
        <v>42</v>
      </c>
      <c r="B44" s="32">
        <f>TFam!K45</f>
        <v>23319</v>
      </c>
      <c r="C44" s="32">
        <f>'Two-par'!K45</f>
        <v>393</v>
      </c>
      <c r="D44" s="32">
        <f>'One-par'!K45</f>
        <v>14710</v>
      </c>
      <c r="E44" s="32">
        <f>'Zero-par'!K45</f>
        <v>8216</v>
      </c>
      <c r="F44" s="32">
        <f>TRec!K45</f>
        <v>57894</v>
      </c>
      <c r="G44" s="32">
        <f>Adults!K45</f>
        <v>14413</v>
      </c>
      <c r="H44" s="32">
        <f>Children!K45</f>
        <v>43481</v>
      </c>
    </row>
    <row r="45" spans="1:8" s="13" customFormat="1" x14ac:dyDescent="0.2">
      <c r="A45" s="10" t="s">
        <v>43</v>
      </c>
      <c r="B45" s="32">
        <f>TFam!K46</f>
        <v>2284</v>
      </c>
      <c r="C45" s="32">
        <f>'Two-par'!K46</f>
        <v>95</v>
      </c>
      <c r="D45" s="32">
        <f>'One-par'!K46</f>
        <v>2035</v>
      </c>
      <c r="E45" s="32">
        <f>'Zero-par'!K46</f>
        <v>154</v>
      </c>
      <c r="F45" s="32">
        <f>TRec!K46</f>
        <v>6348</v>
      </c>
      <c r="G45" s="32">
        <f>Adults!K46</f>
        <v>2352</v>
      </c>
      <c r="H45" s="32">
        <f>Children!K46</f>
        <v>3996</v>
      </c>
    </row>
    <row r="46" spans="1:8" s="13" customFormat="1" x14ac:dyDescent="0.2">
      <c r="A46" s="10" t="s">
        <v>44</v>
      </c>
      <c r="B46" s="30">
        <f>TFam!K47</f>
        <v>3460</v>
      </c>
      <c r="C46" s="30">
        <f>'Two-par'!K47</f>
        <v>238</v>
      </c>
      <c r="D46" s="30">
        <f>'One-par'!K47</f>
        <v>2656</v>
      </c>
      <c r="E46" s="30">
        <f>'Zero-par'!K47</f>
        <v>566</v>
      </c>
      <c r="F46" s="30">
        <f>TRec!K47</f>
        <v>8939</v>
      </c>
      <c r="G46" s="30">
        <f>Adults!K47</f>
        <v>2760</v>
      </c>
      <c r="H46" s="30">
        <f>Children!K47</f>
        <v>6179</v>
      </c>
    </row>
    <row r="47" spans="1:8" s="13" customFormat="1" x14ac:dyDescent="0.2">
      <c r="A47" s="10" t="s">
        <v>45</v>
      </c>
      <c r="B47" s="30">
        <f>TFam!K48</f>
        <v>5553</v>
      </c>
      <c r="C47" s="30">
        <f>'Two-par'!K48</f>
        <v>0</v>
      </c>
      <c r="D47" s="30">
        <f>'One-par'!K48</f>
        <v>2509</v>
      </c>
      <c r="E47" s="30">
        <f>'Zero-par'!K48</f>
        <v>3044</v>
      </c>
      <c r="F47" s="30">
        <f>TRec!K48</f>
        <v>12988</v>
      </c>
      <c r="G47" s="30">
        <f>Adults!K48</f>
        <v>2509</v>
      </c>
      <c r="H47" s="30">
        <f>Children!K48</f>
        <v>10479</v>
      </c>
    </row>
    <row r="48" spans="1:8" s="13" customFormat="1" x14ac:dyDescent="0.2">
      <c r="A48" s="10" t="s">
        <v>46</v>
      </c>
      <c r="B48" s="32">
        <f>TFam!K49</f>
        <v>2519</v>
      </c>
      <c r="C48" s="32">
        <f>'Two-par'!K49</f>
        <v>0</v>
      </c>
      <c r="D48" s="32">
        <f>'One-par'!K49</f>
        <v>443</v>
      </c>
      <c r="E48" s="32">
        <f>'Zero-par'!K49</f>
        <v>2076</v>
      </c>
      <c r="F48" s="32">
        <f>TRec!K49</f>
        <v>5113</v>
      </c>
      <c r="G48" s="32">
        <f>Adults!K49</f>
        <v>443</v>
      </c>
      <c r="H48" s="32">
        <f>Children!K49</f>
        <v>4670</v>
      </c>
    </row>
    <row r="49" spans="1:18" s="13" customFormat="1" x14ac:dyDescent="0.2">
      <c r="A49" s="10" t="s">
        <v>47</v>
      </c>
      <c r="B49" s="30">
        <f>TFam!K50</f>
        <v>13121</v>
      </c>
      <c r="C49" s="30">
        <f>'Two-par'!K50</f>
        <v>342</v>
      </c>
      <c r="D49" s="30">
        <f>'One-par'!K50</f>
        <v>5110</v>
      </c>
      <c r="E49" s="30">
        <f>'Zero-par'!K50</f>
        <v>7669</v>
      </c>
      <c r="F49" s="30">
        <f>TRec!K50</f>
        <v>30082</v>
      </c>
      <c r="G49" s="30">
        <f>Adults!K50</f>
        <v>7011</v>
      </c>
      <c r="H49" s="30">
        <f>Children!K50</f>
        <v>23071</v>
      </c>
    </row>
    <row r="50" spans="1:18" s="13" customFormat="1" x14ac:dyDescent="0.2">
      <c r="A50" s="10" t="s">
        <v>48</v>
      </c>
      <c r="B50" s="30">
        <f>TFam!K51</f>
        <v>9687</v>
      </c>
      <c r="C50" s="30">
        <f>'Two-par'!K51</f>
        <v>0</v>
      </c>
      <c r="D50" s="30">
        <f>'One-par'!K51</f>
        <v>2997</v>
      </c>
      <c r="E50" s="30">
        <f>'Zero-par'!K51</f>
        <v>6690</v>
      </c>
      <c r="F50" s="30">
        <f>TRec!K51</f>
        <v>19722</v>
      </c>
      <c r="G50" s="30">
        <f>Adults!K51</f>
        <v>2997</v>
      </c>
      <c r="H50" s="30">
        <f>Children!K51</f>
        <v>16725</v>
      </c>
    </row>
    <row r="51" spans="1:18" s="13" customFormat="1" x14ac:dyDescent="0.2">
      <c r="A51" s="10" t="s">
        <v>49</v>
      </c>
      <c r="B51" s="30">
        <f>TFam!K52</f>
        <v>1908</v>
      </c>
      <c r="C51" s="30">
        <f>'Two-par'!K52</f>
        <v>0</v>
      </c>
      <c r="D51" s="30">
        <f>'One-par'!K52</f>
        <v>858</v>
      </c>
      <c r="E51" s="30">
        <f>'Zero-par'!K52</f>
        <v>1050</v>
      </c>
      <c r="F51" s="30">
        <f>TRec!K52</f>
        <v>4415</v>
      </c>
      <c r="G51" s="30">
        <f>Adults!K52</f>
        <v>1181</v>
      </c>
      <c r="H51" s="30">
        <f>Children!K52</f>
        <v>3234</v>
      </c>
    </row>
    <row r="52" spans="1:18" s="13" customFormat="1" x14ac:dyDescent="0.2">
      <c r="A52" s="10" t="s">
        <v>50</v>
      </c>
      <c r="B52" s="30">
        <f>TFam!K53</f>
        <v>1625</v>
      </c>
      <c r="C52" s="30">
        <f>'Two-par'!K53</f>
        <v>108</v>
      </c>
      <c r="D52" s="30">
        <f>'One-par'!K53</f>
        <v>594</v>
      </c>
      <c r="E52" s="30">
        <f>'Zero-par'!K53</f>
        <v>923</v>
      </c>
      <c r="F52" s="30">
        <f>TRec!K53</f>
        <v>3445</v>
      </c>
      <c r="G52" s="30">
        <f>Adults!K53</f>
        <v>812</v>
      </c>
      <c r="H52" s="30">
        <f>Children!K53</f>
        <v>2633</v>
      </c>
    </row>
    <row r="53" spans="1:18" s="13" customFormat="1" x14ac:dyDescent="0.2">
      <c r="A53" s="10" t="s">
        <v>51</v>
      </c>
      <c r="B53" s="32">
        <f>TFam!K54</f>
        <v>51</v>
      </c>
      <c r="C53" s="32">
        <f>'Two-par'!K54</f>
        <v>0</v>
      </c>
      <c r="D53" s="32">
        <f>'One-par'!K54</f>
        <v>39</v>
      </c>
      <c r="E53" s="32">
        <f>'Zero-par'!K54</f>
        <v>12</v>
      </c>
      <c r="F53" s="32">
        <f>TRec!K54</f>
        <v>161</v>
      </c>
      <c r="G53" s="32">
        <f>Adults!K54</f>
        <v>51</v>
      </c>
      <c r="H53" s="32">
        <f>Children!K54</f>
        <v>110</v>
      </c>
    </row>
    <row r="54" spans="1:18" s="13" customFormat="1" x14ac:dyDescent="0.2">
      <c r="A54" s="10" t="s">
        <v>52</v>
      </c>
      <c r="B54" s="30">
        <f>TFam!K55</f>
        <v>12946</v>
      </c>
      <c r="C54" s="30">
        <f>'Two-par'!K55</f>
        <v>0</v>
      </c>
      <c r="D54" s="30">
        <f>'One-par'!K55</f>
        <v>6759</v>
      </c>
      <c r="E54" s="30">
        <f>'Zero-par'!K55</f>
        <v>6187</v>
      </c>
      <c r="F54" s="30">
        <f>TRec!K55</f>
        <v>29204</v>
      </c>
      <c r="G54" s="30">
        <f>Adults!K55</f>
        <v>6682</v>
      </c>
      <c r="H54" s="30">
        <f>Children!K55</f>
        <v>22522</v>
      </c>
    </row>
    <row r="55" spans="1:18" s="13" customFormat="1" x14ac:dyDescent="0.2">
      <c r="A55" s="10" t="s">
        <v>53</v>
      </c>
      <c r="B55" s="30">
        <f>TFam!K56</f>
        <v>33650</v>
      </c>
      <c r="C55" s="30">
        <f>'Two-par'!K56</f>
        <v>4675</v>
      </c>
      <c r="D55" s="30">
        <f>'One-par'!K56</f>
        <v>18727</v>
      </c>
      <c r="E55" s="30">
        <f>'Zero-par'!K56</f>
        <v>10248</v>
      </c>
      <c r="F55" s="30">
        <f>TRec!K56</f>
        <v>85175</v>
      </c>
      <c r="G55" s="30">
        <f>Adults!K56</f>
        <v>28568</v>
      </c>
      <c r="H55" s="30">
        <f>Children!K56</f>
        <v>56607</v>
      </c>
    </row>
    <row r="56" spans="1:18" s="13" customFormat="1" x14ac:dyDescent="0.2">
      <c r="A56" s="10" t="s">
        <v>54</v>
      </c>
      <c r="B56" s="32">
        <f>TFam!K57</f>
        <v>4457</v>
      </c>
      <c r="C56" s="32">
        <f>'Two-par'!K57</f>
        <v>0</v>
      </c>
      <c r="D56" s="32">
        <f>'One-par'!K57</f>
        <v>1028</v>
      </c>
      <c r="E56" s="32">
        <f>'Zero-par'!K57</f>
        <v>3429</v>
      </c>
      <c r="F56" s="32">
        <f>TRec!K57</f>
        <v>8625</v>
      </c>
      <c r="G56" s="32">
        <f>Adults!K57</f>
        <v>1413</v>
      </c>
      <c r="H56" s="32">
        <f>Children!K57</f>
        <v>7212</v>
      </c>
    </row>
    <row r="57" spans="1:18" s="13" customFormat="1" x14ac:dyDescent="0.2">
      <c r="A57" s="10" t="s">
        <v>55</v>
      </c>
      <c r="B57" s="30">
        <f>TFam!K58</f>
        <v>11231</v>
      </c>
      <c r="C57" s="30">
        <f>'Two-par'!K58</f>
        <v>86</v>
      </c>
      <c r="D57" s="30">
        <f>'One-par'!K58</f>
        <v>3105</v>
      </c>
      <c r="E57" s="30">
        <f>'Zero-par'!K58</f>
        <v>8040</v>
      </c>
      <c r="F57" s="30">
        <f>TRec!K58</f>
        <v>23419</v>
      </c>
      <c r="G57" s="30">
        <f>Adults!K58</f>
        <v>3474</v>
      </c>
      <c r="H57" s="30">
        <f>Children!K58</f>
        <v>19945</v>
      </c>
    </row>
    <row r="58" spans="1:18" s="13" customFormat="1" x14ac:dyDescent="0.2">
      <c r="A58" s="19" t="s">
        <v>56</v>
      </c>
      <c r="B58" s="33">
        <f>TFam!K59</f>
        <v>486</v>
      </c>
      <c r="C58" s="33">
        <f>'Two-par'!K59</f>
        <v>25</v>
      </c>
      <c r="D58" s="33">
        <f>'One-par'!K59</f>
        <v>248</v>
      </c>
      <c r="E58" s="33">
        <f>'Zero-par'!K59</f>
        <v>213</v>
      </c>
      <c r="F58" s="33">
        <f>TRec!K59</f>
        <v>1197</v>
      </c>
      <c r="G58" s="33">
        <f>Adults!K59</f>
        <v>297</v>
      </c>
      <c r="H58" s="33">
        <f>Children!K59</f>
        <v>900</v>
      </c>
    </row>
    <row r="59" spans="1:18" x14ac:dyDescent="0.2">
      <c r="A59" s="82">
        <f>TFam!$A$3</f>
        <v>45687</v>
      </c>
      <c r="B59" s="72"/>
      <c r="C59" s="72"/>
      <c r="D59" s="72"/>
      <c r="E59" s="72"/>
      <c r="F59" s="72"/>
      <c r="G59" s="72"/>
      <c r="H59" s="72"/>
      <c r="I59" s="58"/>
      <c r="J59" s="58"/>
      <c r="K59" s="58"/>
      <c r="L59" s="58"/>
      <c r="M59" s="58"/>
      <c r="N59" s="58"/>
      <c r="O59" s="58"/>
      <c r="P59" s="58"/>
      <c r="Q59" s="58"/>
      <c r="R59" s="58"/>
    </row>
    <row r="60" spans="1:18" x14ac:dyDescent="0.2">
      <c r="A60" s="70" t="str">
        <f>'Oct23'!A60</f>
        <v xml:space="preserve">    </v>
      </c>
      <c r="B60" s="70"/>
      <c r="C60" s="70"/>
      <c r="D60" s="70"/>
      <c r="E60" s="70"/>
      <c r="F60" s="70"/>
      <c r="G60" s="70"/>
      <c r="H60" s="70"/>
    </row>
    <row r="61" spans="1:18" x14ac:dyDescent="0.2">
      <c r="A61" s="70" t="str">
        <f>'Oct23'!A61</f>
        <v xml:space="preserve">Notes: </v>
      </c>
      <c r="B61" s="70"/>
      <c r="C61" s="70"/>
      <c r="D61" s="70"/>
      <c r="E61" s="70"/>
      <c r="F61" s="70"/>
      <c r="G61" s="70"/>
      <c r="H61" s="70"/>
    </row>
    <row r="62" spans="1:18" x14ac:dyDescent="0.2">
      <c r="A62" s="70" t="str">
        <f>'Oct23'!A62</f>
        <v>"-" - data inapplicable</v>
      </c>
      <c r="B62" s="70"/>
      <c r="C62" s="70"/>
      <c r="D62" s="70"/>
      <c r="E62" s="70"/>
      <c r="F62" s="70"/>
      <c r="G62" s="70"/>
      <c r="H62" s="70"/>
    </row>
  </sheetData>
  <pageMargins left="0.7" right="0.7" top="0.75" bottom="0.75" header="0.3" footer="0.3"/>
  <pageSetup scale="9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62"/>
  <sheetViews>
    <sheetView workbookViewId="0"/>
  </sheetViews>
  <sheetFormatPr defaultColWidth="9.21875" defaultRowHeight="10.199999999999999" x14ac:dyDescent="0.2"/>
  <cols>
    <col min="1" max="1" width="14.21875" style="48" bestFit="1" customWidth="1"/>
    <col min="2" max="8" width="11.21875" style="45" customWidth="1"/>
    <col min="9" max="16384" width="9.21875" style="45"/>
  </cols>
  <sheetData>
    <row r="1" spans="1:8" ht="15.6" x14ac:dyDescent="0.3">
      <c r="A1" s="85" t="s">
        <v>106</v>
      </c>
      <c r="B1" s="85"/>
      <c r="C1" s="85"/>
      <c r="D1" s="85"/>
      <c r="E1" s="85"/>
      <c r="F1" s="85"/>
      <c r="G1" s="85"/>
      <c r="H1" s="85"/>
    </row>
    <row r="2" spans="1:8" ht="13.2" x14ac:dyDescent="0.25">
      <c r="A2" s="87" t="str">
        <f>'Oct23'!$A$2</f>
        <v>Temporary Assistance for Needy Families (TANF)</v>
      </c>
      <c r="B2" s="87"/>
      <c r="C2" s="87"/>
      <c r="D2" s="87"/>
      <c r="E2" s="87"/>
      <c r="F2" s="87"/>
      <c r="G2" s="87"/>
      <c r="H2" s="87"/>
    </row>
    <row r="3" spans="1:8" s="46" customFormat="1" ht="30.6" x14ac:dyDescent="0.2">
      <c r="A3" s="25" t="s">
        <v>1</v>
      </c>
      <c r="B3" s="26" t="s">
        <v>66</v>
      </c>
      <c r="C3" s="26" t="s">
        <v>67</v>
      </c>
      <c r="D3" s="26" t="s">
        <v>68</v>
      </c>
      <c r="E3" s="26" t="s">
        <v>69</v>
      </c>
      <c r="F3" s="26" t="s">
        <v>70</v>
      </c>
      <c r="G3" s="26" t="s">
        <v>71</v>
      </c>
      <c r="H3" s="26" t="s">
        <v>72</v>
      </c>
    </row>
    <row r="4" spans="1:8" s="47" customFormat="1" x14ac:dyDescent="0.2">
      <c r="A4" s="7" t="s">
        <v>2</v>
      </c>
      <c r="B4" s="8">
        <f>TFam!L5</f>
        <v>869951</v>
      </c>
      <c r="C4" s="8">
        <f>'Two-par'!L5</f>
        <v>59666</v>
      </c>
      <c r="D4" s="8">
        <f>'One-par'!L5</f>
        <v>463771</v>
      </c>
      <c r="E4" s="8">
        <f>'Zero-par'!L5</f>
        <v>346514</v>
      </c>
      <c r="F4" s="8">
        <f>TRec!L5</f>
        <v>2140660</v>
      </c>
      <c r="G4" s="8">
        <f>Adults!L5</f>
        <v>588968</v>
      </c>
      <c r="H4" s="8">
        <f>Children!L5</f>
        <v>1551692</v>
      </c>
    </row>
    <row r="5" spans="1:8" s="6" customFormat="1" x14ac:dyDescent="0.2">
      <c r="A5" s="10" t="s">
        <v>3</v>
      </c>
      <c r="B5" s="30">
        <f>TFam!L6</f>
        <v>5950</v>
      </c>
      <c r="C5" s="30">
        <f>'Two-par'!L6</f>
        <v>35</v>
      </c>
      <c r="D5" s="30">
        <f>'One-par'!L6</f>
        <v>2612</v>
      </c>
      <c r="E5" s="30">
        <f>'Zero-par'!L6</f>
        <v>3303</v>
      </c>
      <c r="F5" s="30">
        <f>TRec!L6</f>
        <v>14254</v>
      </c>
      <c r="G5" s="30">
        <f>Adults!L6</f>
        <v>2767</v>
      </c>
      <c r="H5" s="30">
        <f>Children!L6</f>
        <v>11487</v>
      </c>
    </row>
    <row r="6" spans="1:8" s="13" customFormat="1" x14ac:dyDescent="0.2">
      <c r="A6" s="10" t="s">
        <v>4</v>
      </c>
      <c r="B6" s="32">
        <f>TFam!L7</f>
        <v>1201</v>
      </c>
      <c r="C6" s="32">
        <f>'Two-par'!L7</f>
        <v>167</v>
      </c>
      <c r="D6" s="32">
        <f>'One-par'!L7</f>
        <v>670</v>
      </c>
      <c r="E6" s="32">
        <f>'Zero-par'!L7</f>
        <v>364</v>
      </c>
      <c r="F6" s="32">
        <f>TRec!L7</f>
        <v>3338</v>
      </c>
      <c r="G6" s="32">
        <f>Adults!L7</f>
        <v>1042</v>
      </c>
      <c r="H6" s="32">
        <f>Children!L7</f>
        <v>2296</v>
      </c>
    </row>
    <row r="7" spans="1:8" s="13" customFormat="1" x14ac:dyDescent="0.2">
      <c r="A7" s="10" t="s">
        <v>5</v>
      </c>
      <c r="B7" s="32">
        <f>TFam!L8</f>
        <v>4561</v>
      </c>
      <c r="C7" s="32">
        <f>'Two-par'!L8</f>
        <v>318</v>
      </c>
      <c r="D7" s="32">
        <f>'One-par'!L8</f>
        <v>1191</v>
      </c>
      <c r="E7" s="32">
        <f>'Zero-par'!L8</f>
        <v>3052</v>
      </c>
      <c r="F7" s="32">
        <f>TRec!L8</f>
        <v>9652</v>
      </c>
      <c r="G7" s="32">
        <f>Adults!L8</f>
        <v>1853</v>
      </c>
      <c r="H7" s="32">
        <f>Children!L8</f>
        <v>7799</v>
      </c>
    </row>
    <row r="8" spans="1:8" s="13" customFormat="1" x14ac:dyDescent="0.2">
      <c r="A8" s="10" t="s">
        <v>6</v>
      </c>
      <c r="B8" s="32">
        <f>TFam!L9</f>
        <v>738</v>
      </c>
      <c r="C8" s="32">
        <f>'Two-par'!L9</f>
        <v>26</v>
      </c>
      <c r="D8" s="32">
        <f>'One-par'!L9</f>
        <v>386</v>
      </c>
      <c r="E8" s="32">
        <f>'Zero-par'!L9</f>
        <v>326</v>
      </c>
      <c r="F8" s="32">
        <f>TRec!L9</f>
        <v>1759</v>
      </c>
      <c r="G8" s="32">
        <f>Adults!L9</f>
        <v>438</v>
      </c>
      <c r="H8" s="32">
        <f>Children!L9</f>
        <v>1321</v>
      </c>
    </row>
    <row r="9" spans="1:8" s="13" customFormat="1" x14ac:dyDescent="0.2">
      <c r="A9" s="10" t="s">
        <v>7</v>
      </c>
      <c r="B9" s="30">
        <f>TFam!L10</f>
        <v>310010</v>
      </c>
      <c r="C9" s="30">
        <f>'Two-par'!L10</f>
        <v>39953</v>
      </c>
      <c r="D9" s="30">
        <f>'One-par'!L10</f>
        <v>166663</v>
      </c>
      <c r="E9" s="30">
        <f>'Zero-par'!L10</f>
        <v>103394</v>
      </c>
      <c r="F9" s="30">
        <f>TRec!L10</f>
        <v>819276</v>
      </c>
      <c r="G9" s="30">
        <f>Adults!L10</f>
        <v>223759</v>
      </c>
      <c r="H9" s="30">
        <f>Children!L10</f>
        <v>595517</v>
      </c>
    </row>
    <row r="10" spans="1:8" s="13" customFormat="1" x14ac:dyDescent="0.2">
      <c r="A10" s="10" t="s">
        <v>8</v>
      </c>
      <c r="B10" s="32">
        <f>TFam!L11</f>
        <v>12878</v>
      </c>
      <c r="C10" s="32">
        <f>'Two-par'!L11</f>
        <v>0</v>
      </c>
      <c r="D10" s="32">
        <f>'One-par'!L11</f>
        <v>8740</v>
      </c>
      <c r="E10" s="32">
        <f>'Zero-par'!L11</f>
        <v>4138</v>
      </c>
      <c r="F10" s="32">
        <f>TRec!L11</f>
        <v>31795</v>
      </c>
      <c r="G10" s="32">
        <f>Adults!L11</f>
        <v>8999</v>
      </c>
      <c r="H10" s="32">
        <f>Children!L11</f>
        <v>22796</v>
      </c>
    </row>
    <row r="11" spans="1:8" s="13" customFormat="1" x14ac:dyDescent="0.2">
      <c r="A11" s="10" t="s">
        <v>9</v>
      </c>
      <c r="B11" s="30">
        <f>TFam!L12</f>
        <v>5421</v>
      </c>
      <c r="C11" s="30">
        <f>'Two-par'!L12</f>
        <v>0</v>
      </c>
      <c r="D11" s="30">
        <f>'One-par'!L12</f>
        <v>2358</v>
      </c>
      <c r="E11" s="30">
        <f>'Zero-par'!L12</f>
        <v>3063</v>
      </c>
      <c r="F11" s="30">
        <f>TRec!L12</f>
        <v>13048</v>
      </c>
      <c r="G11" s="30">
        <f>Adults!L12</f>
        <v>3876</v>
      </c>
      <c r="H11" s="30">
        <f>Children!L12</f>
        <v>9172</v>
      </c>
    </row>
    <row r="12" spans="1:8" s="13" customFormat="1" x14ac:dyDescent="0.2">
      <c r="A12" s="10" t="s">
        <v>10</v>
      </c>
      <c r="B12" s="30">
        <f>TFam!L13</f>
        <v>2539</v>
      </c>
      <c r="C12" s="30">
        <f>'Two-par'!L13</f>
        <v>6</v>
      </c>
      <c r="D12" s="30">
        <f>'One-par'!L13</f>
        <v>606</v>
      </c>
      <c r="E12" s="30">
        <f>'Zero-par'!L13</f>
        <v>1927</v>
      </c>
      <c r="F12" s="30">
        <f>TRec!L13</f>
        <v>7103</v>
      </c>
      <c r="G12" s="30">
        <f>Adults!L13</f>
        <v>2902</v>
      </c>
      <c r="H12" s="30">
        <f>Children!L13</f>
        <v>4201</v>
      </c>
    </row>
    <row r="13" spans="1:8" s="13" customFormat="1" x14ac:dyDescent="0.2">
      <c r="A13" s="10" t="s">
        <v>11</v>
      </c>
      <c r="B13" s="30">
        <f>TFam!L14</f>
        <v>5738</v>
      </c>
      <c r="C13" s="30">
        <f>'Two-par'!L14</f>
        <v>0</v>
      </c>
      <c r="D13" s="30">
        <f>'One-par'!L14</f>
        <v>4279</v>
      </c>
      <c r="E13" s="30">
        <f>'Zero-par'!L14</f>
        <v>1459</v>
      </c>
      <c r="F13" s="30">
        <f>TRec!L14</f>
        <v>18316</v>
      </c>
      <c r="G13" s="30">
        <f>Adults!L14</f>
        <v>4279</v>
      </c>
      <c r="H13" s="30">
        <f>Children!L14</f>
        <v>14037</v>
      </c>
    </row>
    <row r="14" spans="1:8" s="13" customFormat="1" x14ac:dyDescent="0.2">
      <c r="A14" s="10" t="s">
        <v>12</v>
      </c>
      <c r="B14" s="30">
        <f>TFam!L15</f>
        <v>27281</v>
      </c>
      <c r="C14" s="30">
        <f>'Two-par'!L15</f>
        <v>3739</v>
      </c>
      <c r="D14" s="30">
        <f>'One-par'!L15</f>
        <v>7203</v>
      </c>
      <c r="E14" s="30">
        <f>'Zero-par'!L15</f>
        <v>16339</v>
      </c>
      <c r="F14" s="30">
        <f>TRec!L15</f>
        <v>53306</v>
      </c>
      <c r="G14" s="30">
        <f>Adults!L15</f>
        <v>17457</v>
      </c>
      <c r="H14" s="30">
        <f>Children!L15</f>
        <v>35849</v>
      </c>
    </row>
    <row r="15" spans="1:8" s="13" customFormat="1" x14ac:dyDescent="0.2">
      <c r="A15" s="10" t="s">
        <v>13</v>
      </c>
      <c r="B15" s="30">
        <f>TFam!L16</f>
        <v>3984</v>
      </c>
      <c r="C15" s="30">
        <f>'Two-par'!L16</f>
        <v>0</v>
      </c>
      <c r="D15" s="30">
        <f>'One-par'!L16</f>
        <v>109</v>
      </c>
      <c r="E15" s="30">
        <f>'Zero-par'!L16</f>
        <v>3875</v>
      </c>
      <c r="F15" s="30">
        <f>TRec!L16</f>
        <v>6891</v>
      </c>
      <c r="G15" s="30">
        <f>Adults!L16</f>
        <v>155</v>
      </c>
      <c r="H15" s="30">
        <f>Children!L16</f>
        <v>6736</v>
      </c>
    </row>
    <row r="16" spans="1:8" s="13" customFormat="1" x14ac:dyDescent="0.2">
      <c r="A16" s="10" t="s">
        <v>14</v>
      </c>
      <c r="B16" s="32">
        <f>TFam!L17</f>
        <v>198</v>
      </c>
      <c r="C16" s="32">
        <f>'Two-par'!L17</f>
        <v>12</v>
      </c>
      <c r="D16" s="32">
        <f>'One-par'!L17</f>
        <v>51</v>
      </c>
      <c r="E16" s="32">
        <f>'Zero-par'!L17</f>
        <v>135</v>
      </c>
      <c r="F16" s="32">
        <f>TRec!L17</f>
        <v>453</v>
      </c>
      <c r="G16" s="32">
        <f>Adults!L17</f>
        <v>76</v>
      </c>
      <c r="H16" s="32">
        <f>Children!L17</f>
        <v>377</v>
      </c>
    </row>
    <row r="17" spans="1:8" s="13" customFormat="1" x14ac:dyDescent="0.2">
      <c r="A17" s="10" t="s">
        <v>15</v>
      </c>
      <c r="B17" s="30">
        <f>TFam!L18</f>
        <v>2491</v>
      </c>
      <c r="C17" s="30">
        <f>'Two-par'!L18</f>
        <v>344</v>
      </c>
      <c r="D17" s="30">
        <f>'One-par'!L18</f>
        <v>1572</v>
      </c>
      <c r="E17" s="30">
        <f>'Zero-par'!L18</f>
        <v>575</v>
      </c>
      <c r="F17" s="30">
        <f>TRec!L18</f>
        <v>6852</v>
      </c>
      <c r="G17" s="30">
        <f>Adults!L18</f>
        <v>1999</v>
      </c>
      <c r="H17" s="30">
        <f>Children!L18</f>
        <v>4853</v>
      </c>
    </row>
    <row r="18" spans="1:8" s="13" customFormat="1" x14ac:dyDescent="0.2">
      <c r="A18" s="10" t="s">
        <v>16</v>
      </c>
      <c r="B18" s="32">
        <f>TFam!L19</f>
        <v>1471</v>
      </c>
      <c r="C18" s="32">
        <f>'Two-par'!L19</f>
        <v>0</v>
      </c>
      <c r="D18" s="32">
        <f>'One-par'!L19</f>
        <v>35</v>
      </c>
      <c r="E18" s="32">
        <f>'Zero-par'!L19</f>
        <v>1436</v>
      </c>
      <c r="F18" s="32">
        <f>TRec!L19</f>
        <v>2037</v>
      </c>
      <c r="G18" s="32">
        <f>Adults!L19</f>
        <v>35</v>
      </c>
      <c r="H18" s="32">
        <f>Children!L19</f>
        <v>2002</v>
      </c>
    </row>
    <row r="19" spans="1:8" s="13" customFormat="1" x14ac:dyDescent="0.2">
      <c r="A19" s="10" t="s">
        <v>17</v>
      </c>
      <c r="B19" s="30">
        <f>TFam!L20</f>
        <v>9921</v>
      </c>
      <c r="C19" s="30">
        <f>'Two-par'!L20</f>
        <v>0</v>
      </c>
      <c r="D19" s="30">
        <f>'One-par'!L20</f>
        <v>2247</v>
      </c>
      <c r="E19" s="30">
        <f>'Zero-par'!L20</f>
        <v>7674</v>
      </c>
      <c r="F19" s="30">
        <f>TRec!L20</f>
        <v>20334</v>
      </c>
      <c r="G19" s="30">
        <f>Adults!L20</f>
        <v>2675</v>
      </c>
      <c r="H19" s="30">
        <f>Children!L20</f>
        <v>17659</v>
      </c>
    </row>
    <row r="20" spans="1:8" s="13" customFormat="1" x14ac:dyDescent="0.2">
      <c r="A20" s="10" t="s">
        <v>18</v>
      </c>
      <c r="B20" s="30">
        <f>TFam!L21</f>
        <v>5499</v>
      </c>
      <c r="C20" s="30">
        <f>'Two-par'!L21</f>
        <v>691</v>
      </c>
      <c r="D20" s="30">
        <f>'One-par'!L21</f>
        <v>2341</v>
      </c>
      <c r="E20" s="30">
        <f>'Zero-par'!L21</f>
        <v>2467</v>
      </c>
      <c r="F20" s="30">
        <f>TRec!L21</f>
        <v>13104</v>
      </c>
      <c r="G20" s="30">
        <f>Adults!L21</f>
        <v>3317</v>
      </c>
      <c r="H20" s="30">
        <f>Children!L21</f>
        <v>9787</v>
      </c>
    </row>
    <row r="21" spans="1:8" s="13" customFormat="1" x14ac:dyDescent="0.2">
      <c r="A21" s="10" t="s">
        <v>19</v>
      </c>
      <c r="B21" s="30">
        <f>TFam!L22</f>
        <v>4134</v>
      </c>
      <c r="C21" s="30">
        <f>'Two-par'!L22</f>
        <v>260</v>
      </c>
      <c r="D21" s="30">
        <f>'One-par'!L22</f>
        <v>2029</v>
      </c>
      <c r="E21" s="30">
        <f>'Zero-par'!L22</f>
        <v>1845</v>
      </c>
      <c r="F21" s="30">
        <f>TRec!L22</f>
        <v>10481</v>
      </c>
      <c r="G21" s="30">
        <f>Adults!L22</f>
        <v>2571</v>
      </c>
      <c r="H21" s="30">
        <f>Children!L22</f>
        <v>7910</v>
      </c>
    </row>
    <row r="22" spans="1:8" s="13" customFormat="1" x14ac:dyDescent="0.2">
      <c r="A22" s="10" t="s">
        <v>20</v>
      </c>
      <c r="B22" s="32">
        <f>TFam!L23</f>
        <v>2911</v>
      </c>
      <c r="C22" s="32">
        <f>'Two-par'!L23</f>
        <v>259</v>
      </c>
      <c r="D22" s="32">
        <f>'One-par'!L23</f>
        <v>1427</v>
      </c>
      <c r="E22" s="32">
        <f>'Zero-par'!L23</f>
        <v>1225</v>
      </c>
      <c r="F22" s="32">
        <f>TRec!L23</f>
        <v>2911</v>
      </c>
      <c r="G22" s="32">
        <f>Adults!L23</f>
        <v>1528</v>
      </c>
      <c r="H22" s="32">
        <f>Children!L23</f>
        <v>1383</v>
      </c>
    </row>
    <row r="23" spans="1:8" s="13" customFormat="1" x14ac:dyDescent="0.2">
      <c r="A23" s="10" t="s">
        <v>21</v>
      </c>
      <c r="B23" s="32">
        <f>TFam!L24</f>
        <v>15735</v>
      </c>
      <c r="C23" s="32">
        <f>'Two-par'!L24</f>
        <v>1136</v>
      </c>
      <c r="D23" s="32">
        <f>'One-par'!L24</f>
        <v>6295</v>
      </c>
      <c r="E23" s="32">
        <f>'Zero-par'!L24</f>
        <v>8304</v>
      </c>
      <c r="F23" s="32">
        <f>TRec!L24</f>
        <v>36938</v>
      </c>
      <c r="G23" s="32">
        <f>Adults!L24</f>
        <v>8782</v>
      </c>
      <c r="H23" s="32">
        <f>Children!L24</f>
        <v>28156</v>
      </c>
    </row>
    <row r="24" spans="1:8" s="13" customFormat="1" x14ac:dyDescent="0.2">
      <c r="A24" s="10" t="s">
        <v>22</v>
      </c>
      <c r="B24" s="32">
        <f>TFam!L25</f>
        <v>5013</v>
      </c>
      <c r="C24" s="32">
        <f>'Two-par'!L25</f>
        <v>0</v>
      </c>
      <c r="D24" s="32">
        <f>'One-par'!L25</f>
        <v>2918</v>
      </c>
      <c r="E24" s="32">
        <f>'Zero-par'!L25</f>
        <v>2095</v>
      </c>
      <c r="F24" s="32">
        <f>TRec!L25</f>
        <v>13046</v>
      </c>
      <c r="G24" s="32">
        <f>Adults!L25</f>
        <v>2563</v>
      </c>
      <c r="H24" s="32">
        <f>Children!L25</f>
        <v>10483</v>
      </c>
    </row>
    <row r="25" spans="1:8" s="13" customFormat="1" x14ac:dyDescent="0.2">
      <c r="A25" s="10" t="s">
        <v>23</v>
      </c>
      <c r="B25" s="30">
        <f>TFam!L26</f>
        <v>3754</v>
      </c>
      <c r="C25" s="30">
        <f>'Two-par'!L26</f>
        <v>526</v>
      </c>
      <c r="D25" s="30">
        <f>'One-par'!L26</f>
        <v>2228</v>
      </c>
      <c r="E25" s="30">
        <f>'Zero-par'!L26</f>
        <v>1000</v>
      </c>
      <c r="F25" s="30">
        <f>TRec!L26</f>
        <v>9798</v>
      </c>
      <c r="G25" s="30">
        <f>Adults!L26</f>
        <v>3184</v>
      </c>
      <c r="H25" s="30">
        <f>Children!L26</f>
        <v>6614</v>
      </c>
    </row>
    <row r="26" spans="1:8" s="13" customFormat="1" x14ac:dyDescent="0.2">
      <c r="A26" s="10" t="s">
        <v>24</v>
      </c>
      <c r="B26" s="30">
        <f>TFam!L27</f>
        <v>15014</v>
      </c>
      <c r="C26" s="30">
        <f>'Two-par'!L27</f>
        <v>0</v>
      </c>
      <c r="D26" s="30">
        <f>'One-par'!L27</f>
        <v>10903</v>
      </c>
      <c r="E26" s="30">
        <f>'Zero-par'!L27</f>
        <v>4111</v>
      </c>
      <c r="F26" s="30">
        <f>TRec!L27</f>
        <v>41218</v>
      </c>
      <c r="G26" s="30">
        <f>Adults!L27</f>
        <v>11767</v>
      </c>
      <c r="H26" s="30">
        <f>Children!L27</f>
        <v>29451</v>
      </c>
    </row>
    <row r="27" spans="1:8" s="13" customFormat="1" x14ac:dyDescent="0.2">
      <c r="A27" s="10" t="s">
        <v>25</v>
      </c>
      <c r="B27" s="30">
        <f>TFam!L28</f>
        <v>37760</v>
      </c>
      <c r="C27" s="30">
        <f>'Two-par'!L28</f>
        <v>2373</v>
      </c>
      <c r="D27" s="30">
        <f>'One-par'!L28</f>
        <v>23661</v>
      </c>
      <c r="E27" s="30">
        <f>'Zero-par'!L28</f>
        <v>11726</v>
      </c>
      <c r="F27" s="30">
        <f>TRec!L28</f>
        <v>89112</v>
      </c>
      <c r="G27" s="30">
        <f>Adults!L28</f>
        <v>27291</v>
      </c>
      <c r="H27" s="30">
        <f>Children!L28</f>
        <v>61821</v>
      </c>
    </row>
    <row r="28" spans="1:8" s="13" customFormat="1" x14ac:dyDescent="0.2">
      <c r="A28" s="10" t="s">
        <v>26</v>
      </c>
      <c r="B28" s="32">
        <f>TFam!L29</f>
        <v>7864</v>
      </c>
      <c r="C28" s="32">
        <f>'Two-par'!L29</f>
        <v>0</v>
      </c>
      <c r="D28" s="32">
        <f>'One-par'!L29</f>
        <v>3829</v>
      </c>
      <c r="E28" s="32">
        <f>'Zero-par'!L29</f>
        <v>4035</v>
      </c>
      <c r="F28" s="32">
        <f>TRec!L29</f>
        <v>21958</v>
      </c>
      <c r="G28" s="32">
        <f>Adults!L29</f>
        <v>4763</v>
      </c>
      <c r="H28" s="32">
        <f>Children!L29</f>
        <v>17195</v>
      </c>
    </row>
    <row r="29" spans="1:8" s="13" customFormat="1" x14ac:dyDescent="0.2">
      <c r="A29" s="10" t="s">
        <v>27</v>
      </c>
      <c r="B29" s="30">
        <f>TFam!L30</f>
        <v>13178</v>
      </c>
      <c r="C29" s="30">
        <f>'Two-par'!L30</f>
        <v>0</v>
      </c>
      <c r="D29" s="30">
        <f>'One-par'!L30</f>
        <v>7812</v>
      </c>
      <c r="E29" s="30">
        <f>'Zero-par'!L30</f>
        <v>5366</v>
      </c>
      <c r="F29" s="30">
        <f>TRec!L30</f>
        <v>30743</v>
      </c>
      <c r="G29" s="30">
        <f>Adults!L30</f>
        <v>7775</v>
      </c>
      <c r="H29" s="30">
        <f>Children!L30</f>
        <v>22968</v>
      </c>
    </row>
    <row r="30" spans="1:8" s="13" customFormat="1" x14ac:dyDescent="0.2">
      <c r="A30" s="10" t="s">
        <v>28</v>
      </c>
      <c r="B30" s="32">
        <f>TFam!L31</f>
        <v>1428</v>
      </c>
      <c r="C30" s="32">
        <f>'Two-par'!L31</f>
        <v>0</v>
      </c>
      <c r="D30" s="32">
        <f>'One-par'!L31</f>
        <v>315</v>
      </c>
      <c r="E30" s="32">
        <f>'Zero-par'!L31</f>
        <v>1113</v>
      </c>
      <c r="F30" s="32">
        <f>TRec!L31</f>
        <v>2592</v>
      </c>
      <c r="G30" s="32">
        <f>Adults!L31</f>
        <v>327</v>
      </c>
      <c r="H30" s="32">
        <f>Children!L31</f>
        <v>2265</v>
      </c>
    </row>
    <row r="31" spans="1:8" s="13" customFormat="1" x14ac:dyDescent="0.2">
      <c r="A31" s="10" t="s">
        <v>29</v>
      </c>
      <c r="B31" s="30">
        <f>TFam!L32</f>
        <v>4881</v>
      </c>
      <c r="C31" s="30">
        <f>'Two-par'!L32</f>
        <v>0</v>
      </c>
      <c r="D31" s="30">
        <f>'One-par'!L32</f>
        <v>2810</v>
      </c>
      <c r="E31" s="30">
        <f>'Zero-par'!L32</f>
        <v>2071</v>
      </c>
      <c r="F31" s="30">
        <f>TRec!L32</f>
        <v>11477</v>
      </c>
      <c r="G31" s="30">
        <f>Adults!L32</f>
        <v>2506</v>
      </c>
      <c r="H31" s="30">
        <f>Children!L32</f>
        <v>8971</v>
      </c>
    </row>
    <row r="32" spans="1:8" s="13" customFormat="1" x14ac:dyDescent="0.2">
      <c r="A32" s="10" t="s">
        <v>30</v>
      </c>
      <c r="B32" s="32">
        <f>TFam!L33</f>
        <v>1574</v>
      </c>
      <c r="C32" s="32">
        <f>'Two-par'!L33</f>
        <v>98</v>
      </c>
      <c r="D32" s="32">
        <f>'One-par'!L33</f>
        <v>607</v>
      </c>
      <c r="E32" s="32">
        <f>'Zero-par'!L33</f>
        <v>869</v>
      </c>
      <c r="F32" s="32">
        <f>TRec!L33</f>
        <v>3534</v>
      </c>
      <c r="G32" s="32">
        <f>Adults!L33</f>
        <v>659</v>
      </c>
      <c r="H32" s="32">
        <f>Children!L33</f>
        <v>2875</v>
      </c>
    </row>
    <row r="33" spans="1:8" s="13" customFormat="1" x14ac:dyDescent="0.2">
      <c r="A33" s="10" t="s">
        <v>31</v>
      </c>
      <c r="B33" s="30">
        <f>TFam!L34</f>
        <v>2488</v>
      </c>
      <c r="C33" s="30">
        <f>'Two-par'!L34</f>
        <v>0</v>
      </c>
      <c r="D33" s="30">
        <f>'One-par'!L34</f>
        <v>715</v>
      </c>
      <c r="E33" s="30">
        <f>'Zero-par'!L34</f>
        <v>1773</v>
      </c>
      <c r="F33" s="30">
        <f>TRec!L34</f>
        <v>5696</v>
      </c>
      <c r="G33" s="30">
        <f>Adults!L34</f>
        <v>701</v>
      </c>
      <c r="H33" s="30">
        <f>Children!L34</f>
        <v>4995</v>
      </c>
    </row>
    <row r="34" spans="1:8" s="13" customFormat="1" x14ac:dyDescent="0.2">
      <c r="A34" s="10" t="s">
        <v>32</v>
      </c>
      <c r="B34" s="30">
        <f>TFam!L35</f>
        <v>5449</v>
      </c>
      <c r="C34" s="30">
        <f>'Two-par'!L35</f>
        <v>525</v>
      </c>
      <c r="D34" s="30">
        <f>'One-par'!L35</f>
        <v>2397</v>
      </c>
      <c r="E34" s="30">
        <f>'Zero-par'!L35</f>
        <v>2527</v>
      </c>
      <c r="F34" s="30">
        <f>TRec!L35</f>
        <v>13899</v>
      </c>
      <c r="G34" s="30">
        <f>Adults!L35</f>
        <v>3671</v>
      </c>
      <c r="H34" s="30">
        <f>Children!L35</f>
        <v>10228</v>
      </c>
    </row>
    <row r="35" spans="1:8" s="13" customFormat="1" x14ac:dyDescent="0.2">
      <c r="A35" s="10" t="s">
        <v>33</v>
      </c>
      <c r="B35" s="30">
        <f>TFam!L36</f>
        <v>2515</v>
      </c>
      <c r="C35" s="30">
        <f>'Two-par'!L36</f>
        <v>0</v>
      </c>
      <c r="D35" s="30">
        <f>'One-par'!L36</f>
        <v>1051</v>
      </c>
      <c r="E35" s="30">
        <f>'Zero-par'!L36</f>
        <v>1464</v>
      </c>
      <c r="F35" s="30">
        <f>TRec!L36</f>
        <v>5127</v>
      </c>
      <c r="G35" s="30">
        <f>Adults!L36</f>
        <v>1102</v>
      </c>
      <c r="H35" s="30">
        <f>Children!L36</f>
        <v>4025</v>
      </c>
    </row>
    <row r="36" spans="1:8" s="13" customFormat="1" x14ac:dyDescent="0.2">
      <c r="A36" s="10" t="s">
        <v>34</v>
      </c>
      <c r="B36" s="30">
        <f>TFam!L37</f>
        <v>9526</v>
      </c>
      <c r="C36" s="30">
        <f>'Two-par'!L37</f>
        <v>58</v>
      </c>
      <c r="D36" s="30">
        <f>'One-par'!L37</f>
        <v>7320</v>
      </c>
      <c r="E36" s="30">
        <f>'Zero-par'!L37</f>
        <v>2148</v>
      </c>
      <c r="F36" s="30">
        <f>TRec!L37</f>
        <v>22455</v>
      </c>
      <c r="G36" s="30">
        <f>Adults!L37</f>
        <v>6269</v>
      </c>
      <c r="H36" s="30">
        <f>Children!L37</f>
        <v>16186</v>
      </c>
    </row>
    <row r="37" spans="1:8" s="13" customFormat="1" x14ac:dyDescent="0.2">
      <c r="A37" s="10" t="s">
        <v>35</v>
      </c>
      <c r="B37" s="32">
        <f>TFam!L38</f>
        <v>7818</v>
      </c>
      <c r="C37" s="32">
        <f>'Two-par'!L38</f>
        <v>517</v>
      </c>
      <c r="D37" s="32">
        <f>'One-par'!L38</f>
        <v>4020</v>
      </c>
      <c r="E37" s="32">
        <f>'Zero-par'!L38</f>
        <v>3281</v>
      </c>
      <c r="F37" s="32">
        <f>TRec!L38</f>
        <v>19368</v>
      </c>
      <c r="G37" s="32">
        <f>Adults!L38</f>
        <v>5054</v>
      </c>
      <c r="H37" s="32">
        <f>Children!L38</f>
        <v>14314</v>
      </c>
    </row>
    <row r="38" spans="1:8" s="13" customFormat="1" x14ac:dyDescent="0.2">
      <c r="A38" s="10" t="s">
        <v>36</v>
      </c>
      <c r="B38" s="30">
        <f>TFam!L39</f>
        <v>133248</v>
      </c>
      <c r="C38" s="30">
        <f>'Two-par'!L39</f>
        <v>1840</v>
      </c>
      <c r="D38" s="30">
        <f>'One-par'!L39</f>
        <v>99495</v>
      </c>
      <c r="E38" s="30">
        <f>'Zero-par'!L39</f>
        <v>31913</v>
      </c>
      <c r="F38" s="30">
        <f>TRec!L39</f>
        <v>345561</v>
      </c>
      <c r="G38" s="30">
        <f>Adults!L39</f>
        <v>124648</v>
      </c>
      <c r="H38" s="30">
        <f>Children!L39</f>
        <v>220913</v>
      </c>
    </row>
    <row r="39" spans="1:8" s="13" customFormat="1" x14ac:dyDescent="0.2">
      <c r="A39" s="10" t="s">
        <v>37</v>
      </c>
      <c r="B39" s="32">
        <f>TFam!L40</f>
        <v>6893</v>
      </c>
      <c r="C39" s="32">
        <f>'Two-par'!L40</f>
        <v>66</v>
      </c>
      <c r="D39" s="32">
        <f>'One-par'!L40</f>
        <v>1066</v>
      </c>
      <c r="E39" s="32">
        <f>'Zero-par'!L40</f>
        <v>5761</v>
      </c>
      <c r="F39" s="32">
        <f>TRec!L40</f>
        <v>11826</v>
      </c>
      <c r="G39" s="32">
        <f>Adults!L40</f>
        <v>1242</v>
      </c>
      <c r="H39" s="32">
        <f>Children!L40</f>
        <v>10584</v>
      </c>
    </row>
    <row r="40" spans="1:8" s="13" customFormat="1" x14ac:dyDescent="0.2">
      <c r="A40" s="10" t="s">
        <v>38</v>
      </c>
      <c r="B40" s="32">
        <f>TFam!L41</f>
        <v>689</v>
      </c>
      <c r="C40" s="32">
        <f>'Two-par'!L41</f>
        <v>0</v>
      </c>
      <c r="D40" s="32">
        <f>'One-par'!L41</f>
        <v>400</v>
      </c>
      <c r="E40" s="32">
        <f>'Zero-par'!L41</f>
        <v>289</v>
      </c>
      <c r="F40" s="32">
        <f>TRec!L41</f>
        <v>1775</v>
      </c>
      <c r="G40" s="32">
        <f>Adults!L41</f>
        <v>335</v>
      </c>
      <c r="H40" s="32">
        <f>Children!L41</f>
        <v>1440</v>
      </c>
    </row>
    <row r="41" spans="1:8" s="13" customFormat="1" x14ac:dyDescent="0.2">
      <c r="A41" s="10" t="s">
        <v>39</v>
      </c>
      <c r="B41" s="32">
        <f>TFam!L42</f>
        <v>38742</v>
      </c>
      <c r="C41" s="32">
        <f>'Two-par'!L42</f>
        <v>626</v>
      </c>
      <c r="D41" s="32">
        <f>'One-par'!L42</f>
        <v>5235</v>
      </c>
      <c r="E41" s="32">
        <f>'Zero-par'!L42</f>
        <v>32881</v>
      </c>
      <c r="F41" s="32">
        <f>TRec!L42</f>
        <v>69404</v>
      </c>
      <c r="G41" s="32">
        <f>Adults!L42</f>
        <v>7005</v>
      </c>
      <c r="H41" s="32">
        <f>Children!L42</f>
        <v>62399</v>
      </c>
    </row>
    <row r="42" spans="1:8" s="13" customFormat="1" x14ac:dyDescent="0.2">
      <c r="A42" s="10" t="s">
        <v>40</v>
      </c>
      <c r="B42" s="32">
        <f>TFam!L43</f>
        <v>3226</v>
      </c>
      <c r="C42" s="32">
        <f>'Two-par'!L43</f>
        <v>0</v>
      </c>
      <c r="D42" s="32">
        <f>'One-par'!L43</f>
        <v>828</v>
      </c>
      <c r="E42" s="32">
        <f>'Zero-par'!L43</f>
        <v>2398</v>
      </c>
      <c r="F42" s="32">
        <f>TRec!L43</f>
        <v>6984</v>
      </c>
      <c r="G42" s="32">
        <f>Adults!L43</f>
        <v>828</v>
      </c>
      <c r="H42" s="32">
        <f>Children!L43</f>
        <v>6156</v>
      </c>
    </row>
    <row r="43" spans="1:8" s="13" customFormat="1" x14ac:dyDescent="0.2">
      <c r="A43" s="10" t="s">
        <v>41</v>
      </c>
      <c r="B43" s="32">
        <f>TFam!L44</f>
        <v>18749</v>
      </c>
      <c r="C43" s="32">
        <f>'Two-par'!L44</f>
        <v>0</v>
      </c>
      <c r="D43" s="32">
        <f>'One-par'!L44</f>
        <v>12398</v>
      </c>
      <c r="E43" s="32">
        <f>'Zero-par'!L44</f>
        <v>6351</v>
      </c>
      <c r="F43" s="32">
        <f>TRec!L44</f>
        <v>42662</v>
      </c>
      <c r="G43" s="32">
        <f>Adults!L44</f>
        <v>12563</v>
      </c>
      <c r="H43" s="32">
        <f>Children!L44</f>
        <v>30099</v>
      </c>
    </row>
    <row r="44" spans="1:8" s="13" customFormat="1" x14ac:dyDescent="0.2">
      <c r="A44" s="10" t="s">
        <v>42</v>
      </c>
      <c r="B44" s="32">
        <f>TFam!L45</f>
        <v>22972</v>
      </c>
      <c r="C44" s="32">
        <f>'Two-par'!L45</f>
        <v>339</v>
      </c>
      <c r="D44" s="32">
        <f>'One-par'!L45</f>
        <v>14431</v>
      </c>
      <c r="E44" s="32">
        <f>'Zero-par'!L45</f>
        <v>8202</v>
      </c>
      <c r="F44" s="32">
        <f>TRec!L45</f>
        <v>56949</v>
      </c>
      <c r="G44" s="32">
        <f>Adults!L45</f>
        <v>13972</v>
      </c>
      <c r="H44" s="32">
        <f>Children!L45</f>
        <v>42977</v>
      </c>
    </row>
    <row r="45" spans="1:8" s="13" customFormat="1" x14ac:dyDescent="0.2">
      <c r="A45" s="10" t="s">
        <v>43</v>
      </c>
      <c r="B45" s="32">
        <f>TFam!L46</f>
        <v>2453</v>
      </c>
      <c r="C45" s="32">
        <f>'Two-par'!L46</f>
        <v>102</v>
      </c>
      <c r="D45" s="32">
        <f>'One-par'!L46</f>
        <v>2200</v>
      </c>
      <c r="E45" s="32">
        <f>'Zero-par'!L46</f>
        <v>151</v>
      </c>
      <c r="F45" s="32">
        <f>TRec!L46</f>
        <v>6863</v>
      </c>
      <c r="G45" s="32">
        <f>Adults!L46</f>
        <v>2539</v>
      </c>
      <c r="H45" s="32">
        <f>Children!L46</f>
        <v>4324</v>
      </c>
    </row>
    <row r="46" spans="1:8" s="13" customFormat="1" x14ac:dyDescent="0.2">
      <c r="A46" s="10" t="s">
        <v>44</v>
      </c>
      <c r="B46" s="30">
        <f>TFam!L47</f>
        <v>3599</v>
      </c>
      <c r="C46" s="30">
        <f>'Two-par'!L47</f>
        <v>265</v>
      </c>
      <c r="D46" s="30">
        <f>'One-par'!L47</f>
        <v>2767</v>
      </c>
      <c r="E46" s="30">
        <f>'Zero-par'!L47</f>
        <v>567</v>
      </c>
      <c r="F46" s="30">
        <f>TRec!L47</f>
        <v>9357</v>
      </c>
      <c r="G46" s="30">
        <f>Adults!L47</f>
        <v>2906</v>
      </c>
      <c r="H46" s="30">
        <f>Children!L47</f>
        <v>6451</v>
      </c>
    </row>
    <row r="47" spans="1:8" s="13" customFormat="1" x14ac:dyDescent="0.2">
      <c r="A47" s="10" t="s">
        <v>45</v>
      </c>
      <c r="B47" s="30">
        <f>TFam!L48</f>
        <v>5660</v>
      </c>
      <c r="C47" s="30">
        <f>'Two-par'!L48</f>
        <v>0</v>
      </c>
      <c r="D47" s="30">
        <f>'One-par'!L48</f>
        <v>2602</v>
      </c>
      <c r="E47" s="30">
        <f>'Zero-par'!L48</f>
        <v>3058</v>
      </c>
      <c r="F47" s="30">
        <f>TRec!L48</f>
        <v>13252</v>
      </c>
      <c r="G47" s="30">
        <f>Adults!L48</f>
        <v>2602</v>
      </c>
      <c r="H47" s="30">
        <f>Children!L48</f>
        <v>10650</v>
      </c>
    </row>
    <row r="48" spans="1:8" s="13" customFormat="1" x14ac:dyDescent="0.2">
      <c r="A48" s="10" t="s">
        <v>46</v>
      </c>
      <c r="B48" s="32">
        <f>TFam!L49</f>
        <v>2561</v>
      </c>
      <c r="C48" s="32">
        <f>'Two-par'!L49</f>
        <v>0</v>
      </c>
      <c r="D48" s="32">
        <f>'One-par'!L49</f>
        <v>462</v>
      </c>
      <c r="E48" s="32">
        <f>'Zero-par'!L49</f>
        <v>2099</v>
      </c>
      <c r="F48" s="32">
        <f>TRec!L49</f>
        <v>5185</v>
      </c>
      <c r="G48" s="32">
        <f>Adults!L49</f>
        <v>462</v>
      </c>
      <c r="H48" s="32">
        <f>Children!L49</f>
        <v>4723</v>
      </c>
    </row>
    <row r="49" spans="1:18" s="13" customFormat="1" x14ac:dyDescent="0.2">
      <c r="A49" s="10" t="s">
        <v>47</v>
      </c>
      <c r="B49" s="30">
        <f>TFam!L50</f>
        <v>12933</v>
      </c>
      <c r="C49" s="30">
        <f>'Two-par'!L50</f>
        <v>318</v>
      </c>
      <c r="D49" s="30">
        <f>'One-par'!L50</f>
        <v>5168</v>
      </c>
      <c r="E49" s="30">
        <f>'Zero-par'!L50</f>
        <v>7447</v>
      </c>
      <c r="F49" s="30">
        <f>TRec!L50</f>
        <v>29584</v>
      </c>
      <c r="G49" s="30">
        <f>Adults!L50</f>
        <v>6846</v>
      </c>
      <c r="H49" s="30">
        <f>Children!L50</f>
        <v>22738</v>
      </c>
    </row>
    <row r="50" spans="1:18" s="13" customFormat="1" x14ac:dyDescent="0.2">
      <c r="A50" s="10" t="s">
        <v>48</v>
      </c>
      <c r="B50" s="30">
        <f>TFam!L51</f>
        <v>10200</v>
      </c>
      <c r="C50" s="30">
        <f>'Two-par'!L51</f>
        <v>0</v>
      </c>
      <c r="D50" s="30">
        <f>'One-par'!L51</f>
        <v>3334</v>
      </c>
      <c r="E50" s="30">
        <f>'Zero-par'!L51</f>
        <v>6866</v>
      </c>
      <c r="F50" s="30">
        <f>TRec!L51</f>
        <v>21136</v>
      </c>
      <c r="G50" s="30">
        <f>Adults!L51</f>
        <v>3334</v>
      </c>
      <c r="H50" s="30">
        <f>Children!L51</f>
        <v>17802</v>
      </c>
    </row>
    <row r="51" spans="1:18" s="13" customFormat="1" x14ac:dyDescent="0.2">
      <c r="A51" s="10" t="s">
        <v>49</v>
      </c>
      <c r="B51" s="30">
        <f>TFam!L52</f>
        <v>1920</v>
      </c>
      <c r="C51" s="30">
        <f>'Two-par'!L52</f>
        <v>0</v>
      </c>
      <c r="D51" s="30">
        <f>'One-par'!L52</f>
        <v>870</v>
      </c>
      <c r="E51" s="30">
        <f>'Zero-par'!L52</f>
        <v>1050</v>
      </c>
      <c r="F51" s="30">
        <f>TRec!L52</f>
        <v>4445</v>
      </c>
      <c r="G51" s="30">
        <f>Adults!L52</f>
        <v>1189</v>
      </c>
      <c r="H51" s="30">
        <f>Children!L52</f>
        <v>3256</v>
      </c>
    </row>
    <row r="52" spans="1:18" s="13" customFormat="1" x14ac:dyDescent="0.2">
      <c r="A52" s="10" t="s">
        <v>50</v>
      </c>
      <c r="B52" s="30">
        <f>TFam!L53</f>
        <v>1629</v>
      </c>
      <c r="C52" s="30">
        <f>'Two-par'!L53</f>
        <v>106</v>
      </c>
      <c r="D52" s="30">
        <f>'One-par'!L53</f>
        <v>592</v>
      </c>
      <c r="E52" s="30">
        <f>'Zero-par'!L53</f>
        <v>931</v>
      </c>
      <c r="F52" s="30">
        <f>TRec!L53</f>
        <v>3429</v>
      </c>
      <c r="G52" s="30">
        <f>Adults!L53</f>
        <v>806</v>
      </c>
      <c r="H52" s="30">
        <f>Children!L53</f>
        <v>2623</v>
      </c>
    </row>
    <row r="53" spans="1:18" s="13" customFormat="1" x14ac:dyDescent="0.2">
      <c r="A53" s="10" t="s">
        <v>51</v>
      </c>
      <c r="B53" s="32">
        <f>TFam!L54</f>
        <v>49</v>
      </c>
      <c r="C53" s="32">
        <f>'Two-par'!L54</f>
        <v>0</v>
      </c>
      <c r="D53" s="32">
        <f>'One-par'!L54</f>
        <v>39</v>
      </c>
      <c r="E53" s="32">
        <f>'Zero-par'!L54</f>
        <v>10</v>
      </c>
      <c r="F53" s="32">
        <f>TRec!L54</f>
        <v>156</v>
      </c>
      <c r="G53" s="32">
        <f>Adults!L54</f>
        <v>49</v>
      </c>
      <c r="H53" s="32">
        <f>Children!L54</f>
        <v>107</v>
      </c>
    </row>
    <row r="54" spans="1:18" s="13" customFormat="1" x14ac:dyDescent="0.2">
      <c r="A54" s="10" t="s">
        <v>52</v>
      </c>
      <c r="B54" s="30">
        <f>TFam!L55</f>
        <v>12952</v>
      </c>
      <c r="C54" s="30">
        <f>'Two-par'!L55</f>
        <v>0</v>
      </c>
      <c r="D54" s="30">
        <f>'One-par'!L55</f>
        <v>6805</v>
      </c>
      <c r="E54" s="30">
        <f>'Zero-par'!L55</f>
        <v>6147</v>
      </c>
      <c r="F54" s="30">
        <f>TRec!L55</f>
        <v>29356</v>
      </c>
      <c r="G54" s="30">
        <f>Adults!L55</f>
        <v>6735</v>
      </c>
      <c r="H54" s="30">
        <f>Children!L55</f>
        <v>22621</v>
      </c>
    </row>
    <row r="55" spans="1:18" s="13" customFormat="1" x14ac:dyDescent="0.2">
      <c r="A55" s="10" t="s">
        <v>53</v>
      </c>
      <c r="B55" s="30">
        <f>TFam!L56</f>
        <v>34399</v>
      </c>
      <c r="C55" s="30">
        <f>'Two-par'!L56</f>
        <v>4852</v>
      </c>
      <c r="D55" s="30">
        <f>'One-par'!L56</f>
        <v>19344</v>
      </c>
      <c r="E55" s="30">
        <f>'Zero-par'!L56</f>
        <v>10203</v>
      </c>
      <c r="F55" s="30">
        <f>TRec!L56</f>
        <v>87578</v>
      </c>
      <c r="G55" s="30">
        <f>Adults!L56</f>
        <v>29543</v>
      </c>
      <c r="H55" s="30">
        <f>Children!L56</f>
        <v>58035</v>
      </c>
    </row>
    <row r="56" spans="1:18" s="13" customFormat="1" x14ac:dyDescent="0.2">
      <c r="A56" s="10" t="s">
        <v>54</v>
      </c>
      <c r="B56" s="32">
        <f>TFam!L57</f>
        <v>4495</v>
      </c>
      <c r="C56" s="32">
        <f>'Two-par'!L57</f>
        <v>0</v>
      </c>
      <c r="D56" s="32">
        <f>'One-par'!L57</f>
        <v>1044</v>
      </c>
      <c r="E56" s="32">
        <f>'Zero-par'!L57</f>
        <v>3451</v>
      </c>
      <c r="F56" s="32">
        <f>TRec!L57</f>
        <v>8808</v>
      </c>
      <c r="G56" s="32">
        <f>Adults!L57</f>
        <v>1522</v>
      </c>
      <c r="H56" s="32">
        <f>Children!L57</f>
        <v>7286</v>
      </c>
    </row>
    <row r="57" spans="1:18" s="13" customFormat="1" x14ac:dyDescent="0.2">
      <c r="A57" s="10" t="s">
        <v>55</v>
      </c>
      <c r="B57" s="30">
        <f>TFam!L58</f>
        <v>11169</v>
      </c>
      <c r="C57" s="30">
        <f>'Two-par'!L58</f>
        <v>84</v>
      </c>
      <c r="D57" s="30">
        <f>'One-par'!L58</f>
        <v>3036</v>
      </c>
      <c r="E57" s="30">
        <f>'Zero-par'!L58</f>
        <v>8049</v>
      </c>
      <c r="F57" s="30">
        <f>TRec!L58</f>
        <v>23263</v>
      </c>
      <c r="G57" s="30">
        <f>Adults!L58</f>
        <v>3395</v>
      </c>
      <c r="H57" s="30">
        <f>Children!L58</f>
        <v>19868</v>
      </c>
    </row>
    <row r="58" spans="1:18" s="13" customFormat="1" x14ac:dyDescent="0.2">
      <c r="A58" s="19" t="s">
        <v>56</v>
      </c>
      <c r="B58" s="33">
        <f>TFam!L59</f>
        <v>490</v>
      </c>
      <c r="C58" s="33">
        <f>'Two-par'!L59</f>
        <v>25</v>
      </c>
      <c r="D58" s="33">
        <f>'One-par'!L59</f>
        <v>255</v>
      </c>
      <c r="E58" s="33">
        <f>'Zero-par'!L59</f>
        <v>210</v>
      </c>
      <c r="F58" s="33">
        <f>TRec!L59</f>
        <v>1216</v>
      </c>
      <c r="G58" s="33">
        <f>Adults!L59</f>
        <v>305</v>
      </c>
      <c r="H58" s="33">
        <f>Children!L59</f>
        <v>911</v>
      </c>
    </row>
    <row r="59" spans="1:18" x14ac:dyDescent="0.2">
      <c r="A59" s="82">
        <f>TFam!$A$3</f>
        <v>45687</v>
      </c>
      <c r="B59" s="72"/>
      <c r="C59" s="72"/>
      <c r="D59" s="72"/>
      <c r="E59" s="72"/>
      <c r="F59" s="72"/>
      <c r="G59" s="72"/>
      <c r="H59" s="72"/>
      <c r="I59" s="58"/>
      <c r="J59" s="58"/>
      <c r="K59" s="58"/>
      <c r="L59" s="58"/>
      <c r="M59" s="58"/>
      <c r="N59" s="58"/>
      <c r="O59" s="58"/>
      <c r="P59" s="58"/>
      <c r="Q59" s="58"/>
      <c r="R59" s="58"/>
    </row>
    <row r="60" spans="1:18" x14ac:dyDescent="0.2">
      <c r="A60" s="70" t="str">
        <f>'Oct23'!A60</f>
        <v xml:space="preserve">    </v>
      </c>
      <c r="B60" s="70"/>
      <c r="C60" s="70"/>
      <c r="D60" s="70"/>
      <c r="E60" s="70"/>
      <c r="F60" s="70"/>
      <c r="G60" s="70"/>
      <c r="H60" s="70"/>
    </row>
    <row r="61" spans="1:18" x14ac:dyDescent="0.2">
      <c r="A61" s="70" t="str">
        <f>'Oct23'!A61</f>
        <v xml:space="preserve">Notes: </v>
      </c>
      <c r="B61" s="70"/>
      <c r="C61" s="70"/>
      <c r="D61" s="70"/>
      <c r="E61" s="70"/>
      <c r="F61" s="70"/>
      <c r="G61" s="70"/>
      <c r="H61" s="70"/>
    </row>
    <row r="62" spans="1:18" x14ac:dyDescent="0.2">
      <c r="A62" s="70" t="str">
        <f>'Oct23'!A62</f>
        <v>"-" - data inapplicable</v>
      </c>
      <c r="B62" s="70"/>
      <c r="C62" s="70"/>
      <c r="D62" s="70"/>
      <c r="E62" s="70"/>
      <c r="F62" s="70"/>
      <c r="G62" s="70"/>
      <c r="H62" s="70"/>
    </row>
  </sheetData>
  <pageMargins left="0.7" right="0.7" top="0.75" bottom="0.75" header="0.3" footer="0.3"/>
  <pageSetup scale="9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62"/>
  <sheetViews>
    <sheetView topLeftCell="A40" workbookViewId="0"/>
  </sheetViews>
  <sheetFormatPr defaultColWidth="9.21875" defaultRowHeight="10.199999999999999" x14ac:dyDescent="0.2"/>
  <cols>
    <col min="1" max="1" width="14.21875" style="48" bestFit="1" customWidth="1"/>
    <col min="2" max="8" width="11.21875" style="45" customWidth="1"/>
    <col min="9" max="16384" width="9.21875" style="45"/>
  </cols>
  <sheetData>
    <row r="1" spans="1:8" ht="15.6" x14ac:dyDescent="0.3">
      <c r="A1" s="85" t="s">
        <v>107</v>
      </c>
      <c r="B1" s="85"/>
      <c r="C1" s="85"/>
      <c r="D1" s="85"/>
      <c r="E1" s="85"/>
      <c r="F1" s="85"/>
      <c r="G1" s="85"/>
      <c r="H1" s="85"/>
    </row>
    <row r="2" spans="1:8" ht="13.2" x14ac:dyDescent="0.25">
      <c r="A2" s="87" t="str">
        <f>'Oct23'!$A$2</f>
        <v>Temporary Assistance for Needy Families (TANF)</v>
      </c>
      <c r="B2" s="87"/>
      <c r="C2" s="87"/>
      <c r="D2" s="87"/>
      <c r="E2" s="87"/>
      <c r="F2" s="87"/>
      <c r="G2" s="87"/>
      <c r="H2" s="87"/>
    </row>
    <row r="3" spans="1:8" s="46" customFormat="1" ht="30.6" x14ac:dyDescent="0.2">
      <c r="A3" s="25" t="s">
        <v>1</v>
      </c>
      <c r="B3" s="26" t="s">
        <v>66</v>
      </c>
      <c r="C3" s="26" t="s">
        <v>67</v>
      </c>
      <c r="D3" s="26" t="s">
        <v>68</v>
      </c>
      <c r="E3" s="26" t="s">
        <v>69</v>
      </c>
      <c r="F3" s="26" t="s">
        <v>70</v>
      </c>
      <c r="G3" s="26" t="s">
        <v>71</v>
      </c>
      <c r="H3" s="26" t="s">
        <v>72</v>
      </c>
    </row>
    <row r="4" spans="1:8" s="47" customFormat="1" x14ac:dyDescent="0.2">
      <c r="A4" s="7" t="s">
        <v>2</v>
      </c>
      <c r="B4" s="8">
        <f>TFam!M5</f>
        <v>861564</v>
      </c>
      <c r="C4" s="8">
        <f>'Two-par'!M5</f>
        <v>58459</v>
      </c>
      <c r="D4" s="8">
        <f>'One-par'!M5</f>
        <v>462093</v>
      </c>
      <c r="E4" s="8">
        <f>'Zero-par'!M5</f>
        <v>341012</v>
      </c>
      <c r="F4" s="8">
        <f>TRec!M5</f>
        <v>2118873</v>
      </c>
      <c r="G4" s="8">
        <f>Adults!M5</f>
        <v>585207</v>
      </c>
      <c r="H4" s="8">
        <f>Children!M5</f>
        <v>1533666</v>
      </c>
    </row>
    <row r="5" spans="1:8" s="6" customFormat="1" x14ac:dyDescent="0.2">
      <c r="A5" s="10" t="s">
        <v>3</v>
      </c>
      <c r="B5" s="30">
        <f>TFam!M6</f>
        <v>6031</v>
      </c>
      <c r="C5" s="30">
        <f>'Two-par'!M6</f>
        <v>44</v>
      </c>
      <c r="D5" s="30">
        <f>'One-par'!M6</f>
        <v>2722</v>
      </c>
      <c r="E5" s="30">
        <f>'Zero-par'!M6</f>
        <v>3265</v>
      </c>
      <c r="F5" s="30">
        <f>TRec!M6</f>
        <v>14539</v>
      </c>
      <c r="G5" s="30">
        <f>Adults!M6</f>
        <v>2870</v>
      </c>
      <c r="H5" s="30">
        <f>Children!M6</f>
        <v>11669</v>
      </c>
    </row>
    <row r="6" spans="1:8" s="13" customFormat="1" x14ac:dyDescent="0.2">
      <c r="A6" s="10" t="s">
        <v>4</v>
      </c>
      <c r="B6" s="32">
        <f>TFam!M7</f>
        <v>1157</v>
      </c>
      <c r="C6" s="32">
        <f>'Two-par'!M7</f>
        <v>156</v>
      </c>
      <c r="D6" s="32">
        <f>'One-par'!M7</f>
        <v>647</v>
      </c>
      <c r="E6" s="32">
        <f>'Zero-par'!M7</f>
        <v>354</v>
      </c>
      <c r="F6" s="32">
        <f>TRec!M7</f>
        <v>3204</v>
      </c>
      <c r="G6" s="32">
        <f>Adults!M7</f>
        <v>996</v>
      </c>
      <c r="H6" s="32">
        <f>Children!M7</f>
        <v>2208</v>
      </c>
    </row>
    <row r="7" spans="1:8" s="13" customFormat="1" x14ac:dyDescent="0.2">
      <c r="A7" s="10" t="s">
        <v>5</v>
      </c>
      <c r="B7" s="32">
        <f>TFam!M8</f>
        <v>4430</v>
      </c>
      <c r="C7" s="32">
        <f>'Two-par'!M8</f>
        <v>293</v>
      </c>
      <c r="D7" s="32">
        <f>'One-par'!M8</f>
        <v>1170</v>
      </c>
      <c r="E7" s="32">
        <f>'Zero-par'!M8</f>
        <v>2967</v>
      </c>
      <c r="F7" s="32">
        <f>TRec!M8</f>
        <v>9307</v>
      </c>
      <c r="G7" s="32">
        <f>Adults!M8</f>
        <v>1785</v>
      </c>
      <c r="H7" s="32">
        <f>Children!M8</f>
        <v>7522</v>
      </c>
    </row>
    <row r="8" spans="1:8" s="13" customFormat="1" x14ac:dyDescent="0.2">
      <c r="A8" s="10" t="s">
        <v>6</v>
      </c>
      <c r="B8" s="32">
        <f>TFam!M9</f>
        <v>719</v>
      </c>
      <c r="C8" s="32">
        <f>'Two-par'!M9</f>
        <v>27</v>
      </c>
      <c r="D8" s="32">
        <f>'One-par'!M9</f>
        <v>391</v>
      </c>
      <c r="E8" s="32">
        <f>'Zero-par'!M9</f>
        <v>301</v>
      </c>
      <c r="F8" s="32">
        <f>TRec!M9</f>
        <v>1748</v>
      </c>
      <c r="G8" s="32">
        <f>Adults!M9</f>
        <v>445</v>
      </c>
      <c r="H8" s="32">
        <f>Children!M9</f>
        <v>1303</v>
      </c>
    </row>
    <row r="9" spans="1:8" s="13" customFormat="1" x14ac:dyDescent="0.2">
      <c r="A9" s="10" t="s">
        <v>7</v>
      </c>
      <c r="B9" s="30">
        <f>TFam!M10</f>
        <v>299797</v>
      </c>
      <c r="C9" s="30">
        <f>'Two-par'!M10</f>
        <v>38894</v>
      </c>
      <c r="D9" s="30">
        <f>'One-par'!M10</f>
        <v>161793</v>
      </c>
      <c r="E9" s="30">
        <f>'Zero-par'!M10</f>
        <v>99110</v>
      </c>
      <c r="F9" s="30">
        <f>TRec!M10</f>
        <v>790675</v>
      </c>
      <c r="G9" s="30">
        <f>Adults!M10</f>
        <v>217063</v>
      </c>
      <c r="H9" s="30">
        <f>Children!M10</f>
        <v>573612</v>
      </c>
    </row>
    <row r="10" spans="1:8" s="13" customFormat="1" x14ac:dyDescent="0.2">
      <c r="A10" s="10" t="s">
        <v>8</v>
      </c>
      <c r="B10" s="32">
        <f>TFam!M11</f>
        <v>13464</v>
      </c>
      <c r="C10" s="32">
        <f>'Two-par'!M11</f>
        <v>0</v>
      </c>
      <c r="D10" s="32">
        <f>'One-par'!M11</f>
        <v>9143</v>
      </c>
      <c r="E10" s="32">
        <f>'Zero-par'!M11</f>
        <v>4321</v>
      </c>
      <c r="F10" s="32">
        <f>TRec!M11</f>
        <v>33199</v>
      </c>
      <c r="G10" s="32">
        <f>Adults!M11</f>
        <v>9406</v>
      </c>
      <c r="H10" s="32">
        <f>Children!M11</f>
        <v>23793</v>
      </c>
    </row>
    <row r="11" spans="1:8" s="13" customFormat="1" x14ac:dyDescent="0.2">
      <c r="A11" s="10" t="s">
        <v>9</v>
      </c>
      <c r="B11" s="30">
        <f>TFam!M12</f>
        <v>5515</v>
      </c>
      <c r="C11" s="30">
        <f>'Two-par'!M12</f>
        <v>0</v>
      </c>
      <c r="D11" s="30">
        <f>'One-par'!M12</f>
        <v>2461</v>
      </c>
      <c r="E11" s="30">
        <f>'Zero-par'!M12</f>
        <v>3054</v>
      </c>
      <c r="F11" s="30">
        <f>TRec!M12</f>
        <v>13303</v>
      </c>
      <c r="G11" s="30">
        <f>Adults!M12</f>
        <v>4001</v>
      </c>
      <c r="H11" s="30">
        <f>Children!M12</f>
        <v>9302</v>
      </c>
    </row>
    <row r="12" spans="1:8" s="13" customFormat="1" x14ac:dyDescent="0.2">
      <c r="A12" s="10" t="s">
        <v>10</v>
      </c>
      <c r="B12" s="30">
        <f>TFam!M13</f>
        <v>2541</v>
      </c>
      <c r="C12" s="30">
        <f>'Two-par'!M13</f>
        <v>5</v>
      </c>
      <c r="D12" s="30">
        <f>'One-par'!M13</f>
        <v>604</v>
      </c>
      <c r="E12" s="30">
        <f>'Zero-par'!M13</f>
        <v>1932</v>
      </c>
      <c r="F12" s="30">
        <f>TRec!M13</f>
        <v>7099</v>
      </c>
      <c r="G12" s="30">
        <f>Adults!M13</f>
        <v>2906</v>
      </c>
      <c r="H12" s="30">
        <f>Children!M13</f>
        <v>4193</v>
      </c>
    </row>
    <row r="13" spans="1:8" s="13" customFormat="1" x14ac:dyDescent="0.2">
      <c r="A13" s="10" t="s">
        <v>11</v>
      </c>
      <c r="B13" s="30">
        <f>TFam!M14</f>
        <v>5274</v>
      </c>
      <c r="C13" s="30">
        <f>'Two-par'!M14</f>
        <v>0</v>
      </c>
      <c r="D13" s="30">
        <f>'One-par'!M14</f>
        <v>3824</v>
      </c>
      <c r="E13" s="30">
        <f>'Zero-par'!M14</f>
        <v>1450</v>
      </c>
      <c r="F13" s="30">
        <f>TRec!M14</f>
        <v>16701</v>
      </c>
      <c r="G13" s="30">
        <f>Adults!M14</f>
        <v>3824</v>
      </c>
      <c r="H13" s="30">
        <f>Children!M14</f>
        <v>12877</v>
      </c>
    </row>
    <row r="14" spans="1:8" s="13" customFormat="1" x14ac:dyDescent="0.2">
      <c r="A14" s="10" t="s">
        <v>12</v>
      </c>
      <c r="B14" s="30">
        <f>TFam!M15</f>
        <v>27469</v>
      </c>
      <c r="C14" s="30">
        <f>'Two-par'!M15</f>
        <v>3520</v>
      </c>
      <c r="D14" s="30">
        <f>'One-par'!M15</f>
        <v>7598</v>
      </c>
      <c r="E14" s="30">
        <f>'Zero-par'!M15</f>
        <v>16351</v>
      </c>
      <c r="F14" s="30">
        <f>TRec!M15</f>
        <v>53736</v>
      </c>
      <c r="G14" s="30">
        <f>Adults!M15</f>
        <v>17442</v>
      </c>
      <c r="H14" s="30">
        <f>Children!M15</f>
        <v>36294</v>
      </c>
    </row>
    <row r="15" spans="1:8" s="13" customFormat="1" x14ac:dyDescent="0.2">
      <c r="A15" s="10" t="s">
        <v>13</v>
      </c>
      <c r="B15" s="30">
        <f>TFam!M16</f>
        <v>3944</v>
      </c>
      <c r="C15" s="30">
        <f>'Two-par'!M16</f>
        <v>0</v>
      </c>
      <c r="D15" s="30">
        <f>'One-par'!M16</f>
        <v>105</v>
      </c>
      <c r="E15" s="30">
        <f>'Zero-par'!M16</f>
        <v>3839</v>
      </c>
      <c r="F15" s="30">
        <f>TRec!M16</f>
        <v>6830</v>
      </c>
      <c r="G15" s="30">
        <f>Adults!M16</f>
        <v>159</v>
      </c>
      <c r="H15" s="30">
        <f>Children!M16</f>
        <v>6671</v>
      </c>
    </row>
    <row r="16" spans="1:8" s="13" customFormat="1" x14ac:dyDescent="0.2">
      <c r="A16" s="10" t="s">
        <v>14</v>
      </c>
      <c r="B16" s="32">
        <f>TFam!M17</f>
        <v>204</v>
      </c>
      <c r="C16" s="32">
        <f>'Two-par'!M17</f>
        <v>13</v>
      </c>
      <c r="D16" s="32">
        <f>'One-par'!M17</f>
        <v>55</v>
      </c>
      <c r="E16" s="32">
        <f>'Zero-par'!M17</f>
        <v>136</v>
      </c>
      <c r="F16" s="32">
        <f>TRec!M17</f>
        <v>473</v>
      </c>
      <c r="G16" s="32">
        <f>Adults!M17</f>
        <v>83</v>
      </c>
      <c r="H16" s="32">
        <f>Children!M17</f>
        <v>390</v>
      </c>
    </row>
    <row r="17" spans="1:8" s="13" customFormat="1" x14ac:dyDescent="0.2">
      <c r="A17" s="10" t="s">
        <v>15</v>
      </c>
      <c r="B17" s="30">
        <f>TFam!M18</f>
        <v>2479</v>
      </c>
      <c r="C17" s="30">
        <f>'Two-par'!M18</f>
        <v>339</v>
      </c>
      <c r="D17" s="30">
        <f>'One-par'!M18</f>
        <v>1562</v>
      </c>
      <c r="E17" s="30">
        <f>'Zero-par'!M18</f>
        <v>578</v>
      </c>
      <c r="F17" s="30">
        <f>TRec!M18</f>
        <v>6780</v>
      </c>
      <c r="G17" s="30">
        <f>Adults!M18</f>
        <v>1986</v>
      </c>
      <c r="H17" s="30">
        <f>Children!M18</f>
        <v>4794</v>
      </c>
    </row>
    <row r="18" spans="1:8" s="13" customFormat="1" x14ac:dyDescent="0.2">
      <c r="A18" s="10" t="s">
        <v>16</v>
      </c>
      <c r="B18" s="32">
        <f>TFam!M19</f>
        <v>1482</v>
      </c>
      <c r="C18" s="32">
        <f>'Two-par'!M19</f>
        <v>0</v>
      </c>
      <c r="D18" s="32">
        <f>'One-par'!M19</f>
        <v>39</v>
      </c>
      <c r="E18" s="32">
        <f>'Zero-par'!M19</f>
        <v>1443</v>
      </c>
      <c r="F18" s="32">
        <f>TRec!M19</f>
        <v>2070</v>
      </c>
      <c r="G18" s="32">
        <f>Adults!M19</f>
        <v>39</v>
      </c>
      <c r="H18" s="32">
        <f>Children!M19</f>
        <v>2031</v>
      </c>
    </row>
    <row r="19" spans="1:8" s="13" customFormat="1" x14ac:dyDescent="0.2">
      <c r="A19" s="10" t="s">
        <v>17</v>
      </c>
      <c r="B19" s="30">
        <f>TFam!M20</f>
        <v>9840</v>
      </c>
      <c r="C19" s="30">
        <f>'Two-par'!M20</f>
        <v>0</v>
      </c>
      <c r="D19" s="30">
        <f>'One-par'!M20</f>
        <v>2258</v>
      </c>
      <c r="E19" s="30">
        <f>'Zero-par'!M20</f>
        <v>7582</v>
      </c>
      <c r="F19" s="30">
        <f>TRec!M20</f>
        <v>19760</v>
      </c>
      <c r="G19" s="30">
        <f>Adults!M20</f>
        <v>2575</v>
      </c>
      <c r="H19" s="30">
        <f>Children!M20</f>
        <v>17185</v>
      </c>
    </row>
    <row r="20" spans="1:8" s="13" customFormat="1" x14ac:dyDescent="0.2">
      <c r="A20" s="10" t="s">
        <v>18</v>
      </c>
      <c r="B20" s="30">
        <f>TFam!M21</f>
        <v>5597</v>
      </c>
      <c r="C20" s="30">
        <f>'Two-par'!M21</f>
        <v>636</v>
      </c>
      <c r="D20" s="30">
        <f>'One-par'!M21</f>
        <v>2497</v>
      </c>
      <c r="E20" s="30">
        <f>'Zero-par'!M21</f>
        <v>2464</v>
      </c>
      <c r="F20" s="30">
        <f>TRec!M21</f>
        <v>13423</v>
      </c>
      <c r="G20" s="30">
        <f>Adults!M21</f>
        <v>3345</v>
      </c>
      <c r="H20" s="30">
        <f>Children!M21</f>
        <v>10078</v>
      </c>
    </row>
    <row r="21" spans="1:8" s="13" customFormat="1" x14ac:dyDescent="0.2">
      <c r="A21" s="10" t="s">
        <v>19</v>
      </c>
      <c r="B21" s="30">
        <f>TFam!M22</f>
        <v>4202</v>
      </c>
      <c r="C21" s="30">
        <f>'Two-par'!M22</f>
        <v>284</v>
      </c>
      <c r="D21" s="30">
        <f>'One-par'!M22</f>
        <v>2090</v>
      </c>
      <c r="E21" s="30">
        <f>'Zero-par'!M22</f>
        <v>1828</v>
      </c>
      <c r="F21" s="30">
        <f>TRec!M22</f>
        <v>10741</v>
      </c>
      <c r="G21" s="30">
        <f>Adults!M22</f>
        <v>2688</v>
      </c>
      <c r="H21" s="30">
        <f>Children!M22</f>
        <v>8053</v>
      </c>
    </row>
    <row r="22" spans="1:8" s="13" customFormat="1" x14ac:dyDescent="0.2">
      <c r="A22" s="10" t="s">
        <v>20</v>
      </c>
      <c r="B22" s="32">
        <f>TFam!M23</f>
        <v>2902</v>
      </c>
      <c r="C22" s="32">
        <f>'Two-par'!M23</f>
        <v>242</v>
      </c>
      <c r="D22" s="32">
        <f>'One-par'!M23</f>
        <v>1427</v>
      </c>
      <c r="E22" s="32">
        <f>'Zero-par'!M23</f>
        <v>1233</v>
      </c>
      <c r="F22" s="32">
        <f>TRec!M23</f>
        <v>2902</v>
      </c>
      <c r="G22" s="32">
        <f>Adults!M23</f>
        <v>1517</v>
      </c>
      <c r="H22" s="32">
        <f>Children!M23</f>
        <v>1385</v>
      </c>
    </row>
    <row r="23" spans="1:8" s="13" customFormat="1" x14ac:dyDescent="0.2">
      <c r="A23" s="10" t="s">
        <v>21</v>
      </c>
      <c r="B23" s="32">
        <f>TFam!M24</f>
        <v>15902</v>
      </c>
      <c r="C23" s="32">
        <f>'Two-par'!M24</f>
        <v>1157</v>
      </c>
      <c r="D23" s="32">
        <f>'One-par'!M24</f>
        <v>6457</v>
      </c>
      <c r="E23" s="32">
        <f>'Zero-par'!M24</f>
        <v>8288</v>
      </c>
      <c r="F23" s="32">
        <f>TRec!M24</f>
        <v>38717</v>
      </c>
      <c r="G23" s="32">
        <f>Adults!M24</f>
        <v>8993</v>
      </c>
      <c r="H23" s="32">
        <f>Children!M24</f>
        <v>29724</v>
      </c>
    </row>
    <row r="24" spans="1:8" s="13" customFormat="1" x14ac:dyDescent="0.2">
      <c r="A24" s="10" t="s">
        <v>22</v>
      </c>
      <c r="B24" s="32">
        <f>TFam!M25</f>
        <v>4876</v>
      </c>
      <c r="C24" s="32">
        <f>'Two-par'!M25</f>
        <v>0</v>
      </c>
      <c r="D24" s="32">
        <f>'One-par'!M25</f>
        <v>2834</v>
      </c>
      <c r="E24" s="32">
        <f>'Zero-par'!M25</f>
        <v>2042</v>
      </c>
      <c r="F24" s="32">
        <f>TRec!M25</f>
        <v>12753</v>
      </c>
      <c r="G24" s="32">
        <f>Adults!M25</f>
        <v>2498</v>
      </c>
      <c r="H24" s="32">
        <f>Children!M25</f>
        <v>10255</v>
      </c>
    </row>
    <row r="25" spans="1:8" s="13" customFormat="1" x14ac:dyDescent="0.2">
      <c r="A25" s="10" t="s">
        <v>23</v>
      </c>
      <c r="B25" s="30">
        <f>TFam!M26</f>
        <v>3852</v>
      </c>
      <c r="C25" s="30">
        <f>'Two-par'!M26</f>
        <v>528</v>
      </c>
      <c r="D25" s="30">
        <f>'One-par'!M26</f>
        <v>2307</v>
      </c>
      <c r="E25" s="30">
        <f>'Zero-par'!M26</f>
        <v>1017</v>
      </c>
      <c r="F25" s="30">
        <f>TRec!M26</f>
        <v>10063</v>
      </c>
      <c r="G25" s="30">
        <f>Adults!M26</f>
        <v>3254</v>
      </c>
      <c r="H25" s="30">
        <f>Children!M26</f>
        <v>6809</v>
      </c>
    </row>
    <row r="26" spans="1:8" s="13" customFormat="1" x14ac:dyDescent="0.2">
      <c r="A26" s="10" t="s">
        <v>24</v>
      </c>
      <c r="B26" s="30">
        <f>TFam!M27</f>
        <v>15103</v>
      </c>
      <c r="C26" s="30">
        <f>'Two-par'!M27</f>
        <v>0</v>
      </c>
      <c r="D26" s="30">
        <f>'One-par'!M27</f>
        <v>10993</v>
      </c>
      <c r="E26" s="30">
        <f>'Zero-par'!M27</f>
        <v>4110</v>
      </c>
      <c r="F26" s="30">
        <f>TRec!M27</f>
        <v>41317</v>
      </c>
      <c r="G26" s="30">
        <f>Adults!M27</f>
        <v>11819</v>
      </c>
      <c r="H26" s="30">
        <f>Children!M27</f>
        <v>29498</v>
      </c>
    </row>
    <row r="27" spans="1:8" s="13" customFormat="1" x14ac:dyDescent="0.2">
      <c r="A27" s="10" t="s">
        <v>25</v>
      </c>
      <c r="B27" s="30">
        <f>TFam!M28</f>
        <v>38311</v>
      </c>
      <c r="C27" s="30">
        <f>'Two-par'!M28</f>
        <v>2390</v>
      </c>
      <c r="D27" s="30">
        <f>'One-par'!M28</f>
        <v>24012</v>
      </c>
      <c r="E27" s="30">
        <f>'Zero-par'!M28</f>
        <v>11909</v>
      </c>
      <c r="F27" s="30">
        <f>TRec!M28</f>
        <v>90718</v>
      </c>
      <c r="G27" s="30">
        <f>Adults!M28</f>
        <v>27784</v>
      </c>
      <c r="H27" s="30">
        <f>Children!M28</f>
        <v>62934</v>
      </c>
    </row>
    <row r="28" spans="1:8" s="13" customFormat="1" x14ac:dyDescent="0.2">
      <c r="A28" s="10" t="s">
        <v>26</v>
      </c>
      <c r="B28" s="32">
        <f>TFam!M29</f>
        <v>8221</v>
      </c>
      <c r="C28" s="32">
        <f>'Two-par'!M29</f>
        <v>0</v>
      </c>
      <c r="D28" s="32">
        <f>'One-par'!M29</f>
        <v>4130</v>
      </c>
      <c r="E28" s="32">
        <f>'Zero-par'!M29</f>
        <v>4091</v>
      </c>
      <c r="F28" s="32">
        <f>TRec!M29</f>
        <v>22848</v>
      </c>
      <c r="G28" s="32">
        <f>Adults!M29</f>
        <v>5036</v>
      </c>
      <c r="H28" s="32">
        <f>Children!M29</f>
        <v>17812</v>
      </c>
    </row>
    <row r="29" spans="1:8" s="13" customFormat="1" x14ac:dyDescent="0.2">
      <c r="A29" s="10" t="s">
        <v>27</v>
      </c>
      <c r="B29" s="30">
        <f>TFam!M30</f>
        <v>13231</v>
      </c>
      <c r="C29" s="30">
        <f>'Two-par'!M30</f>
        <v>0</v>
      </c>
      <c r="D29" s="30">
        <f>'One-par'!M30</f>
        <v>7833</v>
      </c>
      <c r="E29" s="30">
        <f>'Zero-par'!M30</f>
        <v>5398</v>
      </c>
      <c r="F29" s="30">
        <f>TRec!M30</f>
        <v>30759</v>
      </c>
      <c r="G29" s="30">
        <f>Adults!M30</f>
        <v>7791</v>
      </c>
      <c r="H29" s="30">
        <f>Children!M30</f>
        <v>22968</v>
      </c>
    </row>
    <row r="30" spans="1:8" s="13" customFormat="1" x14ac:dyDescent="0.2">
      <c r="A30" s="10" t="s">
        <v>28</v>
      </c>
      <c r="B30" s="32">
        <f>TFam!M31</f>
        <v>1398</v>
      </c>
      <c r="C30" s="32">
        <f>'Two-par'!M31</f>
        <v>0</v>
      </c>
      <c r="D30" s="32">
        <f>'One-par'!M31</f>
        <v>303</v>
      </c>
      <c r="E30" s="32">
        <f>'Zero-par'!M31</f>
        <v>1095</v>
      </c>
      <c r="F30" s="32">
        <f>TRec!M31</f>
        <v>2519</v>
      </c>
      <c r="G30" s="32">
        <f>Adults!M31</f>
        <v>310</v>
      </c>
      <c r="H30" s="32">
        <f>Children!M31</f>
        <v>2209</v>
      </c>
    </row>
    <row r="31" spans="1:8" s="13" customFormat="1" x14ac:dyDescent="0.2">
      <c r="A31" s="10" t="s">
        <v>29</v>
      </c>
      <c r="B31" s="30">
        <f>TFam!M32</f>
        <v>5021</v>
      </c>
      <c r="C31" s="30">
        <f>'Two-par'!M32</f>
        <v>0</v>
      </c>
      <c r="D31" s="30">
        <f>'One-par'!M32</f>
        <v>2958</v>
      </c>
      <c r="E31" s="30">
        <f>'Zero-par'!M32</f>
        <v>2063</v>
      </c>
      <c r="F31" s="30">
        <f>TRec!M32</f>
        <v>11879</v>
      </c>
      <c r="G31" s="30">
        <f>Adults!M32</f>
        <v>2658</v>
      </c>
      <c r="H31" s="30">
        <f>Children!M32</f>
        <v>9221</v>
      </c>
    </row>
    <row r="32" spans="1:8" s="13" customFormat="1" x14ac:dyDescent="0.2">
      <c r="A32" s="10" t="s">
        <v>30</v>
      </c>
      <c r="B32" s="32">
        <f>TFam!M33</f>
        <v>1537</v>
      </c>
      <c r="C32" s="32">
        <f>'Two-par'!M33</f>
        <v>89</v>
      </c>
      <c r="D32" s="32">
        <f>'One-par'!M33</f>
        <v>600</v>
      </c>
      <c r="E32" s="32">
        <f>'Zero-par'!M33</f>
        <v>848</v>
      </c>
      <c r="F32" s="32">
        <f>TRec!M33</f>
        <v>3456</v>
      </c>
      <c r="G32" s="32">
        <f>Adults!M33</f>
        <v>630</v>
      </c>
      <c r="H32" s="32">
        <f>Children!M33</f>
        <v>2826</v>
      </c>
    </row>
    <row r="33" spans="1:8" s="13" customFormat="1" x14ac:dyDescent="0.2">
      <c r="A33" s="10" t="s">
        <v>31</v>
      </c>
      <c r="B33" s="30">
        <f>TFam!M34</f>
        <v>2500</v>
      </c>
      <c r="C33" s="30">
        <f>'Two-par'!M34</f>
        <v>0</v>
      </c>
      <c r="D33" s="30">
        <f>'One-par'!M34</f>
        <v>762</v>
      </c>
      <c r="E33" s="30">
        <f>'Zero-par'!M34</f>
        <v>1738</v>
      </c>
      <c r="F33" s="30">
        <f>TRec!M34</f>
        <v>5648</v>
      </c>
      <c r="G33" s="30">
        <f>Adults!M34</f>
        <v>752</v>
      </c>
      <c r="H33" s="30">
        <f>Children!M34</f>
        <v>4896</v>
      </c>
    </row>
    <row r="34" spans="1:8" s="13" customFormat="1" x14ac:dyDescent="0.2">
      <c r="A34" s="10" t="s">
        <v>32</v>
      </c>
      <c r="B34" s="30">
        <f>TFam!M35</f>
        <v>5495</v>
      </c>
      <c r="C34" s="30">
        <f>'Two-par'!M35</f>
        <v>537</v>
      </c>
      <c r="D34" s="30">
        <f>'One-par'!M35</f>
        <v>2469</v>
      </c>
      <c r="E34" s="30">
        <f>'Zero-par'!M35</f>
        <v>2489</v>
      </c>
      <c r="F34" s="30">
        <f>TRec!M35</f>
        <v>14198</v>
      </c>
      <c r="G34" s="30">
        <f>Adults!M35</f>
        <v>3769</v>
      </c>
      <c r="H34" s="30">
        <f>Children!M35</f>
        <v>10429</v>
      </c>
    </row>
    <row r="35" spans="1:8" s="13" customFormat="1" x14ac:dyDescent="0.2">
      <c r="A35" s="10" t="s">
        <v>33</v>
      </c>
      <c r="B35" s="30">
        <f>TFam!M36</f>
        <v>2506</v>
      </c>
      <c r="C35" s="30">
        <f>'Two-par'!M36</f>
        <v>0</v>
      </c>
      <c r="D35" s="30">
        <f>'One-par'!M36</f>
        <v>1049</v>
      </c>
      <c r="E35" s="30">
        <f>'Zero-par'!M36</f>
        <v>1457</v>
      </c>
      <c r="F35" s="30">
        <f>TRec!M36</f>
        <v>5108</v>
      </c>
      <c r="G35" s="30">
        <f>Adults!M36</f>
        <v>1099</v>
      </c>
      <c r="H35" s="30">
        <f>Children!M36</f>
        <v>4009</v>
      </c>
    </row>
    <row r="36" spans="1:8" s="13" customFormat="1" x14ac:dyDescent="0.2">
      <c r="A36" s="10" t="s">
        <v>34</v>
      </c>
      <c r="B36" s="30">
        <f>TFam!M37</f>
        <v>9503</v>
      </c>
      <c r="C36" s="30">
        <f>'Two-par'!M37</f>
        <v>54</v>
      </c>
      <c r="D36" s="30">
        <f>'One-par'!M37</f>
        <v>7335</v>
      </c>
      <c r="E36" s="30">
        <f>'Zero-par'!M37</f>
        <v>2114</v>
      </c>
      <c r="F36" s="30">
        <f>TRec!M37</f>
        <v>22348</v>
      </c>
      <c r="G36" s="30">
        <f>Adults!M37</f>
        <v>6255</v>
      </c>
      <c r="H36" s="30">
        <f>Children!M37</f>
        <v>16093</v>
      </c>
    </row>
    <row r="37" spans="1:8" s="13" customFormat="1" x14ac:dyDescent="0.2">
      <c r="A37" s="10" t="s">
        <v>35</v>
      </c>
      <c r="B37" s="32">
        <f>TFam!M38</f>
        <v>7712</v>
      </c>
      <c r="C37" s="32">
        <f>'Two-par'!M38</f>
        <v>480</v>
      </c>
      <c r="D37" s="32">
        <f>'One-par'!M38</f>
        <v>3952</v>
      </c>
      <c r="E37" s="32">
        <f>'Zero-par'!M38</f>
        <v>3280</v>
      </c>
      <c r="F37" s="32">
        <f>TRec!M38</f>
        <v>19064</v>
      </c>
      <c r="G37" s="32">
        <f>Adults!M38</f>
        <v>4912</v>
      </c>
      <c r="H37" s="32">
        <f>Children!M38</f>
        <v>14152</v>
      </c>
    </row>
    <row r="38" spans="1:8" s="13" customFormat="1" x14ac:dyDescent="0.2">
      <c r="A38" s="10" t="s">
        <v>36</v>
      </c>
      <c r="B38" s="30">
        <f>TFam!M39</f>
        <v>133904</v>
      </c>
      <c r="C38" s="30">
        <f>'Two-par'!M39</f>
        <v>1867</v>
      </c>
      <c r="D38" s="30">
        <f>'One-par'!M39</f>
        <v>100106</v>
      </c>
      <c r="E38" s="30">
        <f>'Zero-par'!M39</f>
        <v>31931</v>
      </c>
      <c r="F38" s="30">
        <f>TRec!M39</f>
        <v>347033</v>
      </c>
      <c r="G38" s="30">
        <f>Adults!M39</f>
        <v>125434</v>
      </c>
      <c r="H38" s="30">
        <f>Children!M39</f>
        <v>221599</v>
      </c>
    </row>
    <row r="39" spans="1:8" s="13" customFormat="1" x14ac:dyDescent="0.2">
      <c r="A39" s="10" t="s">
        <v>37</v>
      </c>
      <c r="B39" s="32">
        <f>TFam!M40</f>
        <v>6672</v>
      </c>
      <c r="C39" s="32">
        <f>'Two-par'!M40</f>
        <v>60</v>
      </c>
      <c r="D39" s="32">
        <f>'One-par'!M40</f>
        <v>939</v>
      </c>
      <c r="E39" s="32">
        <f>'Zero-par'!M40</f>
        <v>5673</v>
      </c>
      <c r="F39" s="32">
        <f>TRec!M40</f>
        <v>11304</v>
      </c>
      <c r="G39" s="32">
        <f>Adults!M40</f>
        <v>1101</v>
      </c>
      <c r="H39" s="32">
        <f>Children!M40</f>
        <v>10203</v>
      </c>
    </row>
    <row r="40" spans="1:8" s="13" customFormat="1" x14ac:dyDescent="0.2">
      <c r="A40" s="10" t="s">
        <v>38</v>
      </c>
      <c r="B40" s="32">
        <f>TFam!M41</f>
        <v>683</v>
      </c>
      <c r="C40" s="32">
        <f>'Two-par'!M41</f>
        <v>0</v>
      </c>
      <c r="D40" s="32">
        <f>'One-par'!M41</f>
        <v>394</v>
      </c>
      <c r="E40" s="32">
        <f>'Zero-par'!M41</f>
        <v>289</v>
      </c>
      <c r="F40" s="32">
        <f>TRec!M41</f>
        <v>1746</v>
      </c>
      <c r="G40" s="32">
        <f>Adults!M41</f>
        <v>336</v>
      </c>
      <c r="H40" s="32">
        <f>Children!M41</f>
        <v>1410</v>
      </c>
    </row>
    <row r="41" spans="1:8" s="13" customFormat="1" x14ac:dyDescent="0.2">
      <c r="A41" s="10" t="s">
        <v>39</v>
      </c>
      <c r="B41" s="32">
        <f>TFam!M42</f>
        <v>38622</v>
      </c>
      <c r="C41" s="32">
        <f>'Two-par'!M42</f>
        <v>605</v>
      </c>
      <c r="D41" s="32">
        <f>'One-par'!M42</f>
        <v>5246</v>
      </c>
      <c r="E41" s="32">
        <f>'Zero-par'!M42</f>
        <v>32771</v>
      </c>
      <c r="F41" s="32">
        <f>TRec!M42</f>
        <v>69168</v>
      </c>
      <c r="G41" s="32">
        <f>Adults!M42</f>
        <v>6985</v>
      </c>
      <c r="H41" s="32">
        <f>Children!M42</f>
        <v>62183</v>
      </c>
    </row>
    <row r="42" spans="1:8" s="13" customFormat="1" x14ac:dyDescent="0.2">
      <c r="A42" s="10" t="s">
        <v>40</v>
      </c>
      <c r="B42" s="32">
        <f>TFam!M43</f>
        <v>2982</v>
      </c>
      <c r="C42" s="32">
        <f>'Two-par'!M43</f>
        <v>0</v>
      </c>
      <c r="D42" s="32">
        <f>'One-par'!M43</f>
        <v>837</v>
      </c>
      <c r="E42" s="32">
        <f>'Zero-par'!M43</f>
        <v>2145</v>
      </c>
      <c r="F42" s="32">
        <f>TRec!M43</f>
        <v>6606</v>
      </c>
      <c r="G42" s="32">
        <f>Adults!M43</f>
        <v>837</v>
      </c>
      <c r="H42" s="32">
        <f>Children!M43</f>
        <v>5769</v>
      </c>
    </row>
    <row r="43" spans="1:8" s="13" customFormat="1" x14ac:dyDescent="0.2">
      <c r="A43" s="10" t="s">
        <v>41</v>
      </c>
      <c r="B43" s="32">
        <f>TFam!M44</f>
        <v>18450</v>
      </c>
      <c r="C43" s="32">
        <f>'Two-par'!M44</f>
        <v>0</v>
      </c>
      <c r="D43" s="32">
        <f>'One-par'!M44</f>
        <v>12399</v>
      </c>
      <c r="E43" s="32">
        <f>'Zero-par'!M44</f>
        <v>6051</v>
      </c>
      <c r="F43" s="32">
        <f>TRec!M44</f>
        <v>42363</v>
      </c>
      <c r="G43" s="32">
        <f>Adults!M44</f>
        <v>12567</v>
      </c>
      <c r="H43" s="32">
        <f>Children!M44</f>
        <v>29796</v>
      </c>
    </row>
    <row r="44" spans="1:8" s="13" customFormat="1" x14ac:dyDescent="0.2">
      <c r="A44" s="10" t="s">
        <v>42</v>
      </c>
      <c r="B44" s="32">
        <f>TFam!M45</f>
        <v>22546</v>
      </c>
      <c r="C44" s="32">
        <f>'Two-par'!M45</f>
        <v>364</v>
      </c>
      <c r="D44" s="32">
        <f>'One-par'!M45</f>
        <v>14112</v>
      </c>
      <c r="E44" s="32">
        <f>'Zero-par'!M45</f>
        <v>8070</v>
      </c>
      <c r="F44" s="32">
        <f>TRec!M45</f>
        <v>55883</v>
      </c>
      <c r="G44" s="32">
        <f>Adults!M45</f>
        <v>13650</v>
      </c>
      <c r="H44" s="32">
        <f>Children!M45</f>
        <v>42233</v>
      </c>
    </row>
    <row r="45" spans="1:8" s="13" customFormat="1" x14ac:dyDescent="0.2">
      <c r="A45" s="10" t="s">
        <v>43</v>
      </c>
      <c r="B45" s="32">
        <f>TFam!M46</f>
        <v>2537</v>
      </c>
      <c r="C45" s="32">
        <f>'Two-par'!M46</f>
        <v>115</v>
      </c>
      <c r="D45" s="32">
        <f>'One-par'!M46</f>
        <v>2264</v>
      </c>
      <c r="E45" s="32">
        <f>'Zero-par'!M46</f>
        <v>158</v>
      </c>
      <c r="F45" s="32">
        <f>TRec!M46</f>
        <v>7108</v>
      </c>
      <c r="G45" s="32">
        <f>Adults!M46</f>
        <v>2636</v>
      </c>
      <c r="H45" s="32">
        <f>Children!M46</f>
        <v>4472</v>
      </c>
    </row>
    <row r="46" spans="1:8" s="13" customFormat="1" x14ac:dyDescent="0.2">
      <c r="A46" s="10" t="s">
        <v>44</v>
      </c>
      <c r="B46" s="30">
        <f>TFam!M47</f>
        <v>3685</v>
      </c>
      <c r="C46" s="30">
        <f>'Two-par'!M47</f>
        <v>271</v>
      </c>
      <c r="D46" s="30">
        <f>'One-par'!M47</f>
        <v>2853</v>
      </c>
      <c r="E46" s="30">
        <f>'Zero-par'!M47</f>
        <v>561</v>
      </c>
      <c r="F46" s="30">
        <f>TRec!M47</f>
        <v>9510</v>
      </c>
      <c r="G46" s="30">
        <f>Adults!M47</f>
        <v>2982</v>
      </c>
      <c r="H46" s="30">
        <f>Children!M47</f>
        <v>6528</v>
      </c>
    </row>
    <row r="47" spans="1:8" s="13" customFormat="1" x14ac:dyDescent="0.2">
      <c r="A47" s="10" t="s">
        <v>45</v>
      </c>
      <c r="B47" s="30">
        <f>TFam!M48</f>
        <v>5684</v>
      </c>
      <c r="C47" s="30">
        <f>'Two-par'!M48</f>
        <v>0</v>
      </c>
      <c r="D47" s="30">
        <f>'One-par'!M48</f>
        <v>2636</v>
      </c>
      <c r="E47" s="30">
        <f>'Zero-par'!M48</f>
        <v>3048</v>
      </c>
      <c r="F47" s="30">
        <f>TRec!M48</f>
        <v>13342</v>
      </c>
      <c r="G47" s="30">
        <f>Adults!M48</f>
        <v>2636</v>
      </c>
      <c r="H47" s="30">
        <f>Children!M48</f>
        <v>10706</v>
      </c>
    </row>
    <row r="48" spans="1:8" s="13" customFormat="1" x14ac:dyDescent="0.2">
      <c r="A48" s="10" t="s">
        <v>46</v>
      </c>
      <c r="B48" s="32">
        <f>TFam!M49</f>
        <v>2518</v>
      </c>
      <c r="C48" s="32">
        <f>'Two-par'!M49</f>
        <v>0</v>
      </c>
      <c r="D48" s="32">
        <f>'One-par'!M49</f>
        <v>452</v>
      </c>
      <c r="E48" s="32">
        <f>'Zero-par'!M49</f>
        <v>2066</v>
      </c>
      <c r="F48" s="32">
        <f>TRec!M49</f>
        <v>5088</v>
      </c>
      <c r="G48" s="32">
        <f>Adults!M49</f>
        <v>452</v>
      </c>
      <c r="H48" s="32">
        <f>Children!M49</f>
        <v>4636</v>
      </c>
    </row>
    <row r="49" spans="1:18" s="13" customFormat="1" x14ac:dyDescent="0.2">
      <c r="A49" s="10" t="s">
        <v>47</v>
      </c>
      <c r="B49" s="30">
        <f>TFam!M50</f>
        <v>13095</v>
      </c>
      <c r="C49" s="30">
        <f>'Two-par'!M50</f>
        <v>333</v>
      </c>
      <c r="D49" s="30">
        <f>'One-par'!M50</f>
        <v>5420</v>
      </c>
      <c r="E49" s="30">
        <f>'Zero-par'!M50</f>
        <v>7342</v>
      </c>
      <c r="F49" s="30">
        <f>TRec!M50</f>
        <v>30023</v>
      </c>
      <c r="G49" s="30">
        <f>Adults!M50</f>
        <v>7011</v>
      </c>
      <c r="H49" s="30">
        <f>Children!M50</f>
        <v>23012</v>
      </c>
    </row>
    <row r="50" spans="1:18" s="13" customFormat="1" x14ac:dyDescent="0.2">
      <c r="A50" s="10" t="s">
        <v>48</v>
      </c>
      <c r="B50" s="30">
        <f>TFam!M51</f>
        <v>10587</v>
      </c>
      <c r="C50" s="30">
        <f>'Two-par'!M51</f>
        <v>0</v>
      </c>
      <c r="D50" s="30">
        <f>'One-par'!M51</f>
        <v>3675</v>
      </c>
      <c r="E50" s="30">
        <f>'Zero-par'!M51</f>
        <v>6912</v>
      </c>
      <c r="F50" s="30">
        <f>TRec!M51</f>
        <v>22241</v>
      </c>
      <c r="G50" s="30">
        <f>Adults!M51</f>
        <v>3675</v>
      </c>
      <c r="H50" s="30">
        <f>Children!M51</f>
        <v>18566</v>
      </c>
    </row>
    <row r="51" spans="1:18" s="13" customFormat="1" x14ac:dyDescent="0.2">
      <c r="A51" s="10" t="s">
        <v>49</v>
      </c>
      <c r="B51" s="30">
        <f>TFam!M52</f>
        <v>1929</v>
      </c>
      <c r="C51" s="30">
        <f>'Two-par'!M52</f>
        <v>0</v>
      </c>
      <c r="D51" s="30">
        <f>'One-par'!M52</f>
        <v>877</v>
      </c>
      <c r="E51" s="30">
        <f>'Zero-par'!M52</f>
        <v>1052</v>
      </c>
      <c r="F51" s="30">
        <f>TRec!M52</f>
        <v>4494</v>
      </c>
      <c r="G51" s="30">
        <f>Adults!M52</f>
        <v>1193</v>
      </c>
      <c r="H51" s="30">
        <f>Children!M52</f>
        <v>3301</v>
      </c>
    </row>
    <row r="52" spans="1:18" s="13" customFormat="1" x14ac:dyDescent="0.2">
      <c r="A52" s="10" t="s">
        <v>50</v>
      </c>
      <c r="B52" s="30">
        <f>TFam!M53</f>
        <v>1642</v>
      </c>
      <c r="C52" s="30">
        <f>'Two-par'!M53</f>
        <v>126</v>
      </c>
      <c r="D52" s="30">
        <f>'One-par'!M53</f>
        <v>592</v>
      </c>
      <c r="E52" s="30">
        <f>'Zero-par'!M53</f>
        <v>924</v>
      </c>
      <c r="F52" s="30">
        <f>TRec!M53</f>
        <v>3469</v>
      </c>
      <c r="G52" s="30">
        <f>Adults!M53</f>
        <v>846</v>
      </c>
      <c r="H52" s="30">
        <f>Children!M53</f>
        <v>2623</v>
      </c>
    </row>
    <row r="53" spans="1:18" s="13" customFormat="1" x14ac:dyDescent="0.2">
      <c r="A53" s="10" t="s">
        <v>51</v>
      </c>
      <c r="B53" s="32">
        <f>TFam!M54</f>
        <v>49</v>
      </c>
      <c r="C53" s="32">
        <f>'Two-par'!M54</f>
        <v>0</v>
      </c>
      <c r="D53" s="32">
        <f>'One-par'!M54</f>
        <v>39</v>
      </c>
      <c r="E53" s="32">
        <f>'Zero-par'!M54</f>
        <v>10</v>
      </c>
      <c r="F53" s="32">
        <f>TRec!M54</f>
        <v>153</v>
      </c>
      <c r="G53" s="32">
        <f>Adults!M54</f>
        <v>49</v>
      </c>
      <c r="H53" s="32">
        <f>Children!M54</f>
        <v>104</v>
      </c>
    </row>
    <row r="54" spans="1:18" s="13" customFormat="1" x14ac:dyDescent="0.2">
      <c r="A54" s="10" t="s">
        <v>52</v>
      </c>
      <c r="B54" s="30">
        <f>TFam!M55</f>
        <v>12822</v>
      </c>
      <c r="C54" s="30">
        <f>'Two-par'!M55</f>
        <v>0</v>
      </c>
      <c r="D54" s="30">
        <f>'One-par'!M55</f>
        <v>6740</v>
      </c>
      <c r="E54" s="30">
        <f>'Zero-par'!M55</f>
        <v>6082</v>
      </c>
      <c r="F54" s="30">
        <f>TRec!M55</f>
        <v>29068</v>
      </c>
      <c r="G54" s="30">
        <f>Adults!M55</f>
        <v>6668</v>
      </c>
      <c r="H54" s="30">
        <f>Children!M55</f>
        <v>22400</v>
      </c>
    </row>
    <row r="55" spans="1:18" s="13" customFormat="1" x14ac:dyDescent="0.2">
      <c r="A55" s="10" t="s">
        <v>53</v>
      </c>
      <c r="B55" s="30">
        <f>TFam!M56</f>
        <v>34668</v>
      </c>
      <c r="C55" s="30">
        <f>'Two-par'!M56</f>
        <v>4927</v>
      </c>
      <c r="D55" s="30">
        <f>'One-par'!M56</f>
        <v>19594</v>
      </c>
      <c r="E55" s="30">
        <f>'Zero-par'!M56</f>
        <v>10147</v>
      </c>
      <c r="F55" s="30">
        <f>TRec!M56</f>
        <v>88580</v>
      </c>
      <c r="G55" s="30">
        <f>Adults!M56</f>
        <v>29968</v>
      </c>
      <c r="H55" s="30">
        <f>Children!M56</f>
        <v>58612</v>
      </c>
    </row>
    <row r="56" spans="1:18" s="13" customFormat="1" x14ac:dyDescent="0.2">
      <c r="A56" s="10" t="s">
        <v>54</v>
      </c>
      <c r="B56" s="32">
        <f>TFam!M57</f>
        <v>4503</v>
      </c>
      <c r="C56" s="32">
        <f>'Two-par'!M57</f>
        <v>0</v>
      </c>
      <c r="D56" s="32">
        <f>'One-par'!M57</f>
        <v>1097</v>
      </c>
      <c r="E56" s="32">
        <f>'Zero-par'!M57</f>
        <v>3406</v>
      </c>
      <c r="F56" s="32">
        <f>TRec!M57</f>
        <v>9005</v>
      </c>
      <c r="G56" s="32">
        <f>Adults!M57</f>
        <v>1654</v>
      </c>
      <c r="H56" s="32">
        <f>Children!M57</f>
        <v>7351</v>
      </c>
    </row>
    <row r="57" spans="1:18" s="13" customFormat="1" x14ac:dyDescent="0.2">
      <c r="A57" s="10" t="s">
        <v>55</v>
      </c>
      <c r="B57" s="30">
        <f>TFam!M58</f>
        <v>11295</v>
      </c>
      <c r="C57" s="30">
        <f>'Two-par'!M58</f>
        <v>81</v>
      </c>
      <c r="D57" s="30">
        <f>'One-par'!M58</f>
        <v>3198</v>
      </c>
      <c r="E57" s="30">
        <f>'Zero-par'!M58</f>
        <v>8016</v>
      </c>
      <c r="F57" s="30">
        <f>TRec!M58</f>
        <v>23630</v>
      </c>
      <c r="G57" s="30">
        <f>Adults!M58</f>
        <v>3550</v>
      </c>
      <c r="H57" s="30">
        <f>Children!M58</f>
        <v>20080</v>
      </c>
    </row>
    <row r="58" spans="1:18" s="13" customFormat="1" x14ac:dyDescent="0.2">
      <c r="A58" s="19" t="s">
        <v>56</v>
      </c>
      <c r="B58" s="33">
        <f>TFam!M59</f>
        <v>476</v>
      </c>
      <c r="C58" s="33">
        <f>'Two-par'!M59</f>
        <v>22</v>
      </c>
      <c r="D58" s="33">
        <f>'One-par'!M59</f>
        <v>243</v>
      </c>
      <c r="E58" s="33">
        <f>'Zero-par'!M59</f>
        <v>211</v>
      </c>
      <c r="F58" s="33">
        <f>TRec!M59</f>
        <v>1174</v>
      </c>
      <c r="G58" s="33">
        <f>Adults!M59</f>
        <v>287</v>
      </c>
      <c r="H58" s="33">
        <f>Children!M59</f>
        <v>887</v>
      </c>
    </row>
    <row r="59" spans="1:18" x14ac:dyDescent="0.2">
      <c r="A59" s="82">
        <f>TFam!$A$3</f>
        <v>45687</v>
      </c>
      <c r="B59" s="71"/>
      <c r="C59" s="71"/>
      <c r="D59" s="71"/>
      <c r="E59" s="71"/>
      <c r="F59" s="71"/>
      <c r="G59" s="71"/>
      <c r="H59" s="71"/>
      <c r="I59" s="58"/>
      <c r="J59" s="58"/>
      <c r="K59" s="58"/>
      <c r="L59" s="58"/>
      <c r="M59" s="58"/>
      <c r="N59" s="58"/>
      <c r="O59" s="58"/>
      <c r="P59" s="58"/>
      <c r="Q59" s="58"/>
      <c r="R59" s="58"/>
    </row>
    <row r="60" spans="1:18" x14ac:dyDescent="0.2">
      <c r="A60" s="75" t="str">
        <f>'Oct23'!A60</f>
        <v xml:space="preserve">    </v>
      </c>
      <c r="B60" s="75"/>
      <c r="C60" s="75"/>
      <c r="D60" s="75"/>
      <c r="E60" s="75"/>
      <c r="F60" s="75"/>
      <c r="G60" s="75"/>
      <c r="H60" s="75"/>
    </row>
    <row r="61" spans="1:18" x14ac:dyDescent="0.2">
      <c r="A61" s="75" t="str">
        <f>'Oct23'!A61</f>
        <v xml:space="preserve">Notes: </v>
      </c>
      <c r="B61" s="75"/>
      <c r="C61" s="75"/>
      <c r="D61" s="75"/>
      <c r="E61" s="75"/>
      <c r="F61" s="75"/>
      <c r="G61" s="75"/>
      <c r="H61" s="75"/>
    </row>
    <row r="62" spans="1:18" x14ac:dyDescent="0.2">
      <c r="A62" s="75" t="str">
        <f>'Oct23'!A62</f>
        <v>"-" - data inapplicable</v>
      </c>
      <c r="B62" s="75"/>
      <c r="C62" s="75"/>
      <c r="D62" s="75"/>
      <c r="E62" s="75"/>
      <c r="F62" s="75"/>
      <c r="G62" s="75"/>
      <c r="H62" s="75"/>
    </row>
  </sheetData>
  <pageMargins left="0.7" right="0.7" top="0.75" bottom="0.75" header="0.3" footer="0.3"/>
  <pageSetup scale="9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6328-ECFC-4838-B672-FD048268EDA2}">
  <sheetPr>
    <pageSetUpPr fitToPage="1"/>
  </sheetPr>
  <dimension ref="C1:P128"/>
  <sheetViews>
    <sheetView topLeftCell="A32" zoomScale="85" zoomScaleNormal="85" workbookViewId="0"/>
  </sheetViews>
  <sheetFormatPr defaultColWidth="9.21875" defaultRowHeight="10.199999999999999" x14ac:dyDescent="0.2"/>
  <cols>
    <col min="1" max="2" width="9.21875" style="49"/>
    <col min="3" max="3" width="14.21875" style="76" bestFit="1" customWidth="1"/>
    <col min="4" max="7" width="11.21875" style="49" customWidth="1"/>
    <col min="8" max="16384" width="9.21875" style="49"/>
  </cols>
  <sheetData>
    <row r="1" spans="3:7" s="95" customFormat="1" ht="15" customHeight="1" x14ac:dyDescent="0.3">
      <c r="C1" s="91" t="s">
        <v>98</v>
      </c>
      <c r="D1" s="90"/>
      <c r="E1" s="90"/>
      <c r="F1" s="90"/>
      <c r="G1" s="90"/>
    </row>
    <row r="2" spans="3:7" s="95" customFormat="1" ht="15" customHeight="1" x14ac:dyDescent="0.25">
      <c r="C2" s="92" t="s">
        <v>65</v>
      </c>
      <c r="D2" s="92"/>
      <c r="E2" s="92"/>
      <c r="F2" s="92"/>
      <c r="G2" s="92"/>
    </row>
    <row r="3" spans="3:7" s="95" customFormat="1" ht="15" customHeight="1" x14ac:dyDescent="0.25">
      <c r="C3" s="92" t="s">
        <v>100</v>
      </c>
      <c r="D3" s="92"/>
      <c r="E3" s="92"/>
      <c r="F3" s="92"/>
      <c r="G3" s="92"/>
    </row>
    <row r="4" spans="3:7" s="94" customFormat="1" ht="15" customHeight="1" x14ac:dyDescent="0.2">
      <c r="C4" s="97"/>
      <c r="D4" s="119" t="s">
        <v>99</v>
      </c>
      <c r="E4" s="119"/>
      <c r="F4" s="119"/>
      <c r="G4" s="119"/>
    </row>
    <row r="5" spans="3:7" ht="30.6" x14ac:dyDescent="0.2">
      <c r="C5" s="96" t="s">
        <v>1</v>
      </c>
      <c r="D5" s="26" t="s">
        <v>66</v>
      </c>
      <c r="E5" s="26" t="s">
        <v>67</v>
      </c>
      <c r="F5" s="26" t="s">
        <v>68</v>
      </c>
      <c r="G5" s="26" t="s">
        <v>69</v>
      </c>
    </row>
    <row r="6" spans="3:7" s="51" customFormat="1" x14ac:dyDescent="0.2">
      <c r="C6" s="50" t="s">
        <v>2</v>
      </c>
      <c r="D6" s="28">
        <f>TFam!N5</f>
        <v>841208.66666666663</v>
      </c>
      <c r="E6" s="28">
        <f>'Two-par'!N5</f>
        <v>56430.916666666664</v>
      </c>
      <c r="F6" s="28">
        <f>'One-par'!N5</f>
        <v>438444.91666666669</v>
      </c>
      <c r="G6" s="28">
        <f>'Zero-par'!N5</f>
        <v>346332.83333333331</v>
      </c>
    </row>
    <row r="7" spans="3:7" s="13" customFormat="1" x14ac:dyDescent="0.2">
      <c r="C7" s="52" t="s">
        <v>3</v>
      </c>
      <c r="D7" s="30">
        <f>TFam!N6</f>
        <v>5792.916666666667</v>
      </c>
      <c r="E7" s="30">
        <f>'Two-par'!N6</f>
        <v>33.166666666666664</v>
      </c>
      <c r="F7" s="30">
        <f>'One-par'!N6</f>
        <v>2444</v>
      </c>
      <c r="G7" s="30">
        <f>'Zero-par'!N6</f>
        <v>3315.75</v>
      </c>
    </row>
    <row r="8" spans="3:7" s="13" customFormat="1" x14ac:dyDescent="0.2">
      <c r="C8" s="52" t="s">
        <v>4</v>
      </c>
      <c r="D8" s="30">
        <f>TFam!N7</f>
        <v>1221.9166666666667</v>
      </c>
      <c r="E8" s="30">
        <f>'Two-par'!N7</f>
        <v>158.83333333333334</v>
      </c>
      <c r="F8" s="30">
        <f>'One-par'!N7</f>
        <v>690.66666666666663</v>
      </c>
      <c r="G8" s="30">
        <f>'Zero-par'!N7</f>
        <v>372.41666666666669</v>
      </c>
    </row>
    <row r="9" spans="3:7" s="13" customFormat="1" x14ac:dyDescent="0.2">
      <c r="C9" s="52" t="s">
        <v>5</v>
      </c>
      <c r="D9" s="30">
        <f>TFam!N8</f>
        <v>4892.75</v>
      </c>
      <c r="E9" s="30">
        <f>'Two-par'!N8</f>
        <v>317.91666666666669</v>
      </c>
      <c r="F9" s="30">
        <f>'One-par'!N8</f>
        <v>1272.5</v>
      </c>
      <c r="G9" s="30">
        <f>'Zero-par'!N8</f>
        <v>3302.3333333333335</v>
      </c>
    </row>
    <row r="10" spans="3:7" s="13" customFormat="1" x14ac:dyDescent="0.2">
      <c r="C10" s="52" t="s">
        <v>6</v>
      </c>
      <c r="D10" s="30">
        <f>TFam!N9</f>
        <v>891.41666666666663</v>
      </c>
      <c r="E10" s="30">
        <f>'Two-par'!N9</f>
        <v>35.416666666666664</v>
      </c>
      <c r="F10" s="30">
        <f>'One-par'!N9</f>
        <v>496.58333333333331</v>
      </c>
      <c r="G10" s="30">
        <f>'Zero-par'!N9</f>
        <v>359.41666666666669</v>
      </c>
    </row>
    <row r="11" spans="3:7" s="13" customFormat="1" x14ac:dyDescent="0.2">
      <c r="C11" s="52" t="s">
        <v>7</v>
      </c>
      <c r="D11" s="30">
        <f>TFam!N10</f>
        <v>290247.75</v>
      </c>
      <c r="E11" s="30">
        <f>'Two-par'!N10</f>
        <v>36291.25</v>
      </c>
      <c r="F11" s="30">
        <f>'One-par'!N10</f>
        <v>154972.33333333334</v>
      </c>
      <c r="G11" s="30">
        <f>'Zero-par'!N10</f>
        <v>98984.166666666672</v>
      </c>
    </row>
    <row r="12" spans="3:7" s="13" customFormat="1" x14ac:dyDescent="0.2">
      <c r="C12" s="52" t="s">
        <v>8</v>
      </c>
      <c r="D12" s="30">
        <f>TFam!N11</f>
        <v>12456.083333333334</v>
      </c>
      <c r="E12" s="30">
        <f>'Two-par'!N11</f>
        <v>0</v>
      </c>
      <c r="F12" s="30">
        <f>'One-par'!N11</f>
        <v>8205.75</v>
      </c>
      <c r="G12" s="30">
        <f>'Zero-par'!N11</f>
        <v>4250.333333333333</v>
      </c>
    </row>
    <row r="13" spans="3:7" s="13" customFormat="1" x14ac:dyDescent="0.2">
      <c r="C13" s="52" t="s">
        <v>9</v>
      </c>
      <c r="D13" s="30">
        <f>TFam!N12</f>
        <v>5194.833333333333</v>
      </c>
      <c r="E13" s="30">
        <f>'Two-par'!N12</f>
        <v>0</v>
      </c>
      <c r="F13" s="30">
        <f>'One-par'!N12</f>
        <v>2074.1666666666665</v>
      </c>
      <c r="G13" s="30">
        <f>'Zero-par'!N12</f>
        <v>3120.6666666666665</v>
      </c>
    </row>
    <row r="14" spans="3:7" s="13" customFormat="1" x14ac:dyDescent="0.2">
      <c r="C14" s="52" t="s">
        <v>10</v>
      </c>
      <c r="D14" s="30">
        <f>TFam!N13</f>
        <v>2560.75</v>
      </c>
      <c r="E14" s="30">
        <f>'Two-par'!N13</f>
        <v>4.75</v>
      </c>
      <c r="F14" s="30">
        <f>'One-par'!N13</f>
        <v>649.75</v>
      </c>
      <c r="G14" s="30">
        <f>'Zero-par'!N13</f>
        <v>1906.25</v>
      </c>
    </row>
    <row r="15" spans="3:7" s="13" customFormat="1" x14ac:dyDescent="0.2">
      <c r="C15" s="52" t="s">
        <v>11</v>
      </c>
      <c r="D15" s="30">
        <f>TFam!N14</f>
        <v>5056.25</v>
      </c>
      <c r="E15" s="30">
        <f>'Two-par'!N14</f>
        <v>0</v>
      </c>
      <c r="F15" s="30">
        <f>'One-par'!N14</f>
        <v>3630.5833333333335</v>
      </c>
      <c r="G15" s="30">
        <f>'Zero-par'!N14</f>
        <v>1425.6666666666667</v>
      </c>
    </row>
    <row r="16" spans="3:7" s="13" customFormat="1" x14ac:dyDescent="0.2">
      <c r="C16" s="52" t="s">
        <v>12</v>
      </c>
      <c r="D16" s="30">
        <f>TFam!N15</f>
        <v>30186.833333333332</v>
      </c>
      <c r="E16" s="30">
        <f>'Two-par'!N15</f>
        <v>5105.666666666667</v>
      </c>
      <c r="F16" s="30">
        <f>'One-par'!N15</f>
        <v>7284.583333333333</v>
      </c>
      <c r="G16" s="30">
        <f>'Zero-par'!N15</f>
        <v>17796.583333333332</v>
      </c>
    </row>
    <row r="17" spans="3:7" s="13" customFormat="1" x14ac:dyDescent="0.2">
      <c r="C17" s="52" t="s">
        <v>13</v>
      </c>
      <c r="D17" s="30">
        <f>TFam!N16</f>
        <v>4153.25</v>
      </c>
      <c r="E17" s="30">
        <f>'Two-par'!N16</f>
        <v>0.16666666666666666</v>
      </c>
      <c r="F17" s="30">
        <f>'One-par'!N16</f>
        <v>150.75</v>
      </c>
      <c r="G17" s="30">
        <f>'Zero-par'!N16</f>
        <v>4002.3333333333335</v>
      </c>
    </row>
    <row r="18" spans="3:7" s="13" customFormat="1" x14ac:dyDescent="0.2">
      <c r="C18" s="52" t="s">
        <v>14</v>
      </c>
      <c r="D18" s="30">
        <f>TFam!N17</f>
        <v>179.91666666666666</v>
      </c>
      <c r="E18" s="30">
        <f>'Two-par'!N17</f>
        <v>9.25</v>
      </c>
      <c r="F18" s="30">
        <f>'One-par'!N17</f>
        <v>48.25</v>
      </c>
      <c r="G18" s="30">
        <f>'Zero-par'!N17</f>
        <v>122.41666666666667</v>
      </c>
    </row>
    <row r="19" spans="3:7" s="13" customFormat="1" x14ac:dyDescent="0.2">
      <c r="C19" s="52" t="s">
        <v>15</v>
      </c>
      <c r="D19" s="30">
        <f>TFam!N18</f>
        <v>2813.4166666666665</v>
      </c>
      <c r="E19" s="30">
        <f>'Two-par'!N18</f>
        <v>425.5</v>
      </c>
      <c r="F19" s="30">
        <f>'One-par'!N18</f>
        <v>1760.1666666666667</v>
      </c>
      <c r="G19" s="30">
        <f>'Zero-par'!N18</f>
        <v>627.75</v>
      </c>
    </row>
    <row r="20" spans="3:7" s="13" customFormat="1" x14ac:dyDescent="0.2">
      <c r="C20" s="52" t="s">
        <v>16</v>
      </c>
      <c r="D20" s="30">
        <f>TFam!N19</f>
        <v>1482.3333333333333</v>
      </c>
      <c r="E20" s="30">
        <f>'Two-par'!N19</f>
        <v>0</v>
      </c>
      <c r="F20" s="30">
        <f>'One-par'!N19</f>
        <v>23.75</v>
      </c>
      <c r="G20" s="30">
        <f>'Zero-par'!N19</f>
        <v>1458.5833333333333</v>
      </c>
    </row>
    <row r="21" spans="3:7" s="13" customFormat="1" x14ac:dyDescent="0.2">
      <c r="C21" s="52" t="s">
        <v>17</v>
      </c>
      <c r="D21" s="30">
        <f>TFam!N20</f>
        <v>9852.8333333333339</v>
      </c>
      <c r="E21" s="30">
        <f>'Two-par'!N20</f>
        <v>0</v>
      </c>
      <c r="F21" s="30">
        <f>'One-par'!N20</f>
        <v>2259.0833333333335</v>
      </c>
      <c r="G21" s="30">
        <f>'Zero-par'!N20</f>
        <v>7593.75</v>
      </c>
    </row>
    <row r="22" spans="3:7" s="13" customFormat="1" x14ac:dyDescent="0.2">
      <c r="C22" s="52" t="s">
        <v>18</v>
      </c>
      <c r="D22" s="30">
        <f>TFam!N21</f>
        <v>5473.416666666667</v>
      </c>
      <c r="E22" s="30">
        <f>'Two-par'!N21</f>
        <v>841</v>
      </c>
      <c r="F22" s="30">
        <f>'One-par'!N21</f>
        <v>2156.4166666666665</v>
      </c>
      <c r="G22" s="30">
        <f>'Zero-par'!N21</f>
        <v>2476</v>
      </c>
    </row>
    <row r="23" spans="3:7" s="13" customFormat="1" x14ac:dyDescent="0.2">
      <c r="C23" s="52" t="s">
        <v>19</v>
      </c>
      <c r="D23" s="30">
        <f>TFam!N22</f>
        <v>4083.3333333333335</v>
      </c>
      <c r="E23" s="30">
        <f>'Two-par'!N22</f>
        <v>221.25</v>
      </c>
      <c r="F23" s="30">
        <f>'One-par'!N22</f>
        <v>1936.3333333333333</v>
      </c>
      <c r="G23" s="30">
        <f>'Zero-par'!N22</f>
        <v>1925.75</v>
      </c>
    </row>
    <row r="24" spans="3:7" s="13" customFormat="1" x14ac:dyDescent="0.2">
      <c r="C24" s="52" t="s">
        <v>20</v>
      </c>
      <c r="D24" s="30">
        <f>TFam!N23</f>
        <v>2933.0833333333335</v>
      </c>
      <c r="E24" s="30">
        <f>'Two-par'!N23</f>
        <v>248.91666666666666</v>
      </c>
      <c r="F24" s="30">
        <f>'One-par'!N23</f>
        <v>1413.4166666666667</v>
      </c>
      <c r="G24" s="30">
        <f>'Zero-par'!N23</f>
        <v>1270.75</v>
      </c>
    </row>
    <row r="25" spans="3:7" s="13" customFormat="1" x14ac:dyDescent="0.2">
      <c r="C25" s="52" t="s">
        <v>21</v>
      </c>
      <c r="D25" s="30">
        <f>TFam!N24</f>
        <v>14567.666666666666</v>
      </c>
      <c r="E25" s="30">
        <f>'Two-par'!N24</f>
        <v>942.75</v>
      </c>
      <c r="F25" s="30">
        <f>'One-par'!N24</f>
        <v>5357.5</v>
      </c>
      <c r="G25" s="30">
        <f>'Zero-par'!N24</f>
        <v>8267.4166666666661</v>
      </c>
    </row>
    <row r="26" spans="3:7" s="13" customFormat="1" x14ac:dyDescent="0.2">
      <c r="C26" s="52" t="s">
        <v>22</v>
      </c>
      <c r="D26" s="30">
        <f>TFam!N25</f>
        <v>4836.666666666667</v>
      </c>
      <c r="E26" s="30">
        <f>'Two-par'!N25</f>
        <v>0</v>
      </c>
      <c r="F26" s="30">
        <f>'One-par'!N25</f>
        <v>2761.9166666666665</v>
      </c>
      <c r="G26" s="30">
        <f>'Zero-par'!N25</f>
        <v>2074.75</v>
      </c>
    </row>
    <row r="27" spans="3:7" s="13" customFormat="1" x14ac:dyDescent="0.2">
      <c r="C27" s="52" t="s">
        <v>23</v>
      </c>
      <c r="D27" s="30">
        <f>TFam!N26</f>
        <v>3679.3333333333335</v>
      </c>
      <c r="E27" s="30">
        <f>'Two-par'!N26</f>
        <v>493.25</v>
      </c>
      <c r="F27" s="30">
        <f>'One-par'!N26</f>
        <v>2159.6666666666665</v>
      </c>
      <c r="G27" s="30">
        <f>'Zero-par'!N26</f>
        <v>1026.4166666666667</v>
      </c>
    </row>
    <row r="28" spans="3:7" s="13" customFormat="1" x14ac:dyDescent="0.2">
      <c r="C28" s="52" t="s">
        <v>24</v>
      </c>
      <c r="D28" s="30">
        <f>TFam!N27</f>
        <v>12918.5</v>
      </c>
      <c r="E28" s="30">
        <f>'Two-par'!N27</f>
        <v>0</v>
      </c>
      <c r="F28" s="30">
        <f>'One-par'!N27</f>
        <v>9180.1666666666661</v>
      </c>
      <c r="G28" s="30">
        <f>'Zero-par'!N27</f>
        <v>3738.3333333333335</v>
      </c>
    </row>
    <row r="29" spans="3:7" s="13" customFormat="1" x14ac:dyDescent="0.2">
      <c r="C29" s="52" t="s">
        <v>25</v>
      </c>
      <c r="D29" s="30">
        <f>TFam!N28</f>
        <v>36646.416666666664</v>
      </c>
      <c r="E29" s="30">
        <f>'Two-par'!N28</f>
        <v>2159.3333333333335</v>
      </c>
      <c r="F29" s="30">
        <f>'One-par'!N28</f>
        <v>22638.5</v>
      </c>
      <c r="G29" s="30">
        <f>'Zero-par'!N28</f>
        <v>11848.583333333334</v>
      </c>
    </row>
    <row r="30" spans="3:7" s="13" customFormat="1" x14ac:dyDescent="0.2">
      <c r="C30" s="52" t="s">
        <v>26</v>
      </c>
      <c r="D30" s="30">
        <f>TFam!N29</f>
        <v>7964.333333333333</v>
      </c>
      <c r="E30" s="30">
        <f>'Two-par'!N29</f>
        <v>0</v>
      </c>
      <c r="F30" s="30">
        <f>'One-par'!N29</f>
        <v>3882.4166666666665</v>
      </c>
      <c r="G30" s="30">
        <f>'Zero-par'!N29</f>
        <v>4081.9166666666665</v>
      </c>
    </row>
    <row r="31" spans="3:7" s="13" customFormat="1" x14ac:dyDescent="0.2">
      <c r="C31" s="52" t="s">
        <v>27</v>
      </c>
      <c r="D31" s="30">
        <f>TFam!N30</f>
        <v>13334.5</v>
      </c>
      <c r="E31" s="30">
        <f>'Two-par'!N30</f>
        <v>0</v>
      </c>
      <c r="F31" s="30">
        <f>'One-par'!N30</f>
        <v>7800.083333333333</v>
      </c>
      <c r="G31" s="30">
        <f>'Zero-par'!N30</f>
        <v>5534.416666666667</v>
      </c>
    </row>
    <row r="32" spans="3:7" s="13" customFormat="1" x14ac:dyDescent="0.2">
      <c r="C32" s="52" t="s">
        <v>28</v>
      </c>
      <c r="D32" s="30">
        <f>TFam!N31</f>
        <v>1463.6666666666667</v>
      </c>
      <c r="E32" s="30">
        <f>'Two-par'!N31</f>
        <v>0</v>
      </c>
      <c r="F32" s="30">
        <f>'One-par'!N31</f>
        <v>320.41666666666669</v>
      </c>
      <c r="G32" s="30">
        <f>'Zero-par'!N31</f>
        <v>1143.25</v>
      </c>
    </row>
    <row r="33" spans="3:7" s="13" customFormat="1" x14ac:dyDescent="0.2">
      <c r="C33" s="52" t="s">
        <v>29</v>
      </c>
      <c r="D33" s="30">
        <f>TFam!N32</f>
        <v>4821.666666666667</v>
      </c>
      <c r="E33" s="30">
        <f>'Two-par'!N32</f>
        <v>0</v>
      </c>
      <c r="F33" s="30">
        <f>'One-par'!N32</f>
        <v>2701.25</v>
      </c>
      <c r="G33" s="30">
        <f>'Zero-par'!N32</f>
        <v>2120.4166666666665</v>
      </c>
    </row>
    <row r="34" spans="3:7" s="13" customFormat="1" x14ac:dyDescent="0.2">
      <c r="C34" s="52" t="s">
        <v>30</v>
      </c>
      <c r="D34" s="30">
        <f>TFam!N33</f>
        <v>1598.4166666666667</v>
      </c>
      <c r="E34" s="30">
        <f>'Two-par'!N33</f>
        <v>88.916666666666671</v>
      </c>
      <c r="F34" s="30">
        <f>'One-par'!N33</f>
        <v>621.66666666666663</v>
      </c>
      <c r="G34" s="30">
        <f>'Zero-par'!N33</f>
        <v>887.83333333333337</v>
      </c>
    </row>
    <row r="35" spans="3:7" s="13" customFormat="1" x14ac:dyDescent="0.2">
      <c r="C35" s="52" t="s">
        <v>31</v>
      </c>
      <c r="D35" s="30">
        <f>TFam!N34</f>
        <v>2563.3333333333335</v>
      </c>
      <c r="E35" s="30">
        <f>'Two-par'!N34</f>
        <v>0</v>
      </c>
      <c r="F35" s="30">
        <f>'One-par'!N34</f>
        <v>719.66666666666663</v>
      </c>
      <c r="G35" s="30">
        <f>'Zero-par'!N34</f>
        <v>1843.6666666666667</v>
      </c>
    </row>
    <row r="36" spans="3:7" s="13" customFormat="1" x14ac:dyDescent="0.2">
      <c r="C36" s="52" t="s">
        <v>32</v>
      </c>
      <c r="D36" s="30">
        <f>TFam!N35</f>
        <v>5477.416666666667</v>
      </c>
      <c r="E36" s="30">
        <f>'Two-par'!N35</f>
        <v>486</v>
      </c>
      <c r="F36" s="30">
        <f>'One-par'!N35</f>
        <v>2354.75</v>
      </c>
      <c r="G36" s="30">
        <f>'Zero-par'!N35</f>
        <v>2636.6666666666665</v>
      </c>
    </row>
    <row r="37" spans="3:7" s="13" customFormat="1" x14ac:dyDescent="0.2">
      <c r="C37" s="52" t="s">
        <v>33</v>
      </c>
      <c r="D37" s="30">
        <f>TFam!N36</f>
        <v>2499.25</v>
      </c>
      <c r="E37" s="30">
        <f>'Two-par'!N36</f>
        <v>1.5</v>
      </c>
      <c r="F37" s="30">
        <f>'One-par'!N36</f>
        <v>1007.4166666666666</v>
      </c>
      <c r="G37" s="30">
        <f>'Zero-par'!N36</f>
        <v>1490.3333333333333</v>
      </c>
    </row>
    <row r="38" spans="3:7" s="13" customFormat="1" x14ac:dyDescent="0.2">
      <c r="C38" s="52" t="s">
        <v>34</v>
      </c>
      <c r="D38" s="30">
        <f>TFam!N37</f>
        <v>9513.4166666666661</v>
      </c>
      <c r="E38" s="30">
        <f>'Two-par'!N37</f>
        <v>63.75</v>
      </c>
      <c r="F38" s="30">
        <f>'One-par'!N37</f>
        <v>7237.833333333333</v>
      </c>
      <c r="G38" s="30">
        <f>'Zero-par'!N37</f>
        <v>2211.8333333333335</v>
      </c>
    </row>
    <row r="39" spans="3:7" s="13" customFormat="1" x14ac:dyDescent="0.2">
      <c r="C39" s="52" t="s">
        <v>35</v>
      </c>
      <c r="D39" s="30">
        <f>TFam!N38</f>
        <v>7008.083333333333</v>
      </c>
      <c r="E39" s="30">
        <f>'Two-par'!N38</f>
        <v>434.5</v>
      </c>
      <c r="F39" s="30">
        <f>'One-par'!N38</f>
        <v>3389.8333333333335</v>
      </c>
      <c r="G39" s="30">
        <f>'Zero-par'!N38</f>
        <v>3183.75</v>
      </c>
    </row>
    <row r="40" spans="3:7" s="13" customFormat="1" x14ac:dyDescent="0.2">
      <c r="C40" s="52" t="s">
        <v>36</v>
      </c>
      <c r="D40" s="30">
        <f>TFam!N39</f>
        <v>128334.58333333333</v>
      </c>
      <c r="E40" s="30">
        <f>'Two-par'!N39</f>
        <v>1648.1666666666667</v>
      </c>
      <c r="F40" s="30">
        <f>'One-par'!N39</f>
        <v>95126.833333333328</v>
      </c>
      <c r="G40" s="30">
        <f>'Zero-par'!N39</f>
        <v>31559.583333333332</v>
      </c>
    </row>
    <row r="41" spans="3:7" s="13" customFormat="1" x14ac:dyDescent="0.2">
      <c r="C41" s="52" t="s">
        <v>37</v>
      </c>
      <c r="D41" s="30">
        <f>TFam!N40</f>
        <v>7116.166666666667</v>
      </c>
      <c r="E41" s="30">
        <f>'Two-par'!N40</f>
        <v>73.333333333333329</v>
      </c>
      <c r="F41" s="30">
        <f>'One-par'!N40</f>
        <v>979.75</v>
      </c>
      <c r="G41" s="30">
        <f>'Zero-par'!N40</f>
        <v>6063.083333333333</v>
      </c>
    </row>
    <row r="42" spans="3:7" s="13" customFormat="1" x14ac:dyDescent="0.2">
      <c r="C42" s="52" t="s">
        <v>38</v>
      </c>
      <c r="D42" s="30">
        <f>TFam!N41</f>
        <v>628.75</v>
      </c>
      <c r="E42" s="30">
        <f>'Two-par'!N41</f>
        <v>0</v>
      </c>
      <c r="F42" s="30">
        <f>'One-par'!N41</f>
        <v>331.16666666666669</v>
      </c>
      <c r="G42" s="30">
        <f>'Zero-par'!N41</f>
        <v>297.58333333333331</v>
      </c>
    </row>
    <row r="43" spans="3:7" s="13" customFormat="1" x14ac:dyDescent="0.2">
      <c r="C43" s="52" t="s">
        <v>39</v>
      </c>
      <c r="D43" s="30">
        <f>TFam!N42</f>
        <v>39233.75</v>
      </c>
      <c r="E43" s="30">
        <f>'Two-par'!N42</f>
        <v>763.5</v>
      </c>
      <c r="F43" s="30">
        <f>'One-par'!N42</f>
        <v>4963.166666666667</v>
      </c>
      <c r="G43" s="30">
        <f>'Zero-par'!N42</f>
        <v>33507.083333333336</v>
      </c>
    </row>
    <row r="44" spans="3:7" s="13" customFormat="1" x14ac:dyDescent="0.2">
      <c r="C44" s="52" t="s">
        <v>40</v>
      </c>
      <c r="D44" s="30">
        <f>TFam!N43</f>
        <v>3390.75</v>
      </c>
      <c r="E44" s="30">
        <f>'Two-par'!N43</f>
        <v>0</v>
      </c>
      <c r="F44" s="30">
        <f>'One-par'!N43</f>
        <v>796.66666666666663</v>
      </c>
      <c r="G44" s="30">
        <f>'Zero-par'!N43</f>
        <v>2594.0833333333335</v>
      </c>
    </row>
    <row r="45" spans="3:7" s="13" customFormat="1" x14ac:dyDescent="0.2">
      <c r="C45" s="52" t="s">
        <v>41</v>
      </c>
      <c r="D45" s="30">
        <f>TFam!N44</f>
        <v>18196.166666666668</v>
      </c>
      <c r="E45" s="30">
        <f>'Two-par'!N44</f>
        <v>0</v>
      </c>
      <c r="F45" s="30">
        <f>'One-par'!N44</f>
        <v>12139.666666666666</v>
      </c>
      <c r="G45" s="30">
        <f>'Zero-par'!N44</f>
        <v>6056.5</v>
      </c>
    </row>
    <row r="46" spans="3:7" s="13" customFormat="1" x14ac:dyDescent="0.2">
      <c r="C46" s="52" t="s">
        <v>42</v>
      </c>
      <c r="D46" s="30">
        <f>TFam!N45</f>
        <v>24170.25</v>
      </c>
      <c r="E46" s="30">
        <f>'Two-par'!N45</f>
        <v>348.83333333333331</v>
      </c>
      <c r="F46" s="30">
        <f>'One-par'!N45</f>
        <v>15200.5</v>
      </c>
      <c r="G46" s="30">
        <f>'Zero-par'!N45</f>
        <v>8620.9166666666661</v>
      </c>
    </row>
    <row r="47" spans="3:7" s="13" customFormat="1" x14ac:dyDescent="0.2">
      <c r="C47" s="52" t="s">
        <v>43</v>
      </c>
      <c r="D47" s="30">
        <f>TFam!N46</f>
        <v>2390.0833333333335</v>
      </c>
      <c r="E47" s="30">
        <f>'Two-par'!N46</f>
        <v>104.41666666666667</v>
      </c>
      <c r="F47" s="30">
        <f>'One-par'!N46</f>
        <v>2130.25</v>
      </c>
      <c r="G47" s="30">
        <f>'Zero-par'!N46</f>
        <v>155.41666666666666</v>
      </c>
    </row>
    <row r="48" spans="3:7" s="13" customFormat="1" x14ac:dyDescent="0.2">
      <c r="C48" s="52" t="s">
        <v>44</v>
      </c>
      <c r="D48" s="30">
        <f>TFam!N47</f>
        <v>3391</v>
      </c>
      <c r="E48" s="30">
        <f>'Two-par'!N47</f>
        <v>227.41666666666666</v>
      </c>
      <c r="F48" s="30">
        <f>'One-par'!N47</f>
        <v>2577.0833333333335</v>
      </c>
      <c r="G48" s="30">
        <f>'Zero-par'!N47</f>
        <v>586.5</v>
      </c>
    </row>
    <row r="49" spans="3:16" s="13" customFormat="1" x14ac:dyDescent="0.2">
      <c r="C49" s="52" t="s">
        <v>45</v>
      </c>
      <c r="D49" s="30">
        <f>TFam!N48</f>
        <v>5605.166666666667</v>
      </c>
      <c r="E49" s="30">
        <f>'Two-par'!N48</f>
        <v>0</v>
      </c>
      <c r="F49" s="30">
        <f>'One-par'!N48</f>
        <v>2491.5</v>
      </c>
      <c r="G49" s="30">
        <f>'Zero-par'!N48</f>
        <v>3113.6666666666665</v>
      </c>
    </row>
    <row r="50" spans="3:16" s="13" customFormat="1" x14ac:dyDescent="0.2">
      <c r="C50" s="52" t="s">
        <v>46</v>
      </c>
      <c r="D50" s="30">
        <f>TFam!N49</f>
        <v>2486.1666666666665</v>
      </c>
      <c r="E50" s="30">
        <f>'Two-par'!N49</f>
        <v>0</v>
      </c>
      <c r="F50" s="30">
        <f>'One-par'!N49</f>
        <v>400.83333333333331</v>
      </c>
      <c r="G50" s="30">
        <f>'Zero-par'!N49</f>
        <v>2085.3333333333335</v>
      </c>
    </row>
    <row r="51" spans="3:16" s="13" customFormat="1" x14ac:dyDescent="0.2">
      <c r="C51" s="52" t="s">
        <v>47</v>
      </c>
      <c r="D51" s="30">
        <f>TFam!N50</f>
        <v>12117.25</v>
      </c>
      <c r="E51" s="30">
        <f>'Two-par'!N50</f>
        <v>235.33333333333334</v>
      </c>
      <c r="F51" s="30">
        <f>'One-par'!N50</f>
        <v>4046.75</v>
      </c>
      <c r="G51" s="30">
        <f>'Zero-par'!N50</f>
        <v>7835.166666666667</v>
      </c>
    </row>
    <row r="52" spans="3:16" s="13" customFormat="1" x14ac:dyDescent="0.2">
      <c r="C52" s="52" t="s">
        <v>48</v>
      </c>
      <c r="D52" s="30">
        <f>TFam!N51</f>
        <v>9462.6666666666661</v>
      </c>
      <c r="E52" s="30">
        <f>'Two-par'!N51</f>
        <v>0</v>
      </c>
      <c r="F52" s="30">
        <f>'One-par'!N51</f>
        <v>2696.6666666666665</v>
      </c>
      <c r="G52" s="30">
        <f>'Zero-par'!N51</f>
        <v>6766</v>
      </c>
    </row>
    <row r="53" spans="3:16" s="13" customFormat="1" x14ac:dyDescent="0.2">
      <c r="C53" s="52" t="s">
        <v>49</v>
      </c>
      <c r="D53" s="30">
        <f>TFam!N52</f>
        <v>1892.25</v>
      </c>
      <c r="E53" s="30">
        <f>'Two-par'!N52</f>
        <v>0</v>
      </c>
      <c r="F53" s="30">
        <f>'One-par'!N52</f>
        <v>820.16666666666663</v>
      </c>
      <c r="G53" s="30">
        <f>'Zero-par'!N52</f>
        <v>1072.0833333333333</v>
      </c>
    </row>
    <row r="54" spans="3:16" s="13" customFormat="1" x14ac:dyDescent="0.2">
      <c r="C54" s="52" t="s">
        <v>50</v>
      </c>
      <c r="D54" s="30">
        <f>TFam!N53</f>
        <v>1654.8333333333333</v>
      </c>
      <c r="E54" s="30">
        <f>'Two-par'!N53</f>
        <v>113.83333333333333</v>
      </c>
      <c r="F54" s="30">
        <f>'One-par'!N53</f>
        <v>595.41666666666663</v>
      </c>
      <c r="G54" s="30">
        <f>'Zero-par'!N53</f>
        <v>945.58333333333337</v>
      </c>
    </row>
    <row r="55" spans="3:16" s="13" customFormat="1" x14ac:dyDescent="0.2">
      <c r="C55" s="52" t="s">
        <v>51</v>
      </c>
      <c r="D55" s="30">
        <f>TFam!N54</f>
        <v>53.916666666666664</v>
      </c>
      <c r="E55" s="30">
        <f>'Two-par'!N54</f>
        <v>0</v>
      </c>
      <c r="F55" s="30">
        <f>'One-par'!N54</f>
        <v>43.416666666666664</v>
      </c>
      <c r="G55" s="30">
        <f>'Zero-par'!N54</f>
        <v>10.5</v>
      </c>
    </row>
    <row r="56" spans="3:16" s="13" customFormat="1" x14ac:dyDescent="0.2">
      <c r="C56" s="52" t="s">
        <v>52</v>
      </c>
      <c r="D56" s="30">
        <f>TFam!N55</f>
        <v>13187.916666666666</v>
      </c>
      <c r="E56" s="30">
        <f>'Two-par'!N55</f>
        <v>0</v>
      </c>
      <c r="F56" s="30">
        <f>'One-par'!N55</f>
        <v>6877</v>
      </c>
      <c r="G56" s="30">
        <f>'Zero-par'!N55</f>
        <v>6310.916666666667</v>
      </c>
    </row>
    <row r="57" spans="3:16" s="13" customFormat="1" x14ac:dyDescent="0.2">
      <c r="C57" s="52" t="s">
        <v>53</v>
      </c>
      <c r="D57" s="30">
        <f>TFam!N56</f>
        <v>33068.25</v>
      </c>
      <c r="E57" s="30">
        <f>'Two-par'!N56</f>
        <v>4453.75</v>
      </c>
      <c r="F57" s="30">
        <f>'One-par'!N56</f>
        <v>18187</v>
      </c>
      <c r="G57" s="30">
        <f>'Zero-par'!N56</f>
        <v>10427.5</v>
      </c>
    </row>
    <row r="58" spans="3:16" s="13" customFormat="1" x14ac:dyDescent="0.2">
      <c r="C58" s="52" t="s">
        <v>54</v>
      </c>
      <c r="D58" s="30">
        <f>TFam!N57</f>
        <v>4696.75</v>
      </c>
      <c r="E58" s="30">
        <f>'Two-par'!N57</f>
        <v>0</v>
      </c>
      <c r="F58" s="30">
        <f>'One-par'!N57</f>
        <v>1117.8333333333333</v>
      </c>
      <c r="G58" s="30">
        <f>'Zero-par'!N57</f>
        <v>3578.9166666666665</v>
      </c>
    </row>
    <row r="59" spans="3:16" s="13" customFormat="1" x14ac:dyDescent="0.2">
      <c r="C59" s="52" t="s">
        <v>55</v>
      </c>
      <c r="D59" s="30">
        <f>TFam!N58</f>
        <v>11287.666666666666</v>
      </c>
      <c r="E59" s="30">
        <f>'Two-par'!N58</f>
        <v>80.916666666666671</v>
      </c>
      <c r="F59" s="30">
        <f>'One-par'!N58</f>
        <v>3073.8333333333335</v>
      </c>
      <c r="G59" s="30">
        <f>'Zero-par'!N58</f>
        <v>8132.916666666667</v>
      </c>
    </row>
    <row r="60" spans="3:16" s="13" customFormat="1" x14ac:dyDescent="0.2">
      <c r="C60" s="53" t="s">
        <v>56</v>
      </c>
      <c r="D60" s="33">
        <f>TFam!N59</f>
        <v>478.58333333333331</v>
      </c>
      <c r="E60" s="33">
        <f>'Two-par'!N59</f>
        <v>18.333333333333332</v>
      </c>
      <c r="F60" s="33">
        <f>'One-par'!N59</f>
        <v>247.25</v>
      </c>
      <c r="G60" s="33">
        <f>'Zero-par'!N59</f>
        <v>213</v>
      </c>
    </row>
    <row r="61" spans="3:16" x14ac:dyDescent="0.2">
      <c r="C61" s="82">
        <f>TFam!$A$3</f>
        <v>45687</v>
      </c>
      <c r="D61" s="72"/>
      <c r="E61" s="72"/>
      <c r="F61" s="72"/>
      <c r="G61" s="72"/>
      <c r="H61" s="58"/>
      <c r="I61" s="58"/>
      <c r="J61" s="58"/>
      <c r="K61" s="58"/>
      <c r="L61" s="58"/>
      <c r="M61" s="58"/>
      <c r="N61" s="58"/>
      <c r="O61" s="58"/>
      <c r="P61" s="58"/>
    </row>
    <row r="62" spans="3:16" x14ac:dyDescent="0.2">
      <c r="C62" s="76" t="s">
        <v>57</v>
      </c>
      <c r="D62" s="76"/>
      <c r="E62" s="76"/>
      <c r="F62" s="76"/>
      <c r="G62" s="76"/>
    </row>
    <row r="63" spans="3:16" x14ac:dyDescent="0.2">
      <c r="C63" s="76" t="s">
        <v>58</v>
      </c>
      <c r="D63" s="76"/>
      <c r="E63" s="76"/>
      <c r="F63" s="76"/>
      <c r="G63" s="76"/>
    </row>
    <row r="64" spans="3:16" x14ac:dyDescent="0.2">
      <c r="C64" s="76" t="s">
        <v>95</v>
      </c>
      <c r="D64" s="76"/>
      <c r="E64" s="76"/>
      <c r="F64" s="76"/>
      <c r="G64" s="76"/>
    </row>
    <row r="65" spans="3:7" x14ac:dyDescent="0.2">
      <c r="D65" s="76"/>
      <c r="E65" s="76"/>
      <c r="F65" s="76"/>
      <c r="G65" s="76"/>
    </row>
    <row r="66" spans="3:7" ht="15" customHeight="1" x14ac:dyDescent="0.2">
      <c r="C66" s="76" t="s">
        <v>74</v>
      </c>
      <c r="D66" s="76"/>
      <c r="E66" s="76"/>
      <c r="F66" s="76"/>
      <c r="G66" s="76"/>
    </row>
    <row r="67" spans="3:7" x14ac:dyDescent="0.2">
      <c r="C67" s="59"/>
      <c r="D67" s="59"/>
      <c r="E67" s="59"/>
      <c r="F67" s="59"/>
      <c r="G67" s="59"/>
    </row>
    <row r="68" spans="3:7" x14ac:dyDescent="0.2">
      <c r="D68" s="54"/>
      <c r="E68" s="54"/>
      <c r="F68" s="54"/>
      <c r="G68" s="54"/>
    </row>
    <row r="69" spans="3:7" x14ac:dyDescent="0.2">
      <c r="D69" s="54"/>
      <c r="E69" s="54"/>
      <c r="F69" s="54"/>
      <c r="G69" s="54"/>
    </row>
    <row r="70" spans="3:7" x14ac:dyDescent="0.2">
      <c r="D70" s="54"/>
      <c r="E70" s="54"/>
      <c r="F70" s="54"/>
      <c r="G70" s="54"/>
    </row>
    <row r="71" spans="3:7" x14ac:dyDescent="0.2">
      <c r="D71" s="54"/>
      <c r="E71" s="54"/>
      <c r="F71" s="54"/>
      <c r="G71" s="54"/>
    </row>
    <row r="72" spans="3:7" x14ac:dyDescent="0.2">
      <c r="D72" s="54"/>
      <c r="E72" s="54"/>
      <c r="F72" s="54"/>
      <c r="G72" s="54"/>
    </row>
    <row r="73" spans="3:7" x14ac:dyDescent="0.2">
      <c r="D73" s="54"/>
      <c r="E73" s="54"/>
      <c r="F73" s="54"/>
      <c r="G73" s="54"/>
    </row>
    <row r="74" spans="3:7" x14ac:dyDescent="0.2">
      <c r="D74" s="54"/>
      <c r="E74" s="54"/>
      <c r="F74" s="54"/>
      <c r="G74" s="54"/>
    </row>
    <row r="75" spans="3:7" x14ac:dyDescent="0.2">
      <c r="D75" s="54"/>
      <c r="E75" s="54"/>
      <c r="F75" s="54"/>
      <c r="G75" s="54"/>
    </row>
    <row r="76" spans="3:7" x14ac:dyDescent="0.2">
      <c r="D76" s="54"/>
      <c r="E76" s="54"/>
      <c r="F76" s="54"/>
      <c r="G76" s="54"/>
    </row>
    <row r="77" spans="3:7" x14ac:dyDescent="0.2">
      <c r="D77" s="54"/>
      <c r="E77" s="54"/>
      <c r="F77" s="54"/>
      <c r="G77" s="54"/>
    </row>
    <row r="78" spans="3:7" x14ac:dyDescent="0.2">
      <c r="D78" s="54"/>
      <c r="E78" s="54"/>
      <c r="F78" s="54"/>
      <c r="G78" s="54"/>
    </row>
    <row r="79" spans="3:7" x14ac:dyDescent="0.2">
      <c r="D79" s="54"/>
      <c r="E79" s="54"/>
      <c r="F79" s="54"/>
      <c r="G79" s="54"/>
    </row>
    <row r="80" spans="3:7" x14ac:dyDescent="0.2">
      <c r="D80" s="54"/>
      <c r="E80" s="54"/>
      <c r="F80" s="54"/>
      <c r="G80" s="54"/>
    </row>
    <row r="81" spans="3:7" x14ac:dyDescent="0.2">
      <c r="D81" s="54"/>
      <c r="E81" s="54"/>
      <c r="F81" s="54"/>
      <c r="G81" s="54"/>
    </row>
    <row r="82" spans="3:7" x14ac:dyDescent="0.2">
      <c r="C82" s="49"/>
      <c r="D82" s="54"/>
      <c r="E82" s="54"/>
      <c r="F82" s="54"/>
      <c r="G82" s="54"/>
    </row>
    <row r="83" spans="3:7" x14ac:dyDescent="0.2">
      <c r="C83" s="49"/>
      <c r="D83" s="54"/>
      <c r="E83" s="54"/>
      <c r="F83" s="54"/>
      <c r="G83" s="54"/>
    </row>
    <row r="84" spans="3:7" x14ac:dyDescent="0.2">
      <c r="C84" s="49"/>
      <c r="D84" s="54"/>
      <c r="E84" s="54"/>
      <c r="F84" s="54"/>
      <c r="G84" s="54"/>
    </row>
    <row r="85" spans="3:7" x14ac:dyDescent="0.2">
      <c r="C85" s="49"/>
      <c r="D85" s="54"/>
      <c r="E85" s="54"/>
      <c r="F85" s="54"/>
      <c r="G85" s="54"/>
    </row>
    <row r="86" spans="3:7" x14ac:dyDescent="0.2">
      <c r="C86" s="49"/>
      <c r="D86" s="54"/>
      <c r="E86" s="54"/>
      <c r="F86" s="54"/>
      <c r="G86" s="54"/>
    </row>
    <row r="87" spans="3:7" x14ac:dyDescent="0.2">
      <c r="C87" s="49"/>
      <c r="D87" s="54"/>
      <c r="E87" s="54"/>
      <c r="F87" s="54"/>
      <c r="G87" s="54"/>
    </row>
    <row r="88" spans="3:7" x14ac:dyDescent="0.2">
      <c r="C88" s="49"/>
      <c r="D88" s="54"/>
      <c r="E88" s="54"/>
      <c r="F88" s="54"/>
      <c r="G88" s="54"/>
    </row>
    <row r="89" spans="3:7" x14ac:dyDescent="0.2">
      <c r="C89" s="49"/>
      <c r="D89" s="54"/>
      <c r="E89" s="54"/>
      <c r="F89" s="54"/>
      <c r="G89" s="54"/>
    </row>
    <row r="90" spans="3:7" x14ac:dyDescent="0.2">
      <c r="C90" s="49"/>
      <c r="D90" s="54"/>
      <c r="E90" s="54"/>
      <c r="F90" s="54"/>
      <c r="G90" s="54"/>
    </row>
    <row r="91" spans="3:7" x14ac:dyDescent="0.2">
      <c r="C91" s="49"/>
      <c r="D91" s="54"/>
      <c r="E91" s="54"/>
      <c r="F91" s="54"/>
      <c r="G91" s="54"/>
    </row>
    <row r="92" spans="3:7" x14ac:dyDescent="0.2">
      <c r="C92" s="49"/>
      <c r="D92" s="54"/>
      <c r="E92" s="54"/>
      <c r="F92" s="54"/>
      <c r="G92" s="54"/>
    </row>
    <row r="93" spans="3:7" x14ac:dyDescent="0.2">
      <c r="C93" s="49"/>
      <c r="D93" s="54"/>
      <c r="E93" s="54"/>
      <c r="F93" s="54"/>
      <c r="G93" s="54"/>
    </row>
    <row r="94" spans="3:7" x14ac:dyDescent="0.2">
      <c r="C94" s="49"/>
      <c r="D94" s="54"/>
      <c r="E94" s="54"/>
      <c r="F94" s="54"/>
      <c r="G94" s="54"/>
    </row>
    <row r="95" spans="3:7" x14ac:dyDescent="0.2">
      <c r="C95" s="49"/>
      <c r="D95" s="54"/>
      <c r="E95" s="54"/>
      <c r="F95" s="54"/>
      <c r="G95" s="54"/>
    </row>
    <row r="96" spans="3:7" x14ac:dyDescent="0.2">
      <c r="C96" s="49"/>
      <c r="D96" s="54"/>
      <c r="E96" s="54"/>
      <c r="F96" s="54"/>
      <c r="G96" s="54"/>
    </row>
    <row r="97" spans="3:7" x14ac:dyDescent="0.2">
      <c r="C97" s="49"/>
      <c r="D97" s="54"/>
      <c r="E97" s="54"/>
      <c r="F97" s="54"/>
      <c r="G97" s="54"/>
    </row>
    <row r="98" spans="3:7" x14ac:dyDescent="0.2">
      <c r="C98" s="49"/>
      <c r="D98" s="54"/>
      <c r="E98" s="54"/>
      <c r="F98" s="54"/>
      <c r="G98" s="54"/>
    </row>
    <row r="99" spans="3:7" x14ac:dyDescent="0.2">
      <c r="C99" s="49"/>
      <c r="D99" s="54"/>
      <c r="E99" s="54"/>
      <c r="F99" s="54"/>
      <c r="G99" s="54"/>
    </row>
    <row r="100" spans="3:7" x14ac:dyDescent="0.2">
      <c r="C100" s="49"/>
      <c r="D100" s="54"/>
      <c r="E100" s="54"/>
      <c r="F100" s="54"/>
      <c r="G100" s="54"/>
    </row>
    <row r="101" spans="3:7" x14ac:dyDescent="0.2">
      <c r="C101" s="49"/>
      <c r="D101" s="54"/>
      <c r="E101" s="54"/>
      <c r="F101" s="54"/>
      <c r="G101" s="54"/>
    </row>
    <row r="102" spans="3:7" x14ac:dyDescent="0.2">
      <c r="C102" s="49"/>
      <c r="D102" s="54"/>
      <c r="E102" s="54"/>
      <c r="F102" s="54"/>
      <c r="G102" s="54"/>
    </row>
    <row r="103" spans="3:7" x14ac:dyDescent="0.2">
      <c r="C103" s="49"/>
      <c r="D103" s="54"/>
      <c r="E103" s="54"/>
      <c r="F103" s="54"/>
      <c r="G103" s="54"/>
    </row>
    <row r="104" spans="3:7" x14ac:dyDescent="0.2">
      <c r="C104" s="49"/>
      <c r="D104" s="54"/>
      <c r="E104" s="54"/>
      <c r="F104" s="54"/>
      <c r="G104" s="54"/>
    </row>
    <row r="105" spans="3:7" x14ac:dyDescent="0.2">
      <c r="C105" s="49"/>
      <c r="D105" s="54"/>
      <c r="E105" s="54"/>
      <c r="F105" s="54"/>
      <c r="G105" s="54"/>
    </row>
    <row r="106" spans="3:7" x14ac:dyDescent="0.2">
      <c r="C106" s="49"/>
      <c r="D106" s="54"/>
      <c r="E106" s="54"/>
      <c r="F106" s="54"/>
      <c r="G106" s="54"/>
    </row>
    <row r="107" spans="3:7" x14ac:dyDescent="0.2">
      <c r="C107" s="49"/>
      <c r="D107" s="54"/>
      <c r="E107" s="54"/>
      <c r="F107" s="54"/>
      <c r="G107" s="54"/>
    </row>
    <row r="108" spans="3:7" x14ac:dyDescent="0.2">
      <c r="C108" s="49"/>
      <c r="D108" s="54"/>
      <c r="E108" s="54"/>
      <c r="F108" s="54"/>
      <c r="G108" s="54"/>
    </row>
    <row r="109" spans="3:7" x14ac:dyDescent="0.2">
      <c r="C109" s="49"/>
      <c r="D109" s="54"/>
      <c r="E109" s="54"/>
      <c r="F109" s="54"/>
      <c r="G109" s="54"/>
    </row>
    <row r="110" spans="3:7" x14ac:dyDescent="0.2">
      <c r="C110" s="49"/>
      <c r="D110" s="54"/>
      <c r="E110" s="54"/>
      <c r="F110" s="54"/>
      <c r="G110" s="54"/>
    </row>
    <row r="111" spans="3:7" x14ac:dyDescent="0.2">
      <c r="C111" s="49"/>
      <c r="D111" s="54"/>
      <c r="E111" s="54"/>
      <c r="F111" s="54"/>
      <c r="G111" s="54"/>
    </row>
    <row r="112" spans="3:7" x14ac:dyDescent="0.2">
      <c r="C112" s="49"/>
      <c r="D112" s="54"/>
      <c r="E112" s="54"/>
      <c r="F112" s="54"/>
      <c r="G112" s="54"/>
    </row>
    <row r="113" spans="3:7" x14ac:dyDescent="0.2">
      <c r="C113" s="49"/>
      <c r="D113" s="54"/>
      <c r="E113" s="54"/>
      <c r="F113" s="54"/>
      <c r="G113" s="54"/>
    </row>
    <row r="114" spans="3:7" x14ac:dyDescent="0.2">
      <c r="C114" s="49"/>
      <c r="D114" s="54"/>
      <c r="E114" s="54"/>
      <c r="F114" s="54"/>
      <c r="G114" s="54"/>
    </row>
    <row r="115" spans="3:7" x14ac:dyDescent="0.2">
      <c r="C115" s="49"/>
      <c r="D115" s="54"/>
      <c r="E115" s="54"/>
      <c r="F115" s="54"/>
      <c r="G115" s="54"/>
    </row>
    <row r="116" spans="3:7" x14ac:dyDescent="0.2">
      <c r="C116" s="49"/>
      <c r="D116" s="54"/>
      <c r="E116" s="54"/>
      <c r="F116" s="54"/>
      <c r="G116" s="54"/>
    </row>
    <row r="117" spans="3:7" x14ac:dyDescent="0.2">
      <c r="C117" s="49"/>
      <c r="D117" s="54"/>
      <c r="E117" s="54"/>
      <c r="F117" s="54"/>
      <c r="G117" s="54"/>
    </row>
    <row r="118" spans="3:7" x14ac:dyDescent="0.2">
      <c r="C118" s="49"/>
      <c r="D118" s="54"/>
      <c r="E118" s="54"/>
      <c r="F118" s="54"/>
      <c r="G118" s="54"/>
    </row>
    <row r="119" spans="3:7" x14ac:dyDescent="0.2">
      <c r="C119" s="49"/>
      <c r="D119" s="54"/>
      <c r="E119" s="54"/>
      <c r="F119" s="54"/>
      <c r="G119" s="54"/>
    </row>
    <row r="120" spans="3:7" x14ac:dyDescent="0.2">
      <c r="C120" s="49"/>
      <c r="D120" s="54"/>
      <c r="E120" s="54"/>
      <c r="F120" s="54"/>
      <c r="G120" s="54"/>
    </row>
    <row r="121" spans="3:7" x14ac:dyDescent="0.2">
      <c r="C121" s="49"/>
      <c r="D121" s="54"/>
      <c r="E121" s="54"/>
      <c r="F121" s="54"/>
      <c r="G121" s="54"/>
    </row>
    <row r="122" spans="3:7" x14ac:dyDescent="0.2">
      <c r="C122" s="49"/>
      <c r="D122" s="54"/>
      <c r="E122" s="54"/>
      <c r="F122" s="54"/>
      <c r="G122" s="54"/>
    </row>
    <row r="123" spans="3:7" x14ac:dyDescent="0.2">
      <c r="C123" s="49"/>
      <c r="D123" s="54"/>
      <c r="E123" s="54"/>
      <c r="F123" s="54"/>
      <c r="G123" s="54"/>
    </row>
    <row r="124" spans="3:7" x14ac:dyDescent="0.2">
      <c r="C124" s="49"/>
      <c r="D124" s="54"/>
      <c r="E124" s="54"/>
      <c r="F124" s="54"/>
      <c r="G124" s="54"/>
    </row>
    <row r="125" spans="3:7" x14ac:dyDescent="0.2">
      <c r="C125" s="49"/>
      <c r="D125" s="54"/>
      <c r="E125" s="54"/>
      <c r="F125" s="54"/>
      <c r="G125" s="54"/>
    </row>
    <row r="126" spans="3:7" x14ac:dyDescent="0.2">
      <c r="C126" s="49"/>
      <c r="D126" s="54"/>
      <c r="E126" s="54"/>
      <c r="F126" s="54"/>
      <c r="G126" s="54"/>
    </row>
    <row r="127" spans="3:7" x14ac:dyDescent="0.2">
      <c r="C127" s="49"/>
      <c r="D127" s="54"/>
      <c r="E127" s="54"/>
      <c r="F127" s="54"/>
      <c r="G127" s="54"/>
    </row>
    <row r="128" spans="3:7" x14ac:dyDescent="0.2">
      <c r="C128" s="49"/>
      <c r="D128" s="54"/>
      <c r="E128" s="54"/>
      <c r="F128" s="54"/>
      <c r="G128" s="54"/>
    </row>
  </sheetData>
  <mergeCells count="1">
    <mergeCell ref="D4:G4"/>
  </mergeCells>
  <pageMargins left="0.7" right="0.7" top="0.75" bottom="0.75" header="0.3" footer="0.3"/>
  <pageSetup scale="7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3B5F-28D2-4C27-81EC-1825EB933E4F}">
  <sheetPr>
    <pageSetUpPr fitToPage="1"/>
  </sheetPr>
  <dimension ref="C1:Q128"/>
  <sheetViews>
    <sheetView tabSelected="1" topLeftCell="A49" workbookViewId="0">
      <selection activeCell="M18" sqref="M18"/>
    </sheetView>
  </sheetViews>
  <sheetFormatPr defaultColWidth="9.21875" defaultRowHeight="10.199999999999999" x14ac:dyDescent="0.2"/>
  <cols>
    <col min="1" max="2" width="9.21875" style="49"/>
    <col min="3" max="3" width="14.21875" style="76" bestFit="1" customWidth="1"/>
    <col min="4" max="6" width="13.77734375" style="49" customWidth="1"/>
    <col min="7" max="7" width="2.5546875" style="95" customWidth="1"/>
    <col min="8" max="16384" width="9.21875" style="49"/>
  </cols>
  <sheetData>
    <row r="1" spans="3:8" ht="15" customHeight="1" x14ac:dyDescent="0.3">
      <c r="C1" s="101" t="s">
        <v>97</v>
      </c>
      <c r="D1" s="102"/>
      <c r="E1" s="102"/>
      <c r="F1" s="102"/>
      <c r="G1" s="90"/>
    </row>
    <row r="2" spans="3:8" ht="15" customHeight="1" x14ac:dyDescent="0.25">
      <c r="C2" s="103" t="s">
        <v>65</v>
      </c>
      <c r="D2" s="103"/>
      <c r="E2" s="103"/>
      <c r="F2" s="103"/>
      <c r="G2" s="92"/>
    </row>
    <row r="3" spans="3:8" ht="15" customHeight="1" x14ac:dyDescent="0.25">
      <c r="C3" s="104" t="s">
        <v>101</v>
      </c>
      <c r="D3" s="104"/>
      <c r="E3" s="104"/>
      <c r="F3" s="104"/>
      <c r="G3" s="92"/>
    </row>
    <row r="4" spans="3:8" s="94" customFormat="1" ht="15" customHeight="1" x14ac:dyDescent="0.2">
      <c r="C4" s="97"/>
      <c r="D4" s="99" t="s">
        <v>99</v>
      </c>
      <c r="E4" s="99"/>
      <c r="F4" s="99"/>
      <c r="G4" s="100"/>
      <c r="H4" s="93"/>
    </row>
    <row r="5" spans="3:8" ht="20.399999999999999" x14ac:dyDescent="0.2">
      <c r="C5" s="84" t="s">
        <v>1</v>
      </c>
      <c r="D5" s="26" t="s">
        <v>73</v>
      </c>
      <c r="E5" s="26" t="s">
        <v>71</v>
      </c>
      <c r="F5" s="26" t="s">
        <v>72</v>
      </c>
      <c r="G5" s="112"/>
      <c r="H5" s="114"/>
    </row>
    <row r="6" spans="3:8" s="51" customFormat="1" x14ac:dyDescent="0.2">
      <c r="C6" s="55" t="s">
        <v>2</v>
      </c>
      <c r="D6" s="56">
        <f>TRec!N5</f>
        <v>2060968.25</v>
      </c>
      <c r="E6" s="28">
        <f>Adults!N5</f>
        <v>560124.5</v>
      </c>
      <c r="F6" s="56">
        <f>Children!N5</f>
        <v>1500843.75</v>
      </c>
      <c r="G6" s="57"/>
      <c r="H6" s="47"/>
    </row>
    <row r="7" spans="3:8" s="13" customFormat="1" x14ac:dyDescent="0.2">
      <c r="C7" s="52" t="s">
        <v>3</v>
      </c>
      <c r="D7" s="30">
        <f>TRec!N6</f>
        <v>13718.833333333334</v>
      </c>
      <c r="E7" s="30">
        <f>Adults!N6</f>
        <v>2573.9166666666665</v>
      </c>
      <c r="F7" s="30">
        <f>Children!N6</f>
        <v>11144.916666666666</v>
      </c>
      <c r="G7" s="113"/>
      <c r="H7" s="115"/>
    </row>
    <row r="8" spans="3:8" s="13" customFormat="1" x14ac:dyDescent="0.2">
      <c r="C8" s="52" t="s">
        <v>4</v>
      </c>
      <c r="D8" s="30">
        <f>TRec!N7</f>
        <v>3376.3333333333335</v>
      </c>
      <c r="E8" s="30">
        <f>Adults!N7</f>
        <v>1048.9166666666667</v>
      </c>
      <c r="F8" s="30">
        <f>Children!N7</f>
        <v>2327.4166666666665</v>
      </c>
      <c r="G8" s="113"/>
      <c r="H8" s="115"/>
    </row>
    <row r="9" spans="3:8" s="13" customFormat="1" x14ac:dyDescent="0.2">
      <c r="C9" s="52" t="s">
        <v>5</v>
      </c>
      <c r="D9" s="30">
        <f>TRec!N8</f>
        <v>10223.25</v>
      </c>
      <c r="E9" s="30">
        <f>Adults!N8</f>
        <v>1931.1666666666667</v>
      </c>
      <c r="F9" s="30">
        <f>Children!N8</f>
        <v>8292.0833333333339</v>
      </c>
      <c r="G9" s="113"/>
      <c r="H9" s="115"/>
    </row>
    <row r="10" spans="3:8" s="13" customFormat="1" x14ac:dyDescent="0.2">
      <c r="C10" s="52" t="s">
        <v>6</v>
      </c>
      <c r="D10" s="30">
        <f>TRec!N9</f>
        <v>2198.0833333333335</v>
      </c>
      <c r="E10" s="30">
        <f>Adults!N9</f>
        <v>567.58333333333337</v>
      </c>
      <c r="F10" s="30">
        <f>Children!N9</f>
        <v>1630.5</v>
      </c>
      <c r="G10" s="113"/>
      <c r="H10" s="115"/>
    </row>
    <row r="11" spans="3:8" s="13" customFormat="1" x14ac:dyDescent="0.2">
      <c r="C11" s="52" t="s">
        <v>7</v>
      </c>
      <c r="D11" s="30">
        <f>TRec!N10</f>
        <v>769601.25</v>
      </c>
      <c r="E11" s="30">
        <f>Adults!N10</f>
        <v>208659.08333333334</v>
      </c>
      <c r="F11" s="30">
        <f>Children!N10</f>
        <v>560942.16666666663</v>
      </c>
      <c r="G11" s="113"/>
      <c r="H11" s="115"/>
    </row>
    <row r="12" spans="3:8" s="13" customFormat="1" x14ac:dyDescent="0.2">
      <c r="C12" s="52" t="s">
        <v>8</v>
      </c>
      <c r="D12" s="30">
        <f>TRec!N11</f>
        <v>30562.666666666668</v>
      </c>
      <c r="E12" s="30">
        <f>Adults!N11</f>
        <v>8486.4166666666661</v>
      </c>
      <c r="F12" s="30">
        <f>Children!N11</f>
        <v>22076.25</v>
      </c>
      <c r="G12" s="113"/>
      <c r="H12" s="115"/>
    </row>
    <row r="13" spans="3:8" s="13" customFormat="1" x14ac:dyDescent="0.2">
      <c r="C13" s="52" t="s">
        <v>9</v>
      </c>
      <c r="D13" s="30">
        <f>TRec!N12</f>
        <v>12396.083333333334</v>
      </c>
      <c r="E13" s="30">
        <f>Adults!N12</f>
        <v>3586.25</v>
      </c>
      <c r="F13" s="30">
        <f>Children!N12</f>
        <v>8809.8333333333339</v>
      </c>
      <c r="G13" s="113"/>
      <c r="H13" s="115"/>
    </row>
    <row r="14" spans="3:8" s="13" customFormat="1" x14ac:dyDescent="0.2">
      <c r="C14" s="52" t="s">
        <v>10</v>
      </c>
      <c r="D14" s="30">
        <f>TRec!N13</f>
        <v>7191.166666666667</v>
      </c>
      <c r="E14" s="30">
        <f>Adults!N13</f>
        <v>2917.5</v>
      </c>
      <c r="F14" s="30">
        <f>Children!N13</f>
        <v>4273.666666666667</v>
      </c>
      <c r="G14" s="113"/>
      <c r="H14" s="115"/>
    </row>
    <row r="15" spans="3:8" s="13" customFormat="1" x14ac:dyDescent="0.2">
      <c r="C15" s="52" t="s">
        <v>11</v>
      </c>
      <c r="D15" s="30">
        <f>TRec!N14</f>
        <v>16211.416666666666</v>
      </c>
      <c r="E15" s="30">
        <f>Adults!N14</f>
        <v>3630.5833333333335</v>
      </c>
      <c r="F15" s="30">
        <f>Children!N14</f>
        <v>12580.833333333334</v>
      </c>
      <c r="G15" s="113"/>
      <c r="H15" s="115"/>
    </row>
    <row r="16" spans="3:8" s="13" customFormat="1" x14ac:dyDescent="0.2">
      <c r="C16" s="52" t="s">
        <v>12</v>
      </c>
      <c r="D16" s="30">
        <f>TRec!N15</f>
        <v>59806.083333333336</v>
      </c>
      <c r="E16" s="30">
        <f>Adults!N15</f>
        <v>20258.083333333332</v>
      </c>
      <c r="F16" s="30">
        <f>Children!N15</f>
        <v>39548</v>
      </c>
      <c r="G16" s="113"/>
      <c r="H16" s="115"/>
    </row>
    <row r="17" spans="3:8" s="13" customFormat="1" x14ac:dyDescent="0.2">
      <c r="C17" s="52" t="s">
        <v>13</v>
      </c>
      <c r="D17" s="30">
        <f>TRec!N16</f>
        <v>7212.5</v>
      </c>
      <c r="E17" s="30">
        <f>Adults!N16</f>
        <v>163</v>
      </c>
      <c r="F17" s="30">
        <f>Children!N16</f>
        <v>7049.5</v>
      </c>
      <c r="G17" s="113"/>
      <c r="H17" s="115"/>
    </row>
    <row r="18" spans="3:8" s="13" customFormat="1" x14ac:dyDescent="0.2">
      <c r="C18" s="52" t="s">
        <v>14</v>
      </c>
      <c r="D18" s="30">
        <f>TRec!N17</f>
        <v>429.83333333333331</v>
      </c>
      <c r="E18" s="30">
        <f>Adults!N17</f>
        <v>67.916666666666671</v>
      </c>
      <c r="F18" s="30">
        <f>Children!N17</f>
        <v>361.91666666666669</v>
      </c>
      <c r="G18" s="113"/>
      <c r="H18" s="115"/>
    </row>
    <row r="19" spans="3:8" s="13" customFormat="1" x14ac:dyDescent="0.2">
      <c r="C19" s="52" t="s">
        <v>15</v>
      </c>
      <c r="D19" s="30">
        <f>TRec!N18</f>
        <v>7800.833333333333</v>
      </c>
      <c r="E19" s="30">
        <f>Adults!N18</f>
        <v>2342.5833333333335</v>
      </c>
      <c r="F19" s="30">
        <f>Children!N18</f>
        <v>5458.25</v>
      </c>
      <c r="G19" s="113"/>
      <c r="H19" s="115"/>
    </row>
    <row r="20" spans="3:8" s="13" customFormat="1" x14ac:dyDescent="0.2">
      <c r="C20" s="52" t="s">
        <v>16</v>
      </c>
      <c r="D20" s="30">
        <f>TRec!N19</f>
        <v>2025.75</v>
      </c>
      <c r="E20" s="30">
        <f>Adults!N19</f>
        <v>23.083333333333332</v>
      </c>
      <c r="F20" s="30">
        <f>Children!N19</f>
        <v>2002.6666666666667</v>
      </c>
      <c r="G20" s="113"/>
      <c r="H20" s="115"/>
    </row>
    <row r="21" spans="3:8" s="13" customFormat="1" x14ac:dyDescent="0.2">
      <c r="C21" s="52" t="s">
        <v>17</v>
      </c>
      <c r="D21" s="30">
        <f>TRec!N20</f>
        <v>20021.75</v>
      </c>
      <c r="E21" s="30">
        <f>Adults!N20</f>
        <v>2507.0833333333335</v>
      </c>
      <c r="F21" s="30">
        <f>Children!N20</f>
        <v>17514.666666666668</v>
      </c>
      <c r="G21" s="113"/>
      <c r="H21" s="115"/>
    </row>
    <row r="22" spans="3:8" s="13" customFormat="1" x14ac:dyDescent="0.2">
      <c r="C22" s="52" t="s">
        <v>18</v>
      </c>
      <c r="D22" s="30">
        <f>TRec!N21</f>
        <v>13034.916666666666</v>
      </c>
      <c r="E22" s="30">
        <f>Adults!N21</f>
        <v>3354.5</v>
      </c>
      <c r="F22" s="30">
        <f>Children!N21</f>
        <v>9680.4166666666661</v>
      </c>
      <c r="G22" s="113"/>
      <c r="H22" s="115"/>
    </row>
    <row r="23" spans="3:8" s="13" customFormat="1" x14ac:dyDescent="0.2">
      <c r="C23" s="52" t="s">
        <v>19</v>
      </c>
      <c r="D23" s="30">
        <f>TRec!N22</f>
        <v>10203.916666666666</v>
      </c>
      <c r="E23" s="30">
        <f>Adults!N22</f>
        <v>2408.8333333333335</v>
      </c>
      <c r="F23" s="30">
        <f>Children!N22</f>
        <v>7795.083333333333</v>
      </c>
      <c r="G23" s="113"/>
      <c r="H23" s="115"/>
    </row>
    <row r="24" spans="3:8" s="13" customFormat="1" x14ac:dyDescent="0.2">
      <c r="C24" s="52" t="s">
        <v>20</v>
      </c>
      <c r="D24" s="30">
        <f>TRec!N23</f>
        <v>2933.0833333333335</v>
      </c>
      <c r="E24" s="30">
        <f>Adults!N23</f>
        <v>1493.5833333333333</v>
      </c>
      <c r="F24" s="30">
        <f>Children!N23</f>
        <v>1439.5</v>
      </c>
      <c r="G24" s="113"/>
      <c r="H24" s="115"/>
    </row>
    <row r="25" spans="3:8" s="13" customFormat="1" x14ac:dyDescent="0.2">
      <c r="C25" s="52" t="s">
        <v>21</v>
      </c>
      <c r="D25" s="30">
        <f>TRec!N24</f>
        <v>33440.333333333336</v>
      </c>
      <c r="E25" s="30">
        <f>Adults!N24</f>
        <v>7431.25</v>
      </c>
      <c r="F25" s="30">
        <f>Children!N24</f>
        <v>26009.083333333332</v>
      </c>
      <c r="G25" s="113"/>
      <c r="H25" s="115"/>
    </row>
    <row r="26" spans="3:8" s="13" customFormat="1" x14ac:dyDescent="0.2">
      <c r="C26" s="52" t="s">
        <v>22</v>
      </c>
      <c r="D26" s="30">
        <f>TRec!N25</f>
        <v>12593.166666666666</v>
      </c>
      <c r="E26" s="30">
        <f>Adults!N25</f>
        <v>2418.5</v>
      </c>
      <c r="F26" s="30">
        <f>Children!N25</f>
        <v>10174.666666666666</v>
      </c>
      <c r="G26" s="113"/>
      <c r="H26" s="115"/>
    </row>
    <row r="27" spans="3:8" s="13" customFormat="1" x14ac:dyDescent="0.2">
      <c r="C27" s="52" t="s">
        <v>23</v>
      </c>
      <c r="D27" s="30">
        <f>TRec!N26</f>
        <v>9487.9166666666661</v>
      </c>
      <c r="E27" s="30">
        <f>Adults!N26</f>
        <v>3038.9166666666665</v>
      </c>
      <c r="F27" s="30">
        <f>Children!N26</f>
        <v>6449</v>
      </c>
      <c r="G27" s="113"/>
      <c r="H27" s="115"/>
    </row>
    <row r="28" spans="3:8" s="13" customFormat="1" x14ac:dyDescent="0.2">
      <c r="C28" s="52" t="s">
        <v>24</v>
      </c>
      <c r="D28" s="30">
        <f>TRec!N27</f>
        <v>35999.5</v>
      </c>
      <c r="E28" s="30">
        <f>Adults!N27</f>
        <v>10161.333333333334</v>
      </c>
      <c r="F28" s="30">
        <f>Children!N27</f>
        <v>25838.166666666668</v>
      </c>
      <c r="G28" s="113"/>
      <c r="H28" s="115"/>
    </row>
    <row r="29" spans="3:8" s="13" customFormat="1" x14ac:dyDescent="0.2">
      <c r="C29" s="52" t="s">
        <v>25</v>
      </c>
      <c r="D29" s="30">
        <f>TRec!N28</f>
        <v>86266</v>
      </c>
      <c r="E29" s="30">
        <f>Adults!N28</f>
        <v>26033.833333333332</v>
      </c>
      <c r="F29" s="30">
        <f>Children!N28</f>
        <v>60232.166666666664</v>
      </c>
      <c r="G29" s="113"/>
      <c r="H29" s="115"/>
    </row>
    <row r="30" spans="3:8" s="13" customFormat="1" x14ac:dyDescent="0.2">
      <c r="C30" s="52" t="s">
        <v>26</v>
      </c>
      <c r="D30" s="30">
        <f>TRec!N29</f>
        <v>21230.166666666668</v>
      </c>
      <c r="E30" s="30">
        <f>Adults!N29</f>
        <v>4587.916666666667</v>
      </c>
      <c r="F30" s="30">
        <f>Children!N29</f>
        <v>16642.25</v>
      </c>
      <c r="G30" s="113"/>
      <c r="H30" s="115"/>
    </row>
    <row r="31" spans="3:8" s="13" customFormat="1" x14ac:dyDescent="0.2">
      <c r="C31" s="52" t="s">
        <v>27</v>
      </c>
      <c r="D31" s="30">
        <f>TRec!N30</f>
        <v>31087.333333333332</v>
      </c>
      <c r="E31" s="30">
        <f>Adults!N30</f>
        <v>7767.833333333333</v>
      </c>
      <c r="F31" s="30">
        <f>Children!N30</f>
        <v>23319.5</v>
      </c>
      <c r="G31" s="113"/>
      <c r="H31" s="115"/>
    </row>
    <row r="32" spans="3:8" s="13" customFormat="1" x14ac:dyDescent="0.2">
      <c r="C32" s="52" t="s">
        <v>28</v>
      </c>
      <c r="D32" s="30">
        <f>TRec!N31</f>
        <v>2517.1666666666665</v>
      </c>
      <c r="E32" s="30">
        <f>Adults!N31</f>
        <v>298.66666666666669</v>
      </c>
      <c r="F32" s="30">
        <f>Children!N31</f>
        <v>2218.5</v>
      </c>
      <c r="G32" s="113"/>
      <c r="H32" s="115"/>
    </row>
    <row r="33" spans="3:8" s="13" customFormat="1" x14ac:dyDescent="0.2">
      <c r="C33" s="52" t="s">
        <v>29</v>
      </c>
      <c r="D33" s="30">
        <f>TRec!N32</f>
        <v>11176.166666666666</v>
      </c>
      <c r="E33" s="30">
        <f>Adults!N32</f>
        <v>2380</v>
      </c>
      <c r="F33" s="30">
        <f>Children!N32</f>
        <v>8796.1666666666661</v>
      </c>
      <c r="G33" s="113"/>
      <c r="H33" s="115"/>
    </row>
    <row r="34" spans="3:8" s="13" customFormat="1" x14ac:dyDescent="0.2">
      <c r="C34" s="52" t="s">
        <v>30</v>
      </c>
      <c r="D34" s="30">
        <f>TRec!N33</f>
        <v>3588.0833333333335</v>
      </c>
      <c r="E34" s="30">
        <f>Adults!N33</f>
        <v>649.16666666666663</v>
      </c>
      <c r="F34" s="30">
        <f>Children!N33</f>
        <v>2938.9166666666665</v>
      </c>
      <c r="G34" s="113"/>
      <c r="H34" s="115"/>
    </row>
    <row r="35" spans="3:8" s="13" customFormat="1" x14ac:dyDescent="0.2">
      <c r="C35" s="52" t="s">
        <v>31</v>
      </c>
      <c r="D35" s="30">
        <f>TRec!N34</f>
        <v>5836.666666666667</v>
      </c>
      <c r="E35" s="30">
        <f>Adults!N34</f>
        <v>706.16666666666663</v>
      </c>
      <c r="F35" s="30">
        <f>Children!N34</f>
        <v>5130.5</v>
      </c>
      <c r="G35" s="113"/>
      <c r="H35" s="115"/>
    </row>
    <row r="36" spans="3:8" s="13" customFormat="1" x14ac:dyDescent="0.2">
      <c r="C36" s="52" t="s">
        <v>32</v>
      </c>
      <c r="D36" s="30">
        <f>TRec!N35</f>
        <v>13831.666666666666</v>
      </c>
      <c r="E36" s="30">
        <f>Adults!N35</f>
        <v>3549.3333333333335</v>
      </c>
      <c r="F36" s="30">
        <f>Children!N35</f>
        <v>10282.333333333334</v>
      </c>
      <c r="G36" s="113"/>
      <c r="H36" s="115"/>
    </row>
    <row r="37" spans="3:8" s="13" customFormat="1" x14ac:dyDescent="0.2">
      <c r="C37" s="52" t="s">
        <v>33</v>
      </c>
      <c r="D37" s="30">
        <f>TRec!N36</f>
        <v>5072.083333333333</v>
      </c>
      <c r="E37" s="30">
        <f>Adults!N36</f>
        <v>1055.4166666666667</v>
      </c>
      <c r="F37" s="30">
        <f>Children!N36</f>
        <v>4016.6666666666665</v>
      </c>
      <c r="G37" s="113"/>
      <c r="H37" s="115"/>
    </row>
    <row r="38" spans="3:8" s="13" customFormat="1" x14ac:dyDescent="0.2">
      <c r="C38" s="52" t="s">
        <v>34</v>
      </c>
      <c r="D38" s="30">
        <f>TRec!N37</f>
        <v>22826.833333333332</v>
      </c>
      <c r="E38" s="30">
        <f>Adults!N37</f>
        <v>6629</v>
      </c>
      <c r="F38" s="30">
        <f>Children!N37</f>
        <v>16197.833333333334</v>
      </c>
      <c r="G38" s="113"/>
      <c r="H38" s="115"/>
    </row>
    <row r="39" spans="3:8" s="13" customFormat="1" x14ac:dyDescent="0.2">
      <c r="C39" s="52" t="s">
        <v>35</v>
      </c>
      <c r="D39" s="30">
        <f>TRec!N38</f>
        <v>17147.666666666668</v>
      </c>
      <c r="E39" s="30">
        <f>Adults!N38</f>
        <v>4258.833333333333</v>
      </c>
      <c r="F39" s="30">
        <f>Children!N38</f>
        <v>12888.833333333334</v>
      </c>
      <c r="G39" s="113"/>
      <c r="H39" s="115"/>
    </row>
    <row r="40" spans="3:8" s="13" customFormat="1" x14ac:dyDescent="0.2">
      <c r="C40" s="52" t="s">
        <v>36</v>
      </c>
      <c r="D40" s="30">
        <f>TRec!N39</f>
        <v>332678.33333333331</v>
      </c>
      <c r="E40" s="30">
        <f>Adults!N39</f>
        <v>118684.08333333333</v>
      </c>
      <c r="F40" s="30">
        <f>Children!N39</f>
        <v>213994.25</v>
      </c>
      <c r="G40" s="113"/>
      <c r="H40" s="115"/>
    </row>
    <row r="41" spans="3:8" s="13" customFormat="1" x14ac:dyDescent="0.2">
      <c r="C41" s="52" t="s">
        <v>37</v>
      </c>
      <c r="D41" s="30">
        <f>TRec!N40</f>
        <v>12276.166666666666</v>
      </c>
      <c r="E41" s="30">
        <f>Adults!N40</f>
        <v>1217</v>
      </c>
      <c r="F41" s="30">
        <f>Children!N40</f>
        <v>11059.166666666666</v>
      </c>
      <c r="G41" s="113"/>
      <c r="H41" s="115"/>
    </row>
    <row r="42" spans="3:8" s="13" customFormat="1" x14ac:dyDescent="0.2">
      <c r="C42" s="52" t="s">
        <v>38</v>
      </c>
      <c r="D42" s="30">
        <f>TRec!N41</f>
        <v>1578.8333333333333</v>
      </c>
      <c r="E42" s="30">
        <f>Adults!N41</f>
        <v>275.33333333333331</v>
      </c>
      <c r="F42" s="30">
        <f>Children!N41</f>
        <v>1303.5</v>
      </c>
      <c r="G42" s="113"/>
      <c r="H42" s="115"/>
    </row>
    <row r="43" spans="3:8" s="13" customFormat="1" x14ac:dyDescent="0.2">
      <c r="C43" s="52" t="s">
        <v>39</v>
      </c>
      <c r="D43" s="30">
        <f>TRec!N42</f>
        <v>70023.083333333328</v>
      </c>
      <c r="E43" s="30">
        <f>Adults!N42</f>
        <v>7006.416666666667</v>
      </c>
      <c r="F43" s="30">
        <f>Children!N42</f>
        <v>63016.666666666664</v>
      </c>
      <c r="G43" s="113"/>
      <c r="H43" s="115"/>
    </row>
    <row r="44" spans="3:8" s="13" customFormat="1" x14ac:dyDescent="0.2">
      <c r="C44" s="52" t="s">
        <v>40</v>
      </c>
      <c r="D44" s="30">
        <f>TRec!N43</f>
        <v>7231.75</v>
      </c>
      <c r="E44" s="30">
        <f>Adults!N43</f>
        <v>796.66666666666663</v>
      </c>
      <c r="F44" s="30">
        <f>Children!N43</f>
        <v>6435.083333333333</v>
      </c>
      <c r="G44" s="113"/>
      <c r="H44" s="115"/>
    </row>
    <row r="45" spans="3:8" s="13" customFormat="1" x14ac:dyDescent="0.2">
      <c r="C45" s="52" t="s">
        <v>41</v>
      </c>
      <c r="D45" s="30">
        <f>TRec!N44</f>
        <v>41745.416666666664</v>
      </c>
      <c r="E45" s="30">
        <f>Adults!N44</f>
        <v>12300</v>
      </c>
      <c r="F45" s="30">
        <f>Children!N44</f>
        <v>29445.416666666668</v>
      </c>
      <c r="G45" s="113"/>
      <c r="H45" s="115"/>
    </row>
    <row r="46" spans="3:8" s="13" customFormat="1" x14ac:dyDescent="0.2">
      <c r="C46" s="52" t="s">
        <v>42</v>
      </c>
      <c r="D46" s="30">
        <f>TRec!N45</f>
        <v>60063.833333333336</v>
      </c>
      <c r="E46" s="30">
        <f>Adults!N45</f>
        <v>14662.833333333334</v>
      </c>
      <c r="F46" s="30">
        <f>Children!N45</f>
        <v>45401</v>
      </c>
      <c r="G46" s="113"/>
      <c r="H46" s="115"/>
    </row>
    <row r="47" spans="3:8" s="13" customFormat="1" x14ac:dyDescent="0.2">
      <c r="C47" s="52" t="s">
        <v>43</v>
      </c>
      <c r="D47" s="30">
        <f>TRec!N46</f>
        <v>6640.5</v>
      </c>
      <c r="E47" s="30">
        <f>Adults!N46</f>
        <v>2472.25</v>
      </c>
      <c r="F47" s="30">
        <f>Children!N46</f>
        <v>4168.25</v>
      </c>
      <c r="G47" s="113"/>
      <c r="H47" s="115"/>
    </row>
    <row r="48" spans="3:8" s="13" customFormat="1" x14ac:dyDescent="0.2">
      <c r="C48" s="52" t="s">
        <v>44</v>
      </c>
      <c r="D48" s="30">
        <f>TRec!N47</f>
        <v>8793.75</v>
      </c>
      <c r="E48" s="30">
        <f>Adults!N47</f>
        <v>2674.1666666666665</v>
      </c>
      <c r="F48" s="30">
        <f>Children!N47</f>
        <v>6119.583333333333</v>
      </c>
      <c r="G48" s="113"/>
      <c r="H48" s="115"/>
    </row>
    <row r="49" spans="3:17" s="13" customFormat="1" x14ac:dyDescent="0.2">
      <c r="C49" s="52" t="s">
        <v>45</v>
      </c>
      <c r="D49" s="30">
        <f>TRec!N48</f>
        <v>12971.916666666666</v>
      </c>
      <c r="E49" s="30">
        <f>Adults!N48</f>
        <v>2491.5</v>
      </c>
      <c r="F49" s="30">
        <f>Children!N48</f>
        <v>10480.416666666666</v>
      </c>
      <c r="G49" s="113"/>
      <c r="H49" s="115"/>
    </row>
    <row r="50" spans="3:17" s="13" customFormat="1" x14ac:dyDescent="0.2">
      <c r="C50" s="52" t="s">
        <v>46</v>
      </c>
      <c r="D50" s="30">
        <f>TRec!N49</f>
        <v>4997.166666666667</v>
      </c>
      <c r="E50" s="30">
        <f>Adults!N49</f>
        <v>400.83333333333331</v>
      </c>
      <c r="F50" s="30">
        <f>Children!N49</f>
        <v>4596.333333333333</v>
      </c>
      <c r="G50" s="113"/>
      <c r="H50" s="115"/>
    </row>
    <row r="51" spans="3:17" s="13" customFormat="1" x14ac:dyDescent="0.2">
      <c r="C51" s="52" t="s">
        <v>47</v>
      </c>
      <c r="D51" s="30">
        <f>TRec!N50</f>
        <v>26931.5</v>
      </c>
      <c r="E51" s="30">
        <f>Adults!N50</f>
        <v>5818.833333333333</v>
      </c>
      <c r="F51" s="30">
        <f>Children!N50</f>
        <v>21112.666666666668</v>
      </c>
      <c r="G51" s="113"/>
      <c r="H51" s="115"/>
    </row>
    <row r="52" spans="3:17" s="13" customFormat="1" x14ac:dyDescent="0.2">
      <c r="C52" s="52" t="s">
        <v>48</v>
      </c>
      <c r="D52" s="30">
        <f>TRec!N51</f>
        <v>18971.583333333332</v>
      </c>
      <c r="E52" s="30">
        <f>Adults!N51</f>
        <v>2696.6666666666665</v>
      </c>
      <c r="F52" s="30">
        <f>Children!N51</f>
        <v>16274.916666666666</v>
      </c>
      <c r="G52" s="113"/>
      <c r="H52" s="115"/>
    </row>
    <row r="53" spans="3:17" s="13" customFormat="1" x14ac:dyDescent="0.2">
      <c r="C53" s="52" t="s">
        <v>49</v>
      </c>
      <c r="D53" s="30">
        <f>TRec!N52</f>
        <v>4370.583333333333</v>
      </c>
      <c r="E53" s="30">
        <f>Adults!N52</f>
        <v>1144.9166666666667</v>
      </c>
      <c r="F53" s="30">
        <f>Children!N52</f>
        <v>3225.6666666666665</v>
      </c>
      <c r="G53" s="113"/>
      <c r="H53" s="115"/>
    </row>
    <row r="54" spans="3:17" s="13" customFormat="1" x14ac:dyDescent="0.2">
      <c r="C54" s="52" t="s">
        <v>50</v>
      </c>
      <c r="D54" s="30">
        <f>TRec!N53</f>
        <v>3473.5</v>
      </c>
      <c r="E54" s="30">
        <f>Adults!N53</f>
        <v>826.25</v>
      </c>
      <c r="F54" s="30">
        <f>Children!N53</f>
        <v>2647.25</v>
      </c>
      <c r="G54" s="113"/>
      <c r="H54" s="115"/>
    </row>
    <row r="55" spans="3:17" s="13" customFormat="1" x14ac:dyDescent="0.2">
      <c r="C55" s="52" t="s">
        <v>51</v>
      </c>
      <c r="D55" s="30">
        <f>TRec!N54</f>
        <v>181.16666666666666</v>
      </c>
      <c r="E55" s="30">
        <f>Adults!N54</f>
        <v>54</v>
      </c>
      <c r="F55" s="30">
        <f>Children!N54</f>
        <v>127.16666666666667</v>
      </c>
      <c r="G55" s="113"/>
      <c r="H55" s="115"/>
    </row>
    <row r="56" spans="3:17" s="13" customFormat="1" x14ac:dyDescent="0.2">
      <c r="C56" s="52" t="s">
        <v>52</v>
      </c>
      <c r="D56" s="30">
        <f>TRec!N55</f>
        <v>29762.166666666668</v>
      </c>
      <c r="E56" s="30">
        <f>Adults!N55</f>
        <v>6797.5</v>
      </c>
      <c r="F56" s="30">
        <f>Children!N55</f>
        <v>22964.666666666668</v>
      </c>
      <c r="G56" s="113"/>
      <c r="H56" s="115"/>
    </row>
    <row r="57" spans="3:17" s="13" customFormat="1" x14ac:dyDescent="0.2">
      <c r="C57" s="52" t="s">
        <v>53</v>
      </c>
      <c r="D57" s="30">
        <f>TRec!N56</f>
        <v>83349.25</v>
      </c>
      <c r="E57" s="30">
        <f>Adults!N56</f>
        <v>27569.083333333332</v>
      </c>
      <c r="F57" s="30">
        <f>Children!N56</f>
        <v>55780.166666666664</v>
      </c>
      <c r="G57" s="113"/>
      <c r="H57" s="115"/>
    </row>
    <row r="58" spans="3:17" s="13" customFormat="1" x14ac:dyDescent="0.2">
      <c r="C58" s="52" t="s">
        <v>54</v>
      </c>
      <c r="D58" s="30">
        <f>TRec!N57</f>
        <v>9171.9166666666661</v>
      </c>
      <c r="E58" s="30">
        <f>Adults!N57</f>
        <v>1532.9166666666667</v>
      </c>
      <c r="F58" s="30">
        <f>Children!N57</f>
        <v>7639</v>
      </c>
      <c r="G58" s="113"/>
      <c r="H58" s="115"/>
    </row>
    <row r="59" spans="3:17" s="13" customFormat="1" x14ac:dyDescent="0.2">
      <c r="C59" s="52" t="s">
        <v>55</v>
      </c>
      <c r="D59" s="30">
        <f>TRec!N58</f>
        <v>23524.583333333332</v>
      </c>
      <c r="E59" s="30">
        <f>Adults!N58</f>
        <v>3433.1666666666665</v>
      </c>
      <c r="F59" s="30">
        <f>Children!N58</f>
        <v>20091.416666666668</v>
      </c>
      <c r="G59" s="113"/>
      <c r="H59" s="115"/>
    </row>
    <row r="60" spans="3:17" s="13" customFormat="1" x14ac:dyDescent="0.2">
      <c r="C60" s="53" t="s">
        <v>56</v>
      </c>
      <c r="D60" s="33">
        <f>TRec!N59</f>
        <v>1182.75</v>
      </c>
      <c r="E60" s="33">
        <f>Adults!N59</f>
        <v>283.83333333333331</v>
      </c>
      <c r="F60" s="33">
        <f>Children!N59</f>
        <v>898.91666666666663</v>
      </c>
      <c r="G60" s="113"/>
      <c r="H60" s="115"/>
    </row>
    <row r="61" spans="3:17" x14ac:dyDescent="0.2">
      <c r="C61" s="82">
        <f>TFam!$A$3</f>
        <v>45687</v>
      </c>
      <c r="D61" s="71"/>
      <c r="E61" s="71"/>
      <c r="F61" s="71"/>
      <c r="G61" s="67"/>
      <c r="H61" s="58"/>
      <c r="I61" s="58"/>
      <c r="J61" s="58"/>
      <c r="K61" s="58"/>
      <c r="L61" s="58"/>
      <c r="M61" s="58"/>
      <c r="N61" s="58"/>
      <c r="O61" s="58"/>
      <c r="P61" s="58"/>
      <c r="Q61" s="58"/>
    </row>
    <row r="62" spans="3:17" x14ac:dyDescent="0.2">
      <c r="C62" s="59" t="s">
        <v>57</v>
      </c>
      <c r="D62" s="59"/>
      <c r="E62" s="59"/>
      <c r="F62" s="59"/>
      <c r="G62" s="98"/>
    </row>
    <row r="63" spans="3:17" x14ac:dyDescent="0.2">
      <c r="C63" s="59" t="s">
        <v>58</v>
      </c>
      <c r="D63" s="59"/>
      <c r="E63" s="59"/>
      <c r="F63" s="59"/>
      <c r="G63" s="98"/>
    </row>
    <row r="64" spans="3:17" x14ac:dyDescent="0.2">
      <c r="C64" s="59" t="str">
        <f>'FYCY2024-Families'!C64</f>
        <v>Fiscal year average is based on data Oct. 2023 through Sep. 2024</v>
      </c>
      <c r="D64" s="59"/>
      <c r="E64" s="59"/>
      <c r="F64" s="59"/>
      <c r="G64" s="98"/>
    </row>
    <row r="65" spans="3:7" x14ac:dyDescent="0.2">
      <c r="C65" s="59"/>
      <c r="D65" s="59"/>
      <c r="E65" s="59"/>
      <c r="F65" s="59"/>
      <c r="G65" s="98"/>
    </row>
    <row r="66" spans="3:7" x14ac:dyDescent="0.2">
      <c r="C66" s="59"/>
      <c r="D66" s="59"/>
      <c r="E66" s="59"/>
      <c r="F66" s="59"/>
      <c r="G66" s="98"/>
    </row>
    <row r="67" spans="3:7" x14ac:dyDescent="0.2">
      <c r="G67" s="98"/>
    </row>
    <row r="68" spans="3:7" x14ac:dyDescent="0.2">
      <c r="G68" s="54"/>
    </row>
    <row r="69" spans="3:7" x14ac:dyDescent="0.2">
      <c r="G69" s="54"/>
    </row>
    <row r="70" spans="3:7" x14ac:dyDescent="0.2">
      <c r="G70" s="54"/>
    </row>
    <row r="71" spans="3:7" x14ac:dyDescent="0.2">
      <c r="G71" s="54"/>
    </row>
    <row r="72" spans="3:7" x14ac:dyDescent="0.2">
      <c r="G72" s="54"/>
    </row>
    <row r="73" spans="3:7" x14ac:dyDescent="0.2">
      <c r="G73" s="54"/>
    </row>
    <row r="74" spans="3:7" x14ac:dyDescent="0.2">
      <c r="G74" s="54"/>
    </row>
    <row r="75" spans="3:7" x14ac:dyDescent="0.2">
      <c r="G75" s="54"/>
    </row>
    <row r="76" spans="3:7" x14ac:dyDescent="0.2">
      <c r="G76" s="54"/>
    </row>
    <row r="77" spans="3:7" x14ac:dyDescent="0.2">
      <c r="G77" s="54"/>
    </row>
    <row r="78" spans="3:7" x14ac:dyDescent="0.2">
      <c r="G78" s="54"/>
    </row>
    <row r="79" spans="3:7" x14ac:dyDescent="0.2">
      <c r="G79" s="54"/>
    </row>
    <row r="80" spans="3:7" x14ac:dyDescent="0.2">
      <c r="G80" s="54"/>
    </row>
    <row r="81" spans="7:7" x14ac:dyDescent="0.2">
      <c r="G81" s="54"/>
    </row>
    <row r="82" spans="7:7" x14ac:dyDescent="0.2">
      <c r="G82" s="54"/>
    </row>
    <row r="83" spans="7:7" x14ac:dyDescent="0.2">
      <c r="G83" s="54"/>
    </row>
    <row r="84" spans="7:7" x14ac:dyDescent="0.2">
      <c r="G84" s="54"/>
    </row>
    <row r="85" spans="7:7" x14ac:dyDescent="0.2">
      <c r="G85" s="54"/>
    </row>
    <row r="86" spans="7:7" x14ac:dyDescent="0.2">
      <c r="G86" s="54"/>
    </row>
    <row r="87" spans="7:7" x14ac:dyDescent="0.2">
      <c r="G87" s="54"/>
    </row>
    <row r="88" spans="7:7" x14ac:dyDescent="0.2">
      <c r="G88" s="54"/>
    </row>
    <row r="89" spans="7:7" x14ac:dyDescent="0.2">
      <c r="G89" s="54"/>
    </row>
    <row r="90" spans="7:7" x14ac:dyDescent="0.2">
      <c r="G90" s="54"/>
    </row>
    <row r="91" spans="7:7" x14ac:dyDescent="0.2">
      <c r="G91" s="54"/>
    </row>
    <row r="92" spans="7:7" x14ac:dyDescent="0.2">
      <c r="G92" s="54"/>
    </row>
    <row r="93" spans="7:7" x14ac:dyDescent="0.2">
      <c r="G93" s="54"/>
    </row>
    <row r="94" spans="7:7" x14ac:dyDescent="0.2">
      <c r="G94" s="54"/>
    </row>
    <row r="95" spans="7:7" x14ac:dyDescent="0.2">
      <c r="G95" s="54"/>
    </row>
    <row r="96" spans="7:7" x14ac:dyDescent="0.2">
      <c r="G96" s="54"/>
    </row>
    <row r="97" spans="7:7" x14ac:dyDescent="0.2">
      <c r="G97" s="54"/>
    </row>
    <row r="98" spans="7:7" x14ac:dyDescent="0.2">
      <c r="G98" s="54"/>
    </row>
    <row r="99" spans="7:7" x14ac:dyDescent="0.2">
      <c r="G99" s="54"/>
    </row>
    <row r="100" spans="7:7" x14ac:dyDescent="0.2">
      <c r="G100" s="54"/>
    </row>
    <row r="101" spans="7:7" x14ac:dyDescent="0.2">
      <c r="G101" s="54"/>
    </row>
    <row r="102" spans="7:7" x14ac:dyDescent="0.2">
      <c r="G102" s="54"/>
    </row>
    <row r="103" spans="7:7" x14ac:dyDescent="0.2">
      <c r="G103" s="54"/>
    </row>
    <row r="104" spans="7:7" x14ac:dyDescent="0.2">
      <c r="G104" s="54"/>
    </row>
    <row r="105" spans="7:7" x14ac:dyDescent="0.2">
      <c r="G105" s="54"/>
    </row>
    <row r="106" spans="7:7" x14ac:dyDescent="0.2">
      <c r="G106" s="54"/>
    </row>
    <row r="107" spans="7:7" x14ac:dyDescent="0.2">
      <c r="G107" s="54"/>
    </row>
    <row r="108" spans="7:7" x14ac:dyDescent="0.2">
      <c r="G108" s="54"/>
    </row>
    <row r="109" spans="7:7" x14ac:dyDescent="0.2">
      <c r="G109" s="54"/>
    </row>
    <row r="110" spans="7:7" x14ac:dyDescent="0.2">
      <c r="G110" s="54"/>
    </row>
    <row r="111" spans="7:7" x14ac:dyDescent="0.2">
      <c r="G111" s="54"/>
    </row>
    <row r="112" spans="7:7" x14ac:dyDescent="0.2">
      <c r="G112" s="54"/>
    </row>
    <row r="113" spans="7:7" x14ac:dyDescent="0.2">
      <c r="G113" s="54"/>
    </row>
    <row r="114" spans="7:7" x14ac:dyDescent="0.2">
      <c r="G114" s="54"/>
    </row>
    <row r="115" spans="7:7" x14ac:dyDescent="0.2">
      <c r="G115" s="54"/>
    </row>
    <row r="116" spans="7:7" x14ac:dyDescent="0.2">
      <c r="G116" s="54"/>
    </row>
    <row r="117" spans="7:7" x14ac:dyDescent="0.2">
      <c r="G117" s="54"/>
    </row>
    <row r="118" spans="7:7" x14ac:dyDescent="0.2">
      <c r="G118" s="54"/>
    </row>
    <row r="119" spans="7:7" x14ac:dyDescent="0.2">
      <c r="G119" s="54"/>
    </row>
    <row r="120" spans="7:7" x14ac:dyDescent="0.2">
      <c r="G120" s="54"/>
    </row>
    <row r="121" spans="7:7" x14ac:dyDescent="0.2">
      <c r="G121" s="54"/>
    </row>
    <row r="122" spans="7:7" x14ac:dyDescent="0.2">
      <c r="G122" s="54"/>
    </row>
    <row r="123" spans="7:7" x14ac:dyDescent="0.2">
      <c r="G123" s="54"/>
    </row>
    <row r="124" spans="7:7" x14ac:dyDescent="0.2">
      <c r="G124" s="54"/>
    </row>
    <row r="125" spans="7:7" x14ac:dyDescent="0.2">
      <c r="G125" s="54"/>
    </row>
    <row r="126" spans="7:7" x14ac:dyDescent="0.2">
      <c r="G126" s="54"/>
    </row>
    <row r="127" spans="7:7" x14ac:dyDescent="0.2">
      <c r="G127" s="54"/>
    </row>
    <row r="128" spans="7:7" x14ac:dyDescent="0.2">
      <c r="G128" s="54"/>
    </row>
  </sheetData>
  <pageMargins left="0.7" right="0.7" top="0.75" bottom="0.75" header="0.3" footer="0.3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List of Tables</vt:lpstr>
      <vt:lpstr>TFam</vt:lpstr>
      <vt:lpstr>Two-par</vt:lpstr>
      <vt:lpstr>One-par</vt:lpstr>
      <vt:lpstr>Zero-par</vt:lpstr>
      <vt:lpstr>TRec</vt:lpstr>
      <vt:lpstr>Adults</vt:lpstr>
      <vt:lpstr>Children</vt:lpstr>
      <vt:lpstr>Oct23</vt:lpstr>
      <vt:lpstr>Nov23</vt:lpstr>
      <vt:lpstr>Dec23</vt:lpstr>
      <vt:lpstr>Jan24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FYCY2024-Families</vt:lpstr>
      <vt:lpstr>FYCY2024-Recipients</vt:lpstr>
    </vt:vector>
  </TitlesOfParts>
  <Company>DHHS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Yun.Song@ACF.hhs.gov</dc:creator>
  <cp:lastModifiedBy>Song, Yun (ACF)</cp:lastModifiedBy>
  <dcterms:created xsi:type="dcterms:W3CDTF">2017-03-13T13:51:16Z</dcterms:created>
  <dcterms:modified xsi:type="dcterms:W3CDTF">2025-02-20T14:07:17Z</dcterms:modified>
</cp:coreProperties>
</file>