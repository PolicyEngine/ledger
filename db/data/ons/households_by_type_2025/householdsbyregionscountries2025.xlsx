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9.xml" ContentType="application/vnd.openxmlformats-officedocument.spreadsheetml.table+xml"/>
  <Override PartName="/docProps/app.xml" ContentType="application/vnd.openxmlformats-officedocument.extended-properties+xml"/>
  <Override PartName="/xl/tables/table8.xml" ContentType="application/vnd.openxmlformats-officedocument.spreadsheetml.table+xml"/>
  <Override PartName="/xl/tables/table7.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6.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fileSharing readOnlyRecommended="1"/>
  <workbookPr filterPrivacy="1" codeName="ThisWorkbook" defaultThemeVersion="166925"/>
  <xr:revisionPtr revIDLastSave="316" documentId="11_FE6C14E36BC397841FE7C877EC7FE587F7DBF9C5" xr6:coauthVersionLast="47" xr6:coauthVersionMax="47" xr10:uidLastSave="{44B298FF-4F23-47D1-8503-2476FFFF30FB}"/>
  <bookViews>
    <workbookView xWindow="-120" yWindow="-120" windowWidth="29040" windowHeight="15720" xr2:uid="{00000000-000D-0000-FFFF-FFFF00000000}"/>
  </bookViews>
  <sheets>
    <sheet name="Cover sheet" sheetId="14" r:id="rId1"/>
    <sheet name="Notes" sheetId="18" r:id="rId2"/>
    <sheet name="Statistical robustness" sheetId="19" r:id="rId3"/>
    <sheet name="Covid-19 and LFS" sheetId="16" r:id="rId4"/>
    <sheet name="North_East" sheetId="2" r:id="rId5"/>
    <sheet name="North_West" sheetId="3" r:id="rId6"/>
    <sheet name="Yorkshire_and_The_Humber" sheetId="4" r:id="rId7"/>
    <sheet name="East_Midlands" sheetId="5" r:id="rId8"/>
    <sheet name="West_Midlands" sheetId="6" r:id="rId9"/>
    <sheet name="East" sheetId="7" r:id="rId10"/>
    <sheet name="London" sheetId="8" r:id="rId11"/>
    <sheet name="South_East" sheetId="9" r:id="rId12"/>
    <sheet name="South_West" sheetId="10" r:id="rId13"/>
    <sheet name="England" sheetId="15" r:id="rId14"/>
    <sheet name="Wales" sheetId="11" r:id="rId15"/>
    <sheet name="Scotland" sheetId="12"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4" l="1"/>
  <c r="B19" i="14"/>
  <c r="B18" i="14"/>
  <c r="B17" i="14"/>
  <c r="B16" i="14"/>
  <c r="B15" i="14"/>
  <c r="B14" i="14"/>
  <c r="B13" i="14"/>
  <c r="B12" i="14"/>
  <c r="B11" i="14"/>
  <c r="B10" i="14"/>
  <c r="B9" i="14"/>
</calcChain>
</file>

<file path=xl/sharedStrings.xml><?xml version="1.0" encoding="utf-8"?>
<sst xmlns="http://schemas.openxmlformats.org/spreadsheetml/2006/main" count="2809" uniqueCount="190">
  <si>
    <t>Households by type of household and family</t>
  </si>
  <si>
    <t>Date published: 17 April 2026.</t>
  </si>
  <si>
    <t>Tabs 1 to 9 cover estimates for the nine regions of England.</t>
  </si>
  <si>
    <t xml:space="preserve">Tabs 10 to 12 cover estimates for the three nations of Great Britain. </t>
  </si>
  <si>
    <t>Table of Contents</t>
  </si>
  <si>
    <t>Table Title</t>
  </si>
  <si>
    <t>Link to table</t>
  </si>
  <si>
    <t>Households by type of household and family North East, 2015 to 2025</t>
  </si>
  <si>
    <t>Households by type of household and family North West, 2015 to 2025</t>
  </si>
  <si>
    <t>Households by type of household and family Yorkshire and The Humber, 2015 to 2025</t>
  </si>
  <si>
    <t>Households by type of household and family East Midlands, 2015 to 2025</t>
  </si>
  <si>
    <t>Households by type of household and family West Midlands, 2015 to 2025</t>
  </si>
  <si>
    <t>Households by type of household and family East, 2015 to 2025</t>
  </si>
  <si>
    <t>Households by type of household and family London, 2015 to 2025</t>
  </si>
  <si>
    <t>Households by type of household and family South East, 2015 to 2025</t>
  </si>
  <si>
    <t>Households by type of household and family South West, 2015 to 2025</t>
  </si>
  <si>
    <t>Households by type of household and family England, 2015 to 2025</t>
  </si>
  <si>
    <t>Households by type of household and family Wales, 2015 to 2025</t>
  </si>
  <si>
    <t>Households by type of household and family Scotland, 2015 to 2025</t>
  </si>
  <si>
    <t>Notes</t>
  </si>
  <si>
    <t>Source: Labour Force Survey (LFS), Office for National Statistics</t>
  </si>
  <si>
    <t>Produced by Demography Team, Office for National Statistics</t>
  </si>
  <si>
    <t>pop.info@ons.gov.uk</t>
  </si>
  <si>
    <t>The LFS is a household survey of people in the UK. It covers people in private households, NHS accommodation and students in halls of residence whose parents live in the UK, but excludes communal establishments such as prisons.</t>
  </si>
  <si>
    <t xml:space="preserve">The LFS household dataset is used for this publication, rather than the person level dataset. The design of the household datasets is such that they give the best estimates of families and households, as well as people in families and households. </t>
  </si>
  <si>
    <t>The LFS household datasets are produced quarterly. Each LFS quarter is made up of 41,000 households containing around 100,000 individuals which are made up from 5 waves.</t>
  </si>
  <si>
    <t>This publication uses the April to June quarter each year.</t>
  </si>
  <si>
    <t>Further information about the LFS:</t>
  </si>
  <si>
    <t>We no longer publish Labour Force Survey (LFS) based estimates of families and households for Northern Ireland. LFS-based estimates are still available for England, Scotland and Wales.</t>
  </si>
  <si>
    <t>These should be used when analysing household estimates at national and sub-national level. </t>
  </si>
  <si>
    <t>Household Estimates | National Records of Scotland (nrscotland.gov.uk)</t>
  </si>
  <si>
    <t>Household Estimates | GOV.WALES</t>
  </si>
  <si>
    <t>Household Projections | Northern Ireland Statistics and Research Agency (nisra.gov.uk)</t>
  </si>
  <si>
    <t xml:space="preserve">Contact </t>
  </si>
  <si>
    <t xml:space="preserve">Feedback </t>
  </si>
  <si>
    <t xml:space="preserve">It is important that the Office for National Statistics ensures that these statistics meet the needs of the people who use them. </t>
  </si>
  <si>
    <t xml:space="preserve">The Office for National Statistics would appreciate feedback on the uses and usefulness of the information provided. </t>
  </si>
  <si>
    <t xml:space="preserve">Copyright and reproduction </t>
  </si>
  <si>
    <t>© Crown copyright 2026</t>
  </si>
  <si>
    <t xml:space="preserve">You may re-use this document/publication (not including logos) free of charge in any format or medium, under the terms of the Open Government Licence v3.0. </t>
  </si>
  <si>
    <t>View this licence on The National Archives website</t>
  </si>
  <si>
    <t>Write to the Information Policy Team, The National Archives, Kew, Richmond, Surrey, TW9 4DU.</t>
  </si>
  <si>
    <t>Email: psi@nationalarchives.gov.uk</t>
  </si>
  <si>
    <t>Where we have identified any third party copyright information you will need to obtain permission from the copyright holders concerned.</t>
  </si>
  <si>
    <t>This document/publication is also available on the ONS website:</t>
  </si>
  <si>
    <t>www.ons.gov.uk</t>
  </si>
  <si>
    <t>Any enquiries regarding this document please email:</t>
  </si>
  <si>
    <t>This worksheet contains one table.</t>
  </si>
  <si>
    <t>Note number</t>
  </si>
  <si>
    <t>Note text</t>
  </si>
  <si>
    <t>For 1996 to 2010, a household is defined as a person living alone, or a group of people living at the same address who have the address as their only or main residence and either share one main meal a day or share living accommodation (or both). For 2011 onwards, it is defined as one person living alone, or a group of people (not necessarily related) living at the same address who share cooking facilities and share a living room or sitting room or dining area.</t>
  </si>
  <si>
    <t>A family is a married, civil partnered or cohabiting couple with or without children, or a lone parent with at least one child. Children may be dependent or non-dependent.</t>
  </si>
  <si>
    <t>Dependent children are those living with their parent(s) and either (a) aged under 16 years, or (b) aged 16 to 18 years in full-time education, excluding children aged 16 to 18 years who have a spouse, partner or child living in the household.</t>
  </si>
  <si>
    <t>Non-dependent children are those living with their parent(s), and either (a) aged 19 years or over, or (b) aged 16 to 18 years who are not in full-time education or who have a spouse, partner or child living in the household. Non-dependent children are sometimes called adult children.</t>
  </si>
  <si>
    <t>Families with no children are families where there are no children currently living in the family. This does not necessarily indicate that the adult(s) in the household have never had children.</t>
  </si>
  <si>
    <t>Two or more unrelated adults households do not contain either a couple or a parent with their child. Typically such households may consist of a group of friends or students, but could consist of two siblings for example.</t>
  </si>
  <si>
    <t>Multi-family households contain at least two families. The families may be related, for example a couple with their daughter and her child, or two brothers and their wives. Households where there is one family and one individual for example a married couple with their daughter and a lodger or a married couple with one elderly parent are classified as a one family household.</t>
  </si>
  <si>
    <t>The definition of a lone parent does not make any distinction between situations where a child has regular contact and/or partly resides with their other parent and a child who solely resides with and is cared for by one parent. Only the parent living with their children is included in the estimated number of lone parent families and households.</t>
  </si>
  <si>
    <t>Statistical Robustness</t>
  </si>
  <si>
    <t>The robustness of an estimate is presented in two ways:</t>
  </si>
  <si>
    <t>The coefficient of variation (CV) indicates the robustness of each estimate.</t>
  </si>
  <si>
    <r>
      <t xml:space="preserve">It is defined as </t>
    </r>
    <r>
      <rPr>
        <b/>
        <sz val="12"/>
        <rFont val="Arial"/>
        <family val="2"/>
      </rPr>
      <t xml:space="preserve">CV = (standard error ÷ estimate) * 100 </t>
    </r>
    <r>
      <rPr>
        <sz val="12"/>
        <rFont val="Arial"/>
        <family val="2"/>
      </rPr>
      <t xml:space="preserve"> where standard error is an estimate of the margin of error associated with a sample survey.</t>
    </r>
  </si>
  <si>
    <t>The coloured shading on the table indicates the precision of each estimate as follows:</t>
  </si>
  <si>
    <t xml:space="preserve">CV Value </t>
  </si>
  <si>
    <t>CV Category</t>
  </si>
  <si>
    <t>Definition of Category</t>
  </si>
  <si>
    <t>CV ≤ 5</t>
  </si>
  <si>
    <t>a</t>
  </si>
  <si>
    <t xml:space="preserve">Estimates are considered precise </t>
  </si>
  <si>
    <t>CV &gt; 5 and ≤ 10</t>
  </si>
  <si>
    <t>b</t>
  </si>
  <si>
    <t xml:space="preserve">Estimates are considered reasonably precise </t>
  </si>
  <si>
    <t>CV &gt; 10 and ≤ 20</t>
  </si>
  <si>
    <t>c</t>
  </si>
  <si>
    <t>Estimates are considered acceptable</t>
  </si>
  <si>
    <t>CV &gt; 20</t>
  </si>
  <si>
    <t>d</t>
  </si>
  <si>
    <t>Estimates are considered unreliable for practical purposes</t>
  </si>
  <si>
    <r>
      <t xml:space="preserve">Confidence intervals are also presented. CI+/- is the upper(+) and lower(-) 95% confidence interval. It is defined as </t>
    </r>
    <r>
      <rPr>
        <b/>
        <sz val="12"/>
        <color indexed="8"/>
        <rFont val="Arial"/>
        <family val="2"/>
      </rPr>
      <t>1.96 x standard error</t>
    </r>
    <r>
      <rPr>
        <sz val="12"/>
        <color indexed="8"/>
        <rFont val="Arial"/>
        <family val="2"/>
      </rPr>
      <t xml:space="preserve">. </t>
    </r>
  </si>
  <si>
    <t xml:space="preserve">The confidence interval provides an estimated range of values in which an actual data value is likely to fall 95% of the time. </t>
  </si>
  <si>
    <t>The wider the confidence interval (relative to the estimate) the more uncertainty there is around the estimate. </t>
  </si>
  <si>
    <t xml:space="preserve">The statistics produced are estimates of occurrence, meaning confidence intervals should only result in positive values, that is there cannot be a </t>
  </si>
  <si>
    <t xml:space="preserve">negative number of households or families. However, there may be instances where a derived lower confidence bound provides a negative value. </t>
  </si>
  <si>
    <t xml:space="preserve">If you are calculating the confidence bounds based on the statistics provided in this dataset, please bear this in mind and, where this occurs, set </t>
  </si>
  <si>
    <t>the lower confidence bound to zero. For more information about measures of uncertainty, please see:</t>
  </si>
  <si>
    <t>Uncertainty and how we measure it for our surveys</t>
  </si>
  <si>
    <t>Coronavirus and Families and Households Statistics                                                                                </t>
  </si>
  <si>
    <t>The coronavirus (COVID-19) pandemic has affected the data collection and weighting methodology of the Labour Force Survey (LFS). As a result, all face-to-face interviewing for the LFS was suspended and replaced with telephone interviewing.</t>
  </si>
  <si>
    <t>This change in the method for initial contact has changed the non-response bias of the survey, affecting interviews from March 2020 onwards.</t>
  </si>
  <si>
    <t xml:space="preserve">To mitigate the impact of the change in non-response bias, in October 2020, we introduced housing tenure into the LFS weighting methodology for periods from January to March 2020 onwards. </t>
  </si>
  <si>
    <t>LFS responses are usually weighted to official population projections however LFS responses published from 15 July 2021 have been reweighted to new populations using growth rates from HM Revenue and Customs (HMRC) Real Time Information (RTI).</t>
  </si>
  <si>
    <t>This is to allow for different trends during the coronavirus pandemic. The reweighting gives improved estimates of both rates and levels.</t>
  </si>
  <si>
    <t>In June 2022, a further reweight of the LFS data was carried out using updated RTI information. This gave new weighted data for the LFS for both 2020 and 2021. Estimates and CIs for 2020 and 2021 will be different from those previously published. </t>
  </si>
  <si>
    <t>To analyse the impact of this reweighting on the LFS, we published an accompanying article which discussed the impact on key indicators such as nationality, employment and inactivity.</t>
  </si>
  <si>
    <t>Further information can be found by following the links below:</t>
  </si>
  <si>
    <t>Coronavirus and its impact on the LFS</t>
  </si>
  <si>
    <t>Measuring the labour market during the pandemic</t>
  </si>
  <si>
    <t>Understanding the impact of COVID-19 on UK population</t>
  </si>
  <si>
    <t>Key LFS indicators using both old and new weighting methodology</t>
  </si>
  <si>
    <t>The impact of reweighting on Labour Force Survey key indicators: 2022.</t>
  </si>
  <si>
    <t>North East, 2015 to 2025</t>
  </si>
  <si>
    <t>This worksheet contains one table. The table contains estimates of the number of households by the number and relationships of people living within the household, for North East England.</t>
  </si>
  <si>
    <t>Totals may not sum due to rounding.</t>
  </si>
  <si>
    <t xml:space="preserve">Some cells refer to notes which can be found in the 'Notes' worksheet. </t>
  </si>
  <si>
    <t>If you wish to provide feedback on this table please click on one of the three options below:</t>
  </si>
  <si>
    <t>This met my needs, please produce it next year</t>
  </si>
  <si>
    <t>I need something slightly different (please specify)</t>
  </si>
  <si>
    <t>This isn't what I need at all (please specify)</t>
  </si>
  <si>
    <r>
      <t xml:space="preserve">Number of households </t>
    </r>
    <r>
      <rPr>
        <sz val="12"/>
        <rFont val="Arial"/>
        <family val="2"/>
      </rPr>
      <t>(thousands)</t>
    </r>
    <r>
      <rPr>
        <b/>
        <sz val="12"/>
        <rFont val="Arial"/>
        <family val="2"/>
      </rPr>
      <t xml:space="preserve"> </t>
    </r>
    <r>
      <rPr>
        <sz val="12"/>
        <rFont val="Arial"/>
        <family val="2"/>
      </rPr>
      <t>[note 1]</t>
    </r>
  </si>
  <si>
    <t>2025 Estimate</t>
  </si>
  <si>
    <t>2025 CV</t>
  </si>
  <si>
    <t>2025 CI+/-</t>
  </si>
  <si>
    <t>2024 Estimate</t>
  </si>
  <si>
    <t>2024 CV</t>
  </si>
  <si>
    <t>2024 CI+/-</t>
  </si>
  <si>
    <t>2023 Estimate</t>
  </si>
  <si>
    <t>2023 CV</t>
  </si>
  <si>
    <t>2023 CI+/-</t>
  </si>
  <si>
    <t>2022 Estimate</t>
  </si>
  <si>
    <t>2022 CV</t>
  </si>
  <si>
    <t>2022 CI +/-</t>
  </si>
  <si>
    <t>2021 Estimate</t>
  </si>
  <si>
    <t>2021 CV</t>
  </si>
  <si>
    <t>2021 CI +/-</t>
  </si>
  <si>
    <t>2020 Estimate</t>
  </si>
  <si>
    <t>2020 CV</t>
  </si>
  <si>
    <t>2020 CI +/-</t>
  </si>
  <si>
    <t>2019 Estimate</t>
  </si>
  <si>
    <t>2019 CV</t>
  </si>
  <si>
    <t>2019 CI +/-</t>
  </si>
  <si>
    <t>2018 Estimate</t>
  </si>
  <si>
    <t>2018 CV</t>
  </si>
  <si>
    <t>2018 CI +/-</t>
  </si>
  <si>
    <t>2017 Estimate</t>
  </si>
  <si>
    <t>2017 CV</t>
  </si>
  <si>
    <t>2017 CI +/-</t>
  </si>
  <si>
    <t>2016 Estimate</t>
  </si>
  <si>
    <t>2016 CV</t>
  </si>
  <si>
    <t>2016 CI +/-</t>
  </si>
  <si>
    <t>2015 Estimate</t>
  </si>
  <si>
    <t>2015 CV</t>
  </si>
  <si>
    <t>2015 CI +/-</t>
  </si>
  <si>
    <t>One person households</t>
  </si>
  <si>
    <t xml:space="preserve">   Under 65</t>
  </si>
  <si>
    <t xml:space="preserve">   65 or over</t>
  </si>
  <si>
    <t>Two or more unrelated adults [note 6]</t>
  </si>
  <si>
    <t>One family households [note 2] [note 7]</t>
  </si>
  <si>
    <t xml:space="preserve">   Couple</t>
  </si>
  <si>
    <t xml:space="preserve">      No children [note 5]</t>
  </si>
  <si>
    <t xml:space="preserve">      1 to 2 dependent children [note 3]</t>
  </si>
  <si>
    <t xml:space="preserve">      3 or more dependent children [note 3]</t>
  </si>
  <si>
    <t xml:space="preserve">      Non-dependent children only [note 4]</t>
  </si>
  <si>
    <t xml:space="preserve">   Lone parent [note 8]</t>
  </si>
  <si>
    <t xml:space="preserve">      Dependent children [note 3]</t>
  </si>
  <si>
    <t>Multi-family households [note 2] [note 7]</t>
  </si>
  <si>
    <t>All households</t>
  </si>
  <si>
    <t>North West, 2015 to 2025</t>
  </si>
  <si>
    <t>This worksheet contains one table. The table contains estimates of the number of households by the number and relationships of people living within the household, for North West England.</t>
  </si>
  <si>
    <t>Yorkshire and The Humber, 2015 to 2025</t>
  </si>
  <si>
    <t>This worksheet contains one table. The table contains estimates of the number of households by the number and relationships of people living within the household, for Yorkshire and The Humber.</t>
  </si>
  <si>
    <t>East Midlands, 2015 to 2025</t>
  </si>
  <si>
    <t>This worksheet contains one table. The table contains estimates of the number of households by the number and relationships of people living within the household, for East Midlands.</t>
  </si>
  <si>
    <t>West Midlands, 2015 to 2025</t>
  </si>
  <si>
    <t>This worksheet contains one table. The table contains estimates of the number of households by the number and relationships of people living within the household, for West Midlands.</t>
  </si>
  <si>
    <t>East, 2015 to 2025</t>
  </si>
  <si>
    <t>This worksheet contains one table. The table contains estimates of the number of households by the number and relationships of people living within the household, for East England.</t>
  </si>
  <si>
    <t>London, 2015 to 2025</t>
  </si>
  <si>
    <t>This worksheet contains one table. The table contains estimates of the number of households by the number and relationships of people living within the household, for London.</t>
  </si>
  <si>
    <t>South East, 2015 to 2025</t>
  </si>
  <si>
    <t>This worksheet contains one table. The table contains estimates of the number of households by the number and relationships of people living within the household, for South East England.</t>
  </si>
  <si>
    <t>South West, 2015 to 2025</t>
  </si>
  <si>
    <t>This worksheet contains one table. The table contains estimates of the number of households by the number and relationships of people living within the household, for South West England.</t>
  </si>
  <si>
    <t>England, 2015 to 2025</t>
  </si>
  <si>
    <t>This worksheet contains one table. The table contains estimates of the number of households by the number and relationships of people living within the household, for England.</t>
  </si>
  <si>
    <t>Wales, 2015 to 2025</t>
  </si>
  <si>
    <t>This worksheet contains one table. The table contains estimates of the number of households by the number and relationships of people living within the household, for Wales.</t>
  </si>
  <si>
    <r>
      <t xml:space="preserve">Number of households </t>
    </r>
    <r>
      <rPr>
        <sz val="12"/>
        <rFont val="Arial"/>
        <family val="2"/>
      </rPr>
      <t>(thousands) [note 1]</t>
    </r>
  </si>
  <si>
    <t>Scotland, 2015 to 2025</t>
  </si>
  <si>
    <t>This worksheet contains one table. The table contains estimates of the number of households by the number and relationships of people living within the household, for Scotland.</t>
  </si>
  <si>
    <t>b</t>
  </si>
  <si>
    <t>c</t>
  </si>
  <si>
    <t>d</t>
  </si>
  <si>
    <t>a</t>
  </si>
  <si>
    <t>This spreadsheet contains 12 tables.</t>
  </si>
  <si>
    <t>All tables cover estimates of the number of households by the number and relationships of people living within the household, for 2015 to 2025.</t>
  </si>
  <si>
    <t>Families and Households Quality and Methodology Guide (QMG)</t>
  </si>
  <si>
    <t>National Records of Scotland (NRS), the Welsh Government and Northern Ireland Statistics and Research Agency (NISRA) publish the official estimates of households for Scotland, Wales and Northern Ireland, respectively.</t>
  </si>
  <si>
    <t>These should be used when making comparisons with estimates for the UK as a whole, or across GB countries.</t>
  </si>
  <si>
    <t>CV is the coefficient of variation. This is a measure of statistical robustness. To understand the codes used, see the 'Statistical robustness' worksheet.</t>
  </si>
  <si>
    <t>CI+/- is the upper(+) and lower(-) 95% confidence interval. The confidence interval provides an estimated range of values in which an actual data value is likely to fall 95% of the time. For more information, see 'Statistical robustness'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</si>
</sst>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_ ;\-#,##0\ "/>
  </numFmts>
  <fonts count="22" x14ac:knownFonts="1">
    <font>
      <sz val="12"/>
      <color theme="1"/>
      <name val="Arial"/>
      <family val="2"/>
    </font>
    <font>
      <sz val="12"/>
      <color theme="1"/>
      <name val="Arial"/>
      <family val="2"/>
    </font>
    <font>
      <u/>
      <sz val="12"/>
      <color rgb="FF0000FF"/>
      <name val="Arial"/>
      <family val="2"/>
    </font>
    <font>
      <b/>
      <sz val="12"/>
      <color theme="1"/>
      <name val="Arial"/>
      <family val="2"/>
    </font>
    <font>
      <sz val="15"/>
      <color theme="1"/>
      <name val="Arial"/>
      <family val="2"/>
    </font>
    <font>
      <b/>
      <sz val="13"/>
      <color theme="1"/>
      <name val="Arial"/>
      <family val="2"/>
    </font>
    <font>
      <u/>
      <sz val="12"/>
      <color theme="10"/>
      <name val="Arial"/>
      <family val="2"/>
    </font>
    <font>
      <sz val="12"/>
      <color theme="1"/>
      <name val="Arial"/>
      <family val="2"/>
    </font>
    <font>
      <b/>
      <sz val="15"/>
      <color theme="1"/>
      <name val="Arial"/>
      <family val="2"/>
    </font>
    <font>
      <sz val="12"/>
      <color rgb="FF000000"/>
      <name val="Arial"/>
      <family val="2"/>
    </font>
    <font>
      <sz val="10"/>
      <color theme="1"/>
      <name val="Arial"/>
      <family val="2"/>
    </font>
    <font>
      <sz val="12"/>
      <color theme="1"/>
      <name val="Calibri"/>
      <family val="2"/>
      <scheme val="minor"/>
    </font>
    <font>
      <sz val="15"/>
      <color rgb="FF000000"/>
      <name val="Arial"/>
      <family val="2"/>
    </font>
    <font>
      <sz val="12"/>
      <color rgb="FF000000"/>
      <name val="Calibri"/>
      <family val="2"/>
    </font>
    <font>
      <sz val="12"/>
      <color rgb="FFFF0000"/>
      <name val="Calibri"/>
      <family val="2"/>
      <scheme val="minor"/>
    </font>
    <font>
      <sz val="12"/>
      <color rgb="FFFF0000"/>
      <name val="Arial"/>
      <family val="2"/>
    </font>
    <font>
      <b/>
      <sz val="12"/>
      <name val="Arial"/>
      <family val="2"/>
    </font>
    <font>
      <sz val="12"/>
      <name val="Arial"/>
      <family val="2"/>
    </font>
    <font>
      <b/>
      <sz val="12"/>
      <color indexed="8"/>
      <name val="Arial"/>
      <family val="2"/>
    </font>
    <font>
      <sz val="12"/>
      <color indexed="8"/>
      <name val="Arial"/>
      <family val="2"/>
    </font>
    <font>
      <b/>
      <sz val="15"/>
      <name val="Arial"/>
      <family val="2"/>
    </font>
    <font>
      <b/>
      <sz val="13"/>
      <name val="Arial"/>
      <family val="2"/>
    </font>
  </fonts>
  <fills count="10">
    <fill>
      <patternFill patternType="none"/>
    </fill>
    <fill>
      <patternFill patternType="gray125"/>
    </fill>
    <fill>
      <patternFill patternType="solid">
        <fgColor indexed="9"/>
        <bgColor indexed="64"/>
      </patternFill>
    </fill>
    <fill>
      <patternFill patternType="solid">
        <fgColor rgb="FF667788"/>
        <bgColor indexed="64"/>
      </patternFill>
    </fill>
    <fill>
      <patternFill patternType="solid">
        <fgColor rgb="FF6161FF"/>
        <bgColor indexed="64"/>
      </patternFill>
    </fill>
    <fill>
      <patternFill patternType="solid">
        <fgColor rgb="FF008855"/>
        <bgColor indexed="64"/>
      </patternFill>
    </fill>
    <fill>
      <patternFill patternType="solid">
        <fgColor theme="0"/>
        <bgColor indexed="64"/>
      </patternFill>
    </fill>
    <fill>
      <patternFill patternType="solid">
        <fgColor rgb="FF008855"/>
      </patternFill>
    </fill>
    <fill>
      <patternFill patternType="solid">
        <fgColor rgb="FF6161FF"/>
      </patternFill>
    </fill>
    <fill>
      <patternFill patternType="solid">
        <fgColor rgb="FF667788"/>
      </patternFill>
    </fill>
  </fills>
  <borders count="20">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bottom style="thin">
        <color indexed="64"/>
      </bottom>
      <diagonal/>
    </border>
    <border>
      <left style="thin">
        <color rgb="FF000000"/>
      </left>
      <right/>
      <top style="thin">
        <color indexed="64"/>
      </top>
      <bottom/>
      <diagonal/>
    </border>
    <border>
      <left style="thin">
        <color rgb="FF000000"/>
      </left>
      <right/>
      <top style="thin">
        <color indexed="64"/>
      </top>
      <bottom style="thin">
        <color indexed="64"/>
      </bottom>
      <diagonal/>
    </border>
  </borders>
  <cellStyleXfs count="6">
    <xf numFmtId="0" fontId="0" fillId="0" borderId="0"/>
    <xf numFmtId="0" fontId="2" fillId="0" borderId="0" applyNumberFormat="0" applyFill="0" applyBorder="0" applyAlignment="0" applyProtection="0"/>
    <xf numFmtId="43" fontId="1" fillId="0" borderId="0" applyFont="0" applyFill="0" applyBorder="0" applyAlignment="0" applyProtection="0"/>
    <xf numFmtId="0" fontId="20" fillId="0" borderId="0" applyNumberFormat="0" applyFill="0" applyAlignment="0" applyProtection="0"/>
    <xf numFmtId="0" fontId="21" fillId="0" borderId="0" applyNumberFormat="0" applyFill="0" applyAlignment="0" applyProtection="0"/>
    <xf numFmtId="0" fontId="16" fillId="0" borderId="0" applyNumberFormat="0" applyFill="0" applyAlignment="0" applyProtection="0"/>
  </cellStyleXfs>
  <cellXfs count="280">
    <xf numFmtId="0" fontId="0" fillId="0" borderId="0" xfId="0"/>
    <xf numFmtId="0" fontId="1" fillId="0" borderId="0" xfId="0" applyFont="1" applyAlignment="1">
      <alignment horizontal="right" vertical="center"/>
    </xf>
    <xf numFmtId="0" fontId="1" fillId="0" borderId="0" xfId="0" applyFont="1" applyAlignment="1">
      <alignment vertical="top"/>
    </xf>
    <xf numFmtId="0" fontId="1" fillId="0" borderId="0" xfId="0" applyFont="1"/>
    <xf numFmtId="0" fontId="1"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0" fontId="1" fillId="0" borderId="0" xfId="0" applyFont="1" applyAlignment="1">
      <alignment wrapText="1"/>
    </xf>
    <xf numFmtId="0" fontId="6" fillId="0" borderId="0" xfId="0" applyFont="1" applyAlignment="1">
      <alignment horizontal="left" vertical="center"/>
    </xf>
    <xf numFmtId="0" fontId="1" fillId="0" borderId="0" xfId="0" applyFont="1" applyAlignment="1">
      <alignment vertical="center" wrapText="1"/>
    </xf>
    <xf numFmtId="0" fontId="5" fillId="0" borderId="0" xfId="0" applyFont="1" applyAlignment="1">
      <alignment horizontal="right" vertical="center"/>
    </xf>
    <xf numFmtId="0" fontId="6" fillId="0" borderId="0" xfId="0" applyFont="1" applyAlignment="1">
      <alignment horizontal="left"/>
    </xf>
    <xf numFmtId="3" fontId="5" fillId="0" borderId="0" xfId="0" applyNumberFormat="1" applyFont="1" applyAlignment="1">
      <alignment horizontal="right" vertical="center" wrapText="1"/>
    </xf>
    <xf numFmtId="0" fontId="1" fillId="0" borderId="0" xfId="0" applyFont="1" applyAlignment="1">
      <alignment horizontal="left"/>
    </xf>
    <xf numFmtId="0" fontId="1" fillId="0" borderId="0" xfId="0" applyFont="1" applyAlignment="1">
      <alignment horizontal="left" wrapText="1"/>
    </xf>
    <xf numFmtId="0" fontId="1" fillId="0" borderId="0" xfId="0" applyFont="1" applyAlignment="1">
      <alignment horizontal="left" vertical="top" wrapText="1"/>
    </xf>
    <xf numFmtId="0" fontId="1" fillId="0" borderId="0" xfId="0" applyFont="1" applyAlignment="1">
      <alignment horizontal="left" vertical="top"/>
    </xf>
    <xf numFmtId="0" fontId="1" fillId="0" borderId="1" xfId="0" applyFont="1" applyBorder="1" applyAlignment="1">
      <alignment horizontal="center" vertical="center"/>
    </xf>
    <xf numFmtId="0" fontId="1" fillId="0" borderId="2" xfId="0" applyFont="1" applyBorder="1" applyAlignment="1">
      <alignment wrapText="1"/>
    </xf>
    <xf numFmtId="0" fontId="1" fillId="0" borderId="2" xfId="0" applyFont="1" applyBorder="1" applyAlignment="1">
      <alignment vertical="top" wrapText="1"/>
    </xf>
    <xf numFmtId="0" fontId="5" fillId="0" borderId="3" xfId="0" applyFont="1" applyBorder="1"/>
    <xf numFmtId="0" fontId="5" fillId="0" borderId="4" xfId="0" applyFont="1" applyBorder="1"/>
    <xf numFmtId="0" fontId="1" fillId="3" borderId="5" xfId="0" applyFont="1" applyFill="1" applyBorder="1" applyAlignment="1">
      <alignment horizontal="center" vertical="center"/>
    </xf>
    <xf numFmtId="0" fontId="1" fillId="3" borderId="3" xfId="0" applyFont="1" applyFill="1" applyBorder="1" applyAlignment="1">
      <alignment vertical="center"/>
    </xf>
    <xf numFmtId="0" fontId="1" fillId="4" borderId="6" xfId="0" applyFont="1" applyFill="1" applyBorder="1" applyAlignment="1">
      <alignment horizontal="right"/>
    </xf>
    <xf numFmtId="0" fontId="1" fillId="4" borderId="7" xfId="0" applyFont="1" applyFill="1" applyBorder="1"/>
    <xf numFmtId="0" fontId="1" fillId="5" borderId="0" xfId="0" applyFont="1" applyFill="1" applyAlignment="1">
      <alignment horizontal="center" vertical="center"/>
    </xf>
    <xf numFmtId="0" fontId="1" fillId="4" borderId="0" xfId="0" applyFont="1" applyFill="1" applyAlignment="1">
      <alignment horizontal="center"/>
    </xf>
    <xf numFmtId="0" fontId="3" fillId="0" borderId="0" xfId="0" applyFont="1" applyAlignment="1">
      <alignment horizontal="right"/>
    </xf>
    <xf numFmtId="0" fontId="3" fillId="0" borderId="0" xfId="0" applyFont="1"/>
    <xf numFmtId="0" fontId="1" fillId="0" borderId="8" xfId="0" applyFont="1" applyBorder="1" applyAlignment="1">
      <alignment horizontal="right" vertical="center"/>
    </xf>
    <xf numFmtId="0" fontId="1" fillId="0" borderId="9" xfId="0" applyFont="1" applyBorder="1" applyAlignment="1">
      <alignment vertical="center"/>
    </xf>
    <xf numFmtId="0" fontId="8" fillId="0" borderId="0" xfId="0" applyFont="1"/>
    <xf numFmtId="0" fontId="1" fillId="0" borderId="10" xfId="0" applyFont="1" applyBorder="1" applyAlignment="1">
      <alignment horizontal="center" vertical="center"/>
    </xf>
    <xf numFmtId="0" fontId="1" fillId="5" borderId="6" xfId="0" applyFont="1" applyFill="1" applyBorder="1" applyAlignment="1">
      <alignment horizontal="right" vertical="center"/>
    </xf>
    <xf numFmtId="0" fontId="1" fillId="5" borderId="7" xfId="0" applyFont="1" applyFill="1" applyBorder="1" applyAlignment="1">
      <alignment vertical="center"/>
    </xf>
    <xf numFmtId="0" fontId="1" fillId="3" borderId="4" xfId="0" applyFont="1" applyFill="1" applyBorder="1" applyAlignment="1">
      <alignment horizontal="right" vertical="center"/>
    </xf>
    <xf numFmtId="0" fontId="1" fillId="0" borderId="0" xfId="0" applyFont="1" applyAlignment="1">
      <alignment horizontal="left" vertical="center"/>
    </xf>
    <xf numFmtId="0" fontId="1" fillId="0" borderId="12" xfId="0" applyFont="1" applyBorder="1" applyAlignment="1">
      <alignment horizontal="left" vertical="center"/>
    </xf>
    <xf numFmtId="0" fontId="1" fillId="0" borderId="10" xfId="0" applyFont="1" applyBorder="1" applyAlignment="1">
      <alignment horizontal="left" vertical="center"/>
    </xf>
    <xf numFmtId="0" fontId="1" fillId="0" borderId="5" xfId="0" applyFont="1" applyBorder="1" applyAlignment="1">
      <alignment horizontal="left" vertical="center"/>
    </xf>
    <xf numFmtId="0" fontId="3" fillId="0" borderId="12" xfId="0" applyFont="1" applyBorder="1" applyAlignment="1">
      <alignment horizontal="right" vertical="center" wrapText="1"/>
    </xf>
    <xf numFmtId="0" fontId="3" fillId="0" borderId="1" xfId="0" applyFont="1" applyBorder="1" applyAlignment="1">
      <alignment horizontal="right" vertical="center" wrapText="1"/>
    </xf>
    <xf numFmtId="0" fontId="9" fillId="0" borderId="0" xfId="0" applyFont="1" applyAlignment="1">
      <alignment horizontal="right"/>
    </xf>
    <xf numFmtId="0" fontId="1" fillId="0" borderId="5" xfId="0" applyFont="1" applyBorder="1" applyAlignment="1">
      <alignment horizontal="right"/>
    </xf>
    <xf numFmtId="0" fontId="9" fillId="0" borderId="5" xfId="0" applyFont="1" applyBorder="1" applyAlignment="1">
      <alignment horizontal="right"/>
    </xf>
    <xf numFmtId="0" fontId="1" fillId="0" borderId="10" xfId="0" applyFont="1" applyBorder="1" applyAlignment="1">
      <alignment horizontal="right"/>
    </xf>
    <xf numFmtId="0" fontId="3" fillId="0" borderId="0" xfId="0" applyFont="1" applyAlignment="1">
      <alignment horizontal="left" vertical="center"/>
    </xf>
    <xf numFmtId="0" fontId="9" fillId="0" borderId="10" xfId="0" applyFont="1" applyBorder="1" applyAlignment="1">
      <alignment horizontal="right"/>
    </xf>
    <xf numFmtId="0" fontId="1" fillId="0" borderId="12" xfId="0" applyFont="1" applyBorder="1" applyAlignment="1">
      <alignment horizontal="right"/>
    </xf>
    <xf numFmtId="3" fontId="9" fillId="0" borderId="2" xfId="0" applyNumberFormat="1" applyFont="1" applyBorder="1" applyAlignment="1">
      <alignment horizontal="right"/>
    </xf>
    <xf numFmtId="0" fontId="9" fillId="0" borderId="12" xfId="0" applyFont="1" applyBorder="1" applyAlignment="1">
      <alignment horizontal="right"/>
    </xf>
    <xf numFmtId="3" fontId="9" fillId="0" borderId="4" xfId="0" applyNumberFormat="1" applyFont="1" applyBorder="1" applyAlignment="1">
      <alignment horizontal="right"/>
    </xf>
    <xf numFmtId="3" fontId="1" fillId="0" borderId="6" xfId="0" applyNumberFormat="1" applyFont="1" applyBorder="1" applyAlignment="1">
      <alignment horizontal="right"/>
    </xf>
    <xf numFmtId="3" fontId="9" fillId="0" borderId="6" xfId="0" applyNumberFormat="1" applyFont="1" applyBorder="1" applyAlignment="1">
      <alignment horizontal="right"/>
    </xf>
    <xf numFmtId="0" fontId="1" fillId="0" borderId="0" xfId="0" applyFont="1" applyAlignment="1">
      <alignment horizontal="right"/>
    </xf>
    <xf numFmtId="0" fontId="3" fillId="0" borderId="2" xfId="0" applyFont="1" applyBorder="1" applyAlignment="1">
      <alignment horizontal="right" vertical="center" wrapText="1"/>
    </xf>
    <xf numFmtId="0" fontId="3" fillId="0" borderId="2" xfId="0" applyFont="1" applyBorder="1" applyAlignment="1">
      <alignment horizontal="left" vertical="center" wrapText="1"/>
    </xf>
    <xf numFmtId="1" fontId="3" fillId="0" borderId="2" xfId="0" applyNumberFormat="1" applyFont="1" applyBorder="1" applyAlignment="1">
      <alignment horizontal="right" vertical="center" wrapText="1"/>
    </xf>
    <xf numFmtId="2" fontId="3" fillId="0" borderId="1" xfId="0" applyNumberFormat="1" applyFont="1" applyBorder="1" applyAlignment="1">
      <alignment horizontal="right" vertical="center" wrapText="1"/>
    </xf>
    <xf numFmtId="2" fontId="3" fillId="0" borderId="2" xfId="0" applyNumberFormat="1" applyFont="1" applyBorder="1" applyAlignment="1">
      <alignment horizontal="right" vertical="center" wrapText="1"/>
    </xf>
    <xf numFmtId="1" fontId="3" fillId="0" borderId="1" xfId="0" applyNumberFormat="1" applyFont="1" applyBorder="1" applyAlignment="1">
      <alignment horizontal="right" vertical="center" wrapText="1"/>
    </xf>
    <xf numFmtId="1" fontId="9" fillId="5" borderId="8" xfId="0" applyNumberFormat="1" applyFont="1" applyFill="1" applyBorder="1" applyAlignment="1">
      <alignment horizontal="right"/>
    </xf>
    <xf numFmtId="1" fontId="9" fillId="5" borderId="6" xfId="0" applyNumberFormat="1" applyFont="1" applyFill="1" applyBorder="1" applyAlignment="1">
      <alignment horizontal="right"/>
    </xf>
    <xf numFmtId="1" fontId="1" fillId="4" borderId="6" xfId="0" applyNumberFormat="1" applyFont="1" applyFill="1" applyBorder="1" applyAlignment="1">
      <alignment horizontal="right"/>
    </xf>
    <xf numFmtId="1" fontId="1" fillId="3" borderId="2" xfId="0" applyNumberFormat="1" applyFont="1" applyFill="1" applyBorder="1" applyAlignment="1">
      <alignment horizontal="right"/>
    </xf>
    <xf numFmtId="1" fontId="1" fillId="4" borderId="4" xfId="0" applyNumberFormat="1" applyFont="1" applyFill="1" applyBorder="1" applyAlignment="1">
      <alignment horizontal="right"/>
    </xf>
    <xf numFmtId="1" fontId="1" fillId="3" borderId="6" xfId="0" applyNumberFormat="1" applyFont="1" applyFill="1" applyBorder="1" applyAlignment="1">
      <alignment horizontal="right"/>
    </xf>
    <xf numFmtId="1" fontId="1" fillId="0" borderId="2" xfId="0" applyNumberFormat="1" applyFont="1" applyBorder="1" applyAlignment="1">
      <alignment horizontal="right"/>
    </xf>
    <xf numFmtId="1" fontId="1" fillId="0" borderId="8" xfId="0" applyNumberFormat="1" applyFont="1" applyBorder="1" applyAlignment="1">
      <alignment horizontal="right"/>
    </xf>
    <xf numFmtId="1" fontId="1" fillId="5" borderId="6" xfId="0" applyNumberFormat="1" applyFont="1" applyFill="1" applyBorder="1" applyAlignment="1">
      <alignment horizontal="right"/>
    </xf>
    <xf numFmtId="1" fontId="1" fillId="5" borderId="8" xfId="0" applyNumberFormat="1" applyFont="1" applyFill="1" applyBorder="1" applyAlignment="1">
      <alignment horizontal="right"/>
    </xf>
    <xf numFmtId="1" fontId="1" fillId="0" borderId="4" xfId="0" applyNumberFormat="1" applyFont="1" applyBorder="1" applyAlignment="1">
      <alignment horizontal="right"/>
    </xf>
    <xf numFmtId="1" fontId="1" fillId="0" borderId="7" xfId="0" applyNumberFormat="1" applyFont="1" applyBorder="1" applyAlignment="1">
      <alignment horizontal="right"/>
    </xf>
    <xf numFmtId="1" fontId="1" fillId="0" borderId="1" xfId="0" applyNumberFormat="1" applyFont="1" applyBorder="1" applyAlignment="1">
      <alignment horizontal="right"/>
    </xf>
    <xf numFmtId="1" fontId="1" fillId="0" borderId="9" xfId="0" applyNumberFormat="1" applyFont="1" applyBorder="1" applyAlignment="1">
      <alignment horizontal="right"/>
    </xf>
    <xf numFmtId="1" fontId="1" fillId="0" borderId="3" xfId="0" applyNumberFormat="1" applyFont="1" applyBorder="1" applyAlignment="1">
      <alignment horizontal="right"/>
    </xf>
    <xf numFmtId="1" fontId="9" fillId="0" borderId="4" xfId="0" applyNumberFormat="1" applyFont="1" applyBorder="1" applyAlignment="1">
      <alignment horizontal="right"/>
    </xf>
    <xf numFmtId="1" fontId="9" fillId="0" borderId="7" xfId="0" applyNumberFormat="1" applyFont="1" applyBorder="1" applyAlignment="1">
      <alignment horizontal="right"/>
    </xf>
    <xf numFmtId="1" fontId="9" fillId="0" borderId="1" xfId="0" applyNumberFormat="1" applyFont="1" applyBorder="1" applyAlignment="1">
      <alignment horizontal="right"/>
    </xf>
    <xf numFmtId="1" fontId="9" fillId="0" borderId="2" xfId="0" applyNumberFormat="1" applyFont="1" applyBorder="1" applyAlignment="1">
      <alignment horizontal="right"/>
    </xf>
    <xf numFmtId="1" fontId="9" fillId="0" borderId="9" xfId="0" applyNumberFormat="1" applyFont="1" applyBorder="1" applyAlignment="1">
      <alignment horizontal="right"/>
    </xf>
    <xf numFmtId="1" fontId="9" fillId="0" borderId="8" xfId="0" applyNumberFormat="1" applyFont="1" applyBorder="1" applyAlignment="1">
      <alignment horizontal="right"/>
    </xf>
    <xf numFmtId="1" fontId="9" fillId="0" borderId="3" xfId="0" applyNumberFormat="1" applyFont="1" applyBorder="1" applyAlignment="1">
      <alignment horizontal="right"/>
    </xf>
    <xf numFmtId="1" fontId="9" fillId="5" borderId="4" xfId="0" applyNumberFormat="1" applyFont="1" applyFill="1" applyBorder="1" applyAlignment="1">
      <alignment horizontal="right"/>
    </xf>
    <xf numFmtId="2" fontId="3" fillId="0" borderId="12" xfId="0" applyNumberFormat="1" applyFont="1" applyBorder="1" applyAlignment="1">
      <alignment horizontal="right" vertical="center" wrapText="1"/>
    </xf>
    <xf numFmtId="3" fontId="9" fillId="5" borderId="8" xfId="0" applyNumberFormat="1" applyFont="1" applyFill="1" applyBorder="1" applyAlignment="1">
      <alignment horizontal="right"/>
    </xf>
    <xf numFmtId="3" fontId="9" fillId="5" borderId="6" xfId="0" applyNumberFormat="1" applyFont="1" applyFill="1" applyBorder="1" applyAlignment="1">
      <alignment horizontal="right"/>
    </xf>
    <xf numFmtId="3" fontId="9" fillId="5" borderId="4" xfId="0" applyNumberFormat="1" applyFont="1" applyFill="1" applyBorder="1" applyAlignment="1">
      <alignment horizontal="right"/>
    </xf>
    <xf numFmtId="3" fontId="1" fillId="4" borderId="2" xfId="0" applyNumberFormat="1" applyFont="1" applyFill="1" applyBorder="1" applyAlignment="1">
      <alignment horizontal="right"/>
    </xf>
    <xf numFmtId="3" fontId="1" fillId="4" borderId="6" xfId="0" applyNumberFormat="1" applyFont="1" applyFill="1" applyBorder="1" applyAlignment="1">
      <alignment horizontal="right"/>
    </xf>
    <xf numFmtId="3" fontId="1" fillId="4" borderId="4" xfId="0" applyNumberFormat="1" applyFont="1" applyFill="1" applyBorder="1" applyAlignment="1">
      <alignment horizontal="right"/>
    </xf>
    <xf numFmtId="3" fontId="1" fillId="3" borderId="2" xfId="0" applyNumberFormat="1" applyFont="1" applyFill="1" applyBorder="1" applyAlignment="1">
      <alignment horizontal="right"/>
    </xf>
    <xf numFmtId="3" fontId="9" fillId="0" borderId="7" xfId="0" applyNumberFormat="1" applyFont="1" applyBorder="1" applyAlignment="1">
      <alignment horizontal="right"/>
    </xf>
    <xf numFmtId="3" fontId="9" fillId="0" borderId="1" xfId="0" applyNumberFormat="1" applyFont="1" applyBorder="1" applyAlignment="1">
      <alignment horizontal="right"/>
    </xf>
    <xf numFmtId="3" fontId="9" fillId="0" borderId="9" xfId="0" applyNumberFormat="1" applyFont="1" applyBorder="1" applyAlignment="1">
      <alignment horizontal="right"/>
    </xf>
    <xf numFmtId="3" fontId="9" fillId="0" borderId="8" xfId="0" applyNumberFormat="1" applyFont="1" applyBorder="1" applyAlignment="1">
      <alignment horizontal="right"/>
    </xf>
    <xf numFmtId="3" fontId="9" fillId="0" borderId="3" xfId="0" applyNumberFormat="1" applyFont="1" applyBorder="1" applyAlignment="1">
      <alignment horizontal="right"/>
    </xf>
    <xf numFmtId="0" fontId="10" fillId="0" borderId="0" xfId="0" applyFont="1"/>
    <xf numFmtId="0" fontId="11" fillId="0" borderId="0" xfId="0" applyFont="1"/>
    <xf numFmtId="0" fontId="12" fillId="0" borderId="0" xfId="0" applyFont="1"/>
    <xf numFmtId="0" fontId="13" fillId="0" borderId="0" xfId="0" applyFont="1"/>
    <xf numFmtId="3" fontId="1" fillId="0" borderId="6" xfId="0" applyNumberFormat="1" applyFont="1" applyBorder="1" applyAlignment="1">
      <alignment horizontal="right" vertical="center"/>
    </xf>
    <xf numFmtId="0" fontId="1" fillId="0" borderId="5" xfId="0" applyFont="1" applyBorder="1" applyAlignment="1">
      <alignment horizontal="right" vertical="center"/>
    </xf>
    <xf numFmtId="0" fontId="1" fillId="0" borderId="10" xfId="0" applyFont="1" applyBorder="1" applyAlignment="1">
      <alignment horizontal="right" vertical="center"/>
    </xf>
    <xf numFmtId="0" fontId="1" fillId="0" borderId="12" xfId="0" applyFont="1" applyBorder="1" applyAlignment="1">
      <alignment horizontal="right" vertical="center"/>
    </xf>
    <xf numFmtId="3" fontId="1" fillId="0" borderId="2" xfId="0" applyNumberFormat="1" applyFont="1" applyBorder="1" applyAlignment="1">
      <alignment horizontal="right" vertical="center"/>
    </xf>
    <xf numFmtId="3" fontId="1" fillId="0" borderId="8" xfId="0" applyNumberFormat="1" applyFont="1" applyBorder="1" applyAlignment="1">
      <alignment horizontal="right" vertical="center"/>
    </xf>
    <xf numFmtId="0" fontId="3" fillId="0" borderId="5" xfId="0" applyFont="1" applyBorder="1" applyAlignment="1">
      <alignment horizontal="left" vertical="center" wrapText="1"/>
    </xf>
    <xf numFmtId="3" fontId="1" fillId="3" borderId="4" xfId="0" applyNumberFormat="1" applyFont="1" applyFill="1" applyBorder="1" applyAlignment="1">
      <alignment horizontal="right"/>
    </xf>
    <xf numFmtId="3" fontId="1" fillId="0" borderId="9" xfId="0" applyNumberFormat="1" applyFont="1" applyBorder="1" applyAlignment="1">
      <alignment horizontal="right" vertical="center"/>
    </xf>
    <xf numFmtId="3" fontId="1" fillId="0" borderId="7" xfId="0" applyNumberFormat="1" applyFont="1" applyBorder="1" applyAlignment="1">
      <alignment horizontal="right" vertical="center"/>
    </xf>
    <xf numFmtId="3" fontId="1" fillId="0" borderId="3" xfId="0" applyNumberFormat="1" applyFont="1" applyBorder="1" applyAlignment="1">
      <alignment horizontal="right" vertical="center"/>
    </xf>
    <xf numFmtId="3" fontId="1" fillId="0" borderId="1" xfId="0" applyNumberFormat="1" applyFont="1" applyBorder="1" applyAlignment="1">
      <alignment horizontal="right" vertical="center"/>
    </xf>
    <xf numFmtId="3" fontId="9" fillId="5" borderId="15" xfId="0" applyNumberFormat="1" applyFont="1" applyFill="1" applyBorder="1" applyAlignment="1">
      <alignment horizontal="right"/>
    </xf>
    <xf numFmtId="3" fontId="9" fillId="5" borderId="16" xfId="0" applyNumberFormat="1" applyFont="1" applyFill="1" applyBorder="1" applyAlignment="1">
      <alignment horizontal="right"/>
    </xf>
    <xf numFmtId="3" fontId="1" fillId="4" borderId="13" xfId="0" applyNumberFormat="1" applyFont="1" applyFill="1" applyBorder="1" applyAlignment="1">
      <alignment horizontal="right"/>
    </xf>
    <xf numFmtId="3" fontId="1" fillId="0" borderId="14" xfId="0" applyNumberFormat="1" applyFont="1" applyBorder="1" applyAlignment="1">
      <alignment horizontal="right" vertical="center"/>
    </xf>
    <xf numFmtId="3" fontId="1" fillId="0" borderId="2" xfId="0" applyNumberFormat="1" applyFont="1" applyBorder="1" applyAlignment="1">
      <alignment horizontal="right"/>
    </xf>
    <xf numFmtId="3" fontId="9" fillId="0" borderId="0" xfId="0" applyNumberFormat="1" applyFont="1" applyAlignment="1">
      <alignment horizontal="right"/>
    </xf>
    <xf numFmtId="3" fontId="9" fillId="0" borderId="12" xfId="0" applyNumberFormat="1" applyFont="1" applyBorder="1" applyAlignment="1">
      <alignment horizontal="right"/>
    </xf>
    <xf numFmtId="0" fontId="1" fillId="0" borderId="8" xfId="0" applyFont="1" applyBorder="1" applyAlignment="1">
      <alignment horizontal="left" vertical="center"/>
    </xf>
    <xf numFmtId="0" fontId="1" fillId="0" borderId="6" xfId="0" applyFont="1" applyBorder="1" applyAlignment="1">
      <alignment horizontal="left" vertical="center"/>
    </xf>
    <xf numFmtId="0" fontId="1" fillId="0" borderId="4" xfId="0" applyFont="1" applyBorder="1" applyAlignment="1">
      <alignment horizontal="left" vertical="center"/>
    </xf>
    <xf numFmtId="0" fontId="1" fillId="0" borderId="2" xfId="0" applyFont="1" applyBorder="1" applyAlignment="1">
      <alignment horizontal="left" vertical="center"/>
    </xf>
    <xf numFmtId="3" fontId="9" fillId="5" borderId="2" xfId="0" applyNumberFormat="1" applyFont="1" applyFill="1" applyBorder="1" applyAlignment="1">
      <alignment horizontal="right"/>
    </xf>
    <xf numFmtId="3" fontId="1" fillId="0" borderId="8" xfId="0" applyNumberFormat="1" applyFont="1" applyBorder="1" applyAlignment="1">
      <alignment horizontal="right"/>
    </xf>
    <xf numFmtId="3" fontId="1" fillId="0" borderId="5" xfId="0" applyNumberFormat="1" applyFont="1" applyBorder="1" applyAlignment="1">
      <alignment horizontal="right"/>
    </xf>
    <xf numFmtId="3" fontId="1" fillId="0" borderId="9" xfId="0" applyNumberFormat="1" applyFont="1" applyBorder="1" applyAlignment="1">
      <alignment horizontal="right"/>
    </xf>
    <xf numFmtId="3" fontId="1" fillId="0" borderId="7" xfId="0" applyNumberFormat="1" applyFont="1" applyBorder="1" applyAlignment="1">
      <alignment horizontal="right"/>
    </xf>
    <xf numFmtId="3" fontId="1" fillId="0" borderId="3" xfId="0" applyNumberFormat="1" applyFont="1" applyBorder="1" applyAlignment="1">
      <alignment horizontal="right"/>
    </xf>
    <xf numFmtId="3" fontId="1" fillId="0" borderId="1" xfId="0" applyNumberFormat="1" applyFont="1" applyBorder="1" applyAlignment="1">
      <alignment horizontal="right"/>
    </xf>
    <xf numFmtId="3" fontId="1" fillId="0" borderId="4" xfId="0" applyNumberFormat="1" applyFont="1" applyBorder="1" applyAlignment="1">
      <alignment horizontal="right"/>
    </xf>
    <xf numFmtId="3" fontId="1" fillId="0" borderId="10" xfId="0" applyNumberFormat="1" applyFont="1" applyBorder="1" applyAlignment="1">
      <alignment horizontal="right"/>
    </xf>
    <xf numFmtId="3" fontId="9" fillId="5" borderId="5" xfId="0" applyNumberFormat="1" applyFont="1" applyFill="1" applyBorder="1" applyAlignment="1">
      <alignment horizontal="right"/>
    </xf>
    <xf numFmtId="3" fontId="9" fillId="5" borderId="12" xfId="0" applyNumberFormat="1" applyFont="1" applyFill="1" applyBorder="1" applyAlignment="1">
      <alignment horizontal="right"/>
    </xf>
    <xf numFmtId="3" fontId="9" fillId="0" borderId="10" xfId="0" applyNumberFormat="1" applyFont="1" applyBorder="1" applyAlignment="1">
      <alignment horizontal="right"/>
    </xf>
    <xf numFmtId="3" fontId="9" fillId="5" borderId="0" xfId="0" applyNumberFormat="1" applyFont="1" applyFill="1" applyAlignment="1">
      <alignment horizontal="right"/>
    </xf>
    <xf numFmtId="3" fontId="1" fillId="4" borderId="12" xfId="0" applyNumberFormat="1" applyFont="1" applyFill="1" applyBorder="1" applyAlignment="1">
      <alignment horizontal="right"/>
    </xf>
    <xf numFmtId="3" fontId="9" fillId="0" borderId="5" xfId="0" applyNumberFormat="1" applyFont="1" applyBorder="1" applyAlignment="1">
      <alignment horizontal="right"/>
    </xf>
    <xf numFmtId="0" fontId="3" fillId="0" borderId="10" xfId="0" applyFont="1" applyBorder="1" applyAlignment="1">
      <alignment horizontal="right" vertical="center" wrapText="1"/>
    </xf>
    <xf numFmtId="0" fontId="3" fillId="0" borderId="8" xfId="0" applyFont="1" applyBorder="1" applyAlignment="1">
      <alignment horizontal="right" vertical="center" wrapText="1"/>
    </xf>
    <xf numFmtId="0" fontId="3" fillId="0" borderId="9" xfId="0" applyFont="1" applyBorder="1" applyAlignment="1">
      <alignment horizontal="right" vertical="center" wrapText="1"/>
    </xf>
    <xf numFmtId="0" fontId="3" fillId="0" borderId="8" xfId="0" applyFont="1" applyBorder="1" applyAlignment="1">
      <alignment horizontal="right" vertical="center"/>
    </xf>
    <xf numFmtId="0" fontId="3" fillId="0" borderId="10" xfId="0" applyFont="1" applyBorder="1" applyAlignment="1">
      <alignment horizontal="right" vertical="center"/>
    </xf>
    <xf numFmtId="0" fontId="3" fillId="0" borderId="9" xfId="0" applyFont="1" applyBorder="1" applyAlignment="1">
      <alignment horizontal="right" vertical="center"/>
    </xf>
    <xf numFmtId="0" fontId="3" fillId="0" borderId="2" xfId="0" applyFont="1" applyBorder="1" applyAlignment="1">
      <alignment vertical="center" wrapText="1"/>
    </xf>
    <xf numFmtId="3" fontId="9" fillId="4" borderId="2" xfId="0" applyNumberFormat="1" applyFont="1" applyFill="1" applyBorder="1" applyAlignment="1">
      <alignment horizontal="right"/>
    </xf>
    <xf numFmtId="0" fontId="14" fillId="0" borderId="0" xfId="0" applyFont="1"/>
    <xf numFmtId="0" fontId="15" fillId="0" borderId="0" xfId="0" applyFont="1"/>
    <xf numFmtId="1" fontId="1" fillId="0" borderId="0" xfId="0" applyNumberFormat="1" applyFont="1"/>
    <xf numFmtId="3" fontId="1" fillId="0" borderId="0" xfId="0" applyNumberFormat="1" applyFont="1" applyAlignment="1">
      <alignment horizontal="right" vertical="center"/>
    </xf>
    <xf numFmtId="3" fontId="1" fillId="0" borderId="12" xfId="0" applyNumberFormat="1" applyFont="1" applyBorder="1" applyAlignment="1">
      <alignment horizontal="right" vertical="center"/>
    </xf>
    <xf numFmtId="3" fontId="1" fillId="0" borderId="10" xfId="0" applyNumberFormat="1" applyFont="1" applyBorder="1" applyAlignment="1">
      <alignment horizontal="right" vertical="center"/>
    </xf>
    <xf numFmtId="3" fontId="1" fillId="4" borderId="5" xfId="0" applyNumberFormat="1" applyFont="1" applyFill="1" applyBorder="1" applyAlignment="1">
      <alignment horizontal="right"/>
    </xf>
    <xf numFmtId="3" fontId="1" fillId="0" borderId="5" xfId="0" applyNumberFormat="1" applyFont="1" applyBorder="1" applyAlignment="1">
      <alignment horizontal="right" vertical="center"/>
    </xf>
    <xf numFmtId="0" fontId="3" fillId="0" borderId="3" xfId="0" applyFont="1" applyBorder="1" applyAlignment="1">
      <alignment vertical="center" wrapText="1"/>
    </xf>
    <xf numFmtId="0" fontId="3" fillId="0" borderId="5" xfId="0" applyFont="1" applyBorder="1" applyAlignment="1">
      <alignment vertical="center" wrapText="1"/>
    </xf>
    <xf numFmtId="3" fontId="3" fillId="0" borderId="2" xfId="0" applyNumberFormat="1" applyFont="1" applyBorder="1" applyAlignment="1">
      <alignment horizontal="right" vertical="center" wrapText="1"/>
    </xf>
    <xf numFmtId="3" fontId="3" fillId="0" borderId="1" xfId="0" applyNumberFormat="1" applyFont="1" applyBorder="1" applyAlignment="1">
      <alignment horizontal="right" vertical="center" wrapText="1"/>
    </xf>
    <xf numFmtId="3" fontId="1" fillId="0" borderId="4" xfId="0" applyNumberFormat="1" applyFont="1" applyBorder="1" applyAlignment="1">
      <alignment horizontal="right" vertical="center"/>
    </xf>
    <xf numFmtId="3" fontId="1" fillId="0" borderId="0" xfId="0" applyNumberFormat="1" applyFont="1"/>
    <xf numFmtId="0" fontId="3" fillId="0" borderId="12" xfId="0" applyFont="1" applyBorder="1" applyAlignment="1">
      <alignment horizontal="right" vertical="center"/>
    </xf>
    <xf numFmtId="0" fontId="3" fillId="0" borderId="2" xfId="0" applyFont="1" applyBorder="1" applyAlignment="1">
      <alignment horizontal="right" vertical="center"/>
    </xf>
    <xf numFmtId="0" fontId="3" fillId="0" borderId="1" xfId="0" applyFont="1" applyBorder="1" applyAlignment="1">
      <alignment horizontal="right" vertical="center"/>
    </xf>
    <xf numFmtId="1" fontId="9" fillId="0" borderId="0" xfId="0" applyNumberFormat="1" applyFont="1" applyAlignment="1">
      <alignment horizontal="right"/>
    </xf>
    <xf numFmtId="3" fontId="1" fillId="4" borderId="0" xfId="0" applyNumberFormat="1" applyFont="1" applyFill="1" applyAlignment="1">
      <alignment horizontal="right"/>
    </xf>
    <xf numFmtId="3" fontId="9" fillId="5" borderId="10" xfId="0" applyNumberFormat="1" applyFont="1" applyFill="1" applyBorder="1" applyAlignment="1">
      <alignment horizontal="right"/>
    </xf>
    <xf numFmtId="3" fontId="1" fillId="3" borderId="5" xfId="0" applyNumberFormat="1" applyFont="1" applyFill="1" applyBorder="1" applyAlignment="1">
      <alignment horizontal="right"/>
    </xf>
    <xf numFmtId="164" fontId="3" fillId="0" borderId="1" xfId="0" applyNumberFormat="1" applyFont="1" applyBorder="1" applyAlignment="1">
      <alignment horizontal="right" vertical="center" wrapText="1"/>
    </xf>
    <xf numFmtId="164" fontId="3" fillId="0" borderId="2" xfId="0" applyNumberFormat="1" applyFont="1" applyBorder="1" applyAlignment="1">
      <alignment horizontal="right" vertical="center" wrapText="1"/>
    </xf>
    <xf numFmtId="3" fontId="9" fillId="5" borderId="8" xfId="0" applyNumberFormat="1" applyFont="1" applyFill="1" applyBorder="1"/>
    <xf numFmtId="3" fontId="9" fillId="5" borderId="2" xfId="0" applyNumberFormat="1" applyFont="1" applyFill="1" applyBorder="1"/>
    <xf numFmtId="3" fontId="1" fillId="0" borderId="12" xfId="0" applyNumberFormat="1" applyFont="1" applyBorder="1" applyAlignment="1">
      <alignment horizontal="right"/>
    </xf>
    <xf numFmtId="3" fontId="1" fillId="3" borderId="12" xfId="0" applyNumberFormat="1" applyFont="1" applyFill="1" applyBorder="1" applyAlignment="1">
      <alignment horizontal="right"/>
    </xf>
    <xf numFmtId="0" fontId="3" fillId="0" borderId="5" xfId="0" applyFont="1" applyBorder="1" applyAlignment="1">
      <alignment horizontal="right" vertical="center" wrapText="1"/>
    </xf>
    <xf numFmtId="0" fontId="21" fillId="0" borderId="0" xfId="4"/>
    <xf numFmtId="0" fontId="16" fillId="0" borderId="0" xfId="5" applyAlignment="1">
      <alignment vertical="center"/>
    </xf>
    <xf numFmtId="0" fontId="2" fillId="0" borderId="0" xfId="1"/>
    <xf numFmtId="0" fontId="1" fillId="2" borderId="0" xfId="0" applyFont="1" applyFill="1" applyAlignment="1">
      <alignment vertical="center" wrapText="1"/>
    </xf>
    <xf numFmtId="0" fontId="1" fillId="0" borderId="0" xfId="0" applyFont="1" applyAlignment="1">
      <alignment vertical="top" wrapText="1"/>
    </xf>
    <xf numFmtId="0" fontId="21" fillId="0" borderId="0" xfId="4" applyAlignment="1">
      <alignment wrapText="1"/>
    </xf>
    <xf numFmtId="0" fontId="2" fillId="0" borderId="0" xfId="1" applyAlignment="1">
      <alignment vertical="center" wrapText="1"/>
    </xf>
    <xf numFmtId="0" fontId="2" fillId="0" borderId="0" xfId="1" applyAlignment="1">
      <alignment vertical="center"/>
    </xf>
    <xf numFmtId="0" fontId="2" fillId="0" borderId="0" xfId="1" applyAlignment="1">
      <alignment horizontal="left" vertical="center" wrapText="1"/>
    </xf>
    <xf numFmtId="0" fontId="20" fillId="0" borderId="0" xfId="3" applyAlignment="1">
      <alignment vertical="center"/>
    </xf>
    <xf numFmtId="0" fontId="2" fillId="6" borderId="11" xfId="1" applyFill="1" applyBorder="1" applyAlignment="1">
      <alignment vertical="center"/>
    </xf>
    <xf numFmtId="0" fontId="2" fillId="6" borderId="0" xfId="1" applyFill="1"/>
    <xf numFmtId="0" fontId="1" fillId="6" borderId="0" xfId="0" applyFont="1" applyFill="1" applyAlignment="1">
      <alignment vertical="center" wrapText="1"/>
    </xf>
    <xf numFmtId="0" fontId="1" fillId="6" borderId="0" xfId="0" applyFont="1" applyFill="1" applyAlignment="1">
      <alignment vertical="top" wrapText="1"/>
    </xf>
    <xf numFmtId="0" fontId="1" fillId="6" borderId="0" xfId="0" applyFont="1" applyFill="1" applyAlignment="1">
      <alignment wrapText="1"/>
    </xf>
    <xf numFmtId="0" fontId="20" fillId="6" borderId="0" xfId="3" applyFill="1" applyAlignment="1">
      <alignment vertical="center"/>
    </xf>
    <xf numFmtId="0" fontId="21" fillId="6" borderId="0" xfId="4" applyFill="1" applyAlignment="1"/>
    <xf numFmtId="0" fontId="20" fillId="0" borderId="0" xfId="3" applyAlignment="1">
      <alignment vertical="top"/>
    </xf>
    <xf numFmtId="0" fontId="2" fillId="0" borderId="0" xfId="1" applyAlignment="1">
      <alignment horizontal="left" vertical="top" wrapText="1"/>
    </xf>
    <xf numFmtId="0" fontId="20" fillId="0" borderId="0" xfId="3" applyAlignment="1">
      <alignment horizontal="left" vertical="center"/>
    </xf>
    <xf numFmtId="0" fontId="20" fillId="0" borderId="0" xfId="3" applyAlignment="1">
      <alignment horizontal="left" vertical="top"/>
    </xf>
    <xf numFmtId="3" fontId="7" fillId="7" borderId="8" xfId="2" applyNumberFormat="1" applyFont="1" applyFill="1" applyBorder="1"/>
    <xf numFmtId="3" fontId="1" fillId="0" borderId="9" xfId="2" applyNumberFormat="1" applyFont="1" applyBorder="1" applyAlignment="1">
      <alignment horizontal="right"/>
    </xf>
    <xf numFmtId="3" fontId="7" fillId="7" borderId="6" xfId="2" applyNumberFormat="1" applyFont="1" applyFill="1" applyBorder="1"/>
    <xf numFmtId="3" fontId="1" fillId="0" borderId="7" xfId="2" applyNumberFormat="1" applyFont="1" applyBorder="1" applyAlignment="1">
      <alignment horizontal="right"/>
    </xf>
    <xf numFmtId="3" fontId="7" fillId="8" borderId="6" xfId="2" applyNumberFormat="1" applyFont="1" applyFill="1" applyBorder="1"/>
    <xf numFmtId="3" fontId="1" fillId="0" borderId="3" xfId="2" applyNumberFormat="1" applyFont="1" applyBorder="1" applyAlignment="1">
      <alignment horizontal="right"/>
    </xf>
    <xf numFmtId="3" fontId="7" fillId="9" borderId="6" xfId="2" applyNumberFormat="1" applyFont="1" applyFill="1" applyBorder="1"/>
    <xf numFmtId="3" fontId="1" fillId="0" borderId="1" xfId="2" applyNumberFormat="1" applyFont="1" applyBorder="1" applyAlignment="1">
      <alignment horizontal="right"/>
    </xf>
    <xf numFmtId="3" fontId="1" fillId="0" borderId="8" xfId="2" applyNumberFormat="1" applyFont="1" applyBorder="1" applyAlignment="1">
      <alignment horizontal="right"/>
    </xf>
    <xf numFmtId="3" fontId="1" fillId="0" borderId="6" xfId="2" applyNumberFormat="1" applyFont="1" applyBorder="1" applyAlignment="1">
      <alignment horizontal="right"/>
    </xf>
    <xf numFmtId="3" fontId="7" fillId="9" borderId="4" xfId="2" applyNumberFormat="1" applyFont="1" applyFill="1" applyBorder="1"/>
    <xf numFmtId="3" fontId="1" fillId="0" borderId="2" xfId="2" applyNumberFormat="1" applyFont="1" applyBorder="1" applyAlignment="1">
      <alignment horizontal="right"/>
    </xf>
    <xf numFmtId="0" fontId="1" fillId="0" borderId="10" xfId="2" applyNumberFormat="1" applyFont="1" applyBorder="1" applyAlignment="1">
      <alignment horizontal="right"/>
    </xf>
    <xf numFmtId="0" fontId="1" fillId="0" borderId="0" xfId="2" applyNumberFormat="1" applyFont="1" applyBorder="1" applyAlignment="1">
      <alignment horizontal="right"/>
    </xf>
    <xf numFmtId="0" fontId="1" fillId="0" borderId="5" xfId="2" applyNumberFormat="1" applyFont="1" applyBorder="1" applyAlignment="1">
      <alignment horizontal="right"/>
    </xf>
    <xf numFmtId="0" fontId="1" fillId="0" borderId="12" xfId="2" applyNumberFormat="1" applyFont="1" applyBorder="1" applyAlignment="1">
      <alignment horizontal="right"/>
    </xf>
    <xf numFmtId="1" fontId="9" fillId="0" borderId="6" xfId="0" applyNumberFormat="1" applyFont="1" applyBorder="1" applyAlignment="1">
      <alignment horizontal="right"/>
    </xf>
    <xf numFmtId="1" fontId="1" fillId="4" borderId="8" xfId="0" applyNumberFormat="1" applyFont="1" applyFill="1" applyBorder="1" applyAlignment="1">
      <alignment horizontal="right"/>
    </xf>
    <xf numFmtId="3" fontId="7" fillId="8" borderId="4" xfId="2" applyNumberFormat="1" applyFont="1" applyFill="1" applyBorder="1"/>
    <xf numFmtId="3" fontId="7" fillId="7" borderId="4" xfId="2" applyNumberFormat="1" applyFont="1" applyFill="1" applyBorder="1"/>
    <xf numFmtId="3" fontId="1" fillId="0" borderId="8" xfId="2" applyNumberFormat="1" applyFont="1" applyBorder="1" applyAlignment="1">
      <alignment horizontal="right" vertical="center"/>
    </xf>
    <xf numFmtId="3" fontId="1" fillId="0" borderId="9" xfId="2" applyNumberFormat="1" applyFont="1" applyBorder="1" applyAlignment="1">
      <alignment horizontal="right" vertical="center"/>
    </xf>
    <xf numFmtId="3" fontId="1" fillId="0" borderId="7" xfId="2" applyNumberFormat="1" applyFont="1" applyBorder="1" applyAlignment="1">
      <alignment horizontal="right" vertical="center"/>
    </xf>
    <xf numFmtId="3" fontId="1" fillId="0" borderId="5" xfId="2" applyNumberFormat="1" applyFont="1" applyBorder="1" applyAlignment="1">
      <alignment horizontal="right" vertical="center"/>
    </xf>
    <xf numFmtId="3" fontId="1" fillId="0" borderId="3" xfId="2" applyNumberFormat="1" applyFont="1" applyBorder="1" applyAlignment="1">
      <alignment horizontal="right" vertical="center"/>
    </xf>
    <xf numFmtId="3" fontId="7" fillId="8" borderId="2" xfId="2" applyNumberFormat="1" applyFont="1" applyFill="1" applyBorder="1"/>
    <xf numFmtId="3" fontId="1" fillId="0" borderId="1" xfId="2" applyNumberFormat="1" applyFont="1" applyBorder="1" applyAlignment="1">
      <alignment horizontal="right" vertical="center"/>
    </xf>
    <xf numFmtId="3" fontId="1" fillId="0" borderId="6" xfId="2" applyNumberFormat="1" applyFont="1" applyBorder="1" applyAlignment="1">
      <alignment horizontal="right" vertical="center"/>
    </xf>
    <xf numFmtId="3" fontId="7" fillId="9" borderId="2" xfId="2" applyNumberFormat="1" applyFont="1" applyFill="1" applyBorder="1"/>
    <xf numFmtId="3" fontId="1" fillId="0" borderId="2" xfId="2" applyNumberFormat="1" applyFont="1" applyBorder="1" applyAlignment="1">
      <alignment horizontal="right" vertical="center"/>
    </xf>
    <xf numFmtId="0" fontId="1" fillId="0" borderId="10" xfId="2" applyNumberFormat="1" applyFont="1" applyBorder="1" applyAlignment="1">
      <alignment horizontal="right" vertical="center"/>
    </xf>
    <xf numFmtId="0" fontId="1" fillId="0" borderId="0" xfId="2" applyNumberFormat="1" applyFont="1" applyBorder="1" applyAlignment="1">
      <alignment horizontal="right" vertical="center"/>
    </xf>
    <xf numFmtId="0" fontId="1" fillId="0" borderId="5" xfId="2" applyNumberFormat="1" applyFont="1" applyBorder="1" applyAlignment="1">
      <alignment horizontal="right" vertical="center"/>
    </xf>
    <xf numFmtId="0" fontId="1" fillId="0" borderId="12" xfId="2" applyNumberFormat="1" applyFont="1" applyBorder="1" applyAlignment="1">
      <alignment horizontal="right" vertical="center"/>
    </xf>
    <xf numFmtId="3" fontId="7" fillId="7" borderId="8" xfId="2" applyNumberFormat="1" applyFont="1" applyFill="1" applyBorder="1" applyAlignment="1">
      <alignment horizontal="right"/>
    </xf>
    <xf numFmtId="3" fontId="7" fillId="7" borderId="4" xfId="2" applyNumberFormat="1" applyFont="1" applyFill="1" applyBorder="1" applyAlignment="1">
      <alignment horizontal="right"/>
    </xf>
    <xf numFmtId="3" fontId="7" fillId="8" borderId="2" xfId="2" applyNumberFormat="1" applyFont="1" applyFill="1" applyBorder="1" applyAlignment="1">
      <alignment horizontal="right"/>
    </xf>
    <xf numFmtId="3" fontId="7" fillId="7" borderId="6" xfId="2" applyNumberFormat="1" applyFont="1" applyFill="1" applyBorder="1" applyAlignment="1">
      <alignment horizontal="right"/>
    </xf>
    <xf numFmtId="3" fontId="7" fillId="8" borderId="4" xfId="2" applyNumberFormat="1" applyFont="1" applyFill="1" applyBorder="1" applyAlignment="1">
      <alignment horizontal="right"/>
    </xf>
    <xf numFmtId="3" fontId="1" fillId="0" borderId="4" xfId="2" applyNumberFormat="1" applyFont="1" applyBorder="1" applyAlignment="1">
      <alignment horizontal="right" vertical="center"/>
    </xf>
    <xf numFmtId="3" fontId="7" fillId="7" borderId="8" xfId="0" applyNumberFormat="1" applyFont="1" applyFill="1" applyBorder="1"/>
    <xf numFmtId="3" fontId="7" fillId="7" borderId="6" xfId="0" applyNumberFormat="1" applyFont="1" applyFill="1" applyBorder="1"/>
    <xf numFmtId="3" fontId="7" fillId="7" borderId="4" xfId="0" applyNumberFormat="1" applyFont="1" applyFill="1" applyBorder="1"/>
    <xf numFmtId="3" fontId="7" fillId="8" borderId="2" xfId="0" applyNumberFormat="1" applyFont="1" applyFill="1" applyBorder="1"/>
    <xf numFmtId="3" fontId="7" fillId="8" borderId="6" xfId="0" applyNumberFormat="1" applyFont="1" applyFill="1" applyBorder="1"/>
    <xf numFmtId="3" fontId="7" fillId="8" borderId="4" xfId="0" applyNumberFormat="1" applyFont="1" applyFill="1" applyBorder="1"/>
    <xf numFmtId="165" fontId="7" fillId="7" borderId="8" xfId="2" applyNumberFormat="1" applyFont="1" applyFill="1" applyBorder="1"/>
    <xf numFmtId="165" fontId="1" fillId="0" borderId="9" xfId="2" applyNumberFormat="1" applyFont="1" applyBorder="1" applyAlignment="1">
      <alignment horizontal="right" vertical="center"/>
    </xf>
    <xf numFmtId="165" fontId="7" fillId="7" borderId="6" xfId="2" applyNumberFormat="1" applyFont="1" applyFill="1" applyBorder="1"/>
    <xf numFmtId="165" fontId="1" fillId="0" borderId="7" xfId="2" applyNumberFormat="1" applyFont="1" applyBorder="1" applyAlignment="1">
      <alignment horizontal="right" vertical="center"/>
    </xf>
    <xf numFmtId="165" fontId="7" fillId="7" borderId="4" xfId="2" applyNumberFormat="1" applyFont="1" applyFill="1" applyBorder="1"/>
    <xf numFmtId="165" fontId="1" fillId="0" borderId="3" xfId="2" applyNumberFormat="1" applyFont="1" applyBorder="1" applyAlignment="1">
      <alignment horizontal="right" vertical="center"/>
    </xf>
    <xf numFmtId="165" fontId="7" fillId="8" borderId="6" xfId="2" applyNumberFormat="1" applyFont="1" applyFill="1" applyBorder="1"/>
    <xf numFmtId="165" fontId="1" fillId="0" borderId="2" xfId="2" applyNumberFormat="1" applyFont="1" applyBorder="1" applyAlignment="1">
      <alignment horizontal="right" vertical="center"/>
    </xf>
    <xf numFmtId="165" fontId="1" fillId="0" borderId="12" xfId="2" applyNumberFormat="1" applyFont="1" applyBorder="1" applyAlignment="1">
      <alignment horizontal="right" vertical="center"/>
    </xf>
    <xf numFmtId="165" fontId="1" fillId="0" borderId="1" xfId="2" applyNumberFormat="1" applyFont="1" applyBorder="1" applyAlignment="1">
      <alignment horizontal="right" vertical="center"/>
    </xf>
    <xf numFmtId="165" fontId="1" fillId="0" borderId="8" xfId="2" applyNumberFormat="1" applyFont="1" applyBorder="1" applyAlignment="1">
      <alignment horizontal="right" vertical="center"/>
    </xf>
    <xf numFmtId="165" fontId="1" fillId="0" borderId="6" xfId="2" applyNumberFormat="1" applyFont="1" applyBorder="1" applyAlignment="1">
      <alignment horizontal="right" vertical="center"/>
    </xf>
    <xf numFmtId="165" fontId="7" fillId="8" borderId="2" xfId="2" applyNumberFormat="1" applyFont="1" applyFill="1" applyBorder="1"/>
    <xf numFmtId="3" fontId="7" fillId="9" borderId="2" xfId="2" applyNumberFormat="1" applyFont="1" applyFill="1" applyBorder="1" applyAlignment="1">
      <alignment horizontal="right"/>
    </xf>
    <xf numFmtId="3" fontId="7" fillId="8" borderId="6" xfId="2" applyNumberFormat="1" applyFont="1" applyFill="1" applyBorder="1" applyAlignment="1">
      <alignment horizontal="right"/>
    </xf>
    <xf numFmtId="165" fontId="7" fillId="7" borderId="2" xfId="2" applyNumberFormat="1" applyFont="1" applyFill="1" applyBorder="1"/>
    <xf numFmtId="165" fontId="1" fillId="0" borderId="18" xfId="2" applyNumberFormat="1" applyFont="1" applyBorder="1" applyAlignment="1">
      <alignment horizontal="right" vertical="center"/>
    </xf>
    <xf numFmtId="165" fontId="7" fillId="8" borderId="0" xfId="2" applyNumberFormat="1" applyFont="1" applyFill="1"/>
    <xf numFmtId="165" fontId="1" fillId="0" borderId="19" xfId="2" applyNumberFormat="1" applyFont="1" applyBorder="1" applyAlignment="1">
      <alignment horizontal="right" vertical="center"/>
    </xf>
    <xf numFmtId="0" fontId="1" fillId="0" borderId="0" xfId="2" applyNumberFormat="1" applyFont="1" applyAlignment="1">
      <alignment horizontal="right" vertical="center"/>
    </xf>
    <xf numFmtId="165" fontId="7" fillId="7" borderId="4" xfId="2" applyNumberFormat="1" applyFont="1" applyFill="1" applyBorder="1" applyAlignment="1">
      <alignment horizontal="right"/>
    </xf>
    <xf numFmtId="165" fontId="7" fillId="8" borderId="2" xfId="2" applyNumberFormat="1" applyFont="1" applyFill="1" applyBorder="1" applyAlignment="1">
      <alignment horizontal="right"/>
    </xf>
    <xf numFmtId="165" fontId="7" fillId="7" borderId="6" xfId="2" applyNumberFormat="1" applyFont="1" applyFill="1" applyBorder="1" applyAlignment="1">
      <alignment horizontal="right"/>
    </xf>
    <xf numFmtId="165" fontId="7" fillId="9" borderId="2" xfId="2" applyNumberFormat="1" applyFont="1" applyFill="1" applyBorder="1" applyAlignment="1">
      <alignment horizontal="right"/>
    </xf>
    <xf numFmtId="3" fontId="7" fillId="8" borderId="8" xfId="2" applyNumberFormat="1" applyFont="1" applyFill="1" applyBorder="1"/>
    <xf numFmtId="3" fontId="1" fillId="0" borderId="4" xfId="2" applyNumberFormat="1" applyFont="1" applyBorder="1" applyAlignment="1">
      <alignment horizontal="right"/>
    </xf>
    <xf numFmtId="3" fontId="7" fillId="7" borderId="2" xfId="2" applyNumberFormat="1" applyFont="1" applyFill="1" applyBorder="1"/>
    <xf numFmtId="0" fontId="1" fillId="0" borderId="0" xfId="2" applyNumberFormat="1" applyFont="1" applyAlignment="1">
      <alignment horizontal="right"/>
    </xf>
    <xf numFmtId="0" fontId="7" fillId="0" borderId="0" xfId="0" applyFont="1" applyAlignment="1">
      <alignment horizontal="right"/>
    </xf>
    <xf numFmtId="3" fontId="1" fillId="5" borderId="4" xfId="0" applyNumberFormat="1" applyFont="1" applyFill="1" applyBorder="1" applyAlignment="1">
      <alignment horizontal="right"/>
    </xf>
    <xf numFmtId="3" fontId="1" fillId="3" borderId="6" xfId="0" applyNumberFormat="1" applyFont="1" applyFill="1" applyBorder="1" applyAlignment="1">
      <alignment horizontal="right"/>
    </xf>
    <xf numFmtId="165" fontId="7" fillId="7" borderId="8" xfId="2" applyNumberFormat="1" applyFont="1" applyFill="1" applyBorder="1" applyAlignment="1">
      <alignment horizontal="right"/>
    </xf>
    <xf numFmtId="165" fontId="7" fillId="8" borderId="4" xfId="2" applyNumberFormat="1" applyFont="1" applyFill="1" applyBorder="1" applyAlignment="1">
      <alignment horizontal="right"/>
    </xf>
    <xf numFmtId="165" fontId="7" fillId="9" borderId="8" xfId="2" applyNumberFormat="1" applyFont="1" applyFill="1" applyBorder="1" applyAlignment="1">
      <alignment horizontal="right"/>
    </xf>
    <xf numFmtId="165" fontId="7" fillId="8" borderId="6" xfId="2" applyNumberFormat="1" applyFont="1" applyFill="1" applyBorder="1" applyAlignment="1">
      <alignment horizontal="right"/>
    </xf>
    <xf numFmtId="3" fontId="1" fillId="0" borderId="17" xfId="2" applyNumberFormat="1" applyFont="1" applyBorder="1" applyAlignment="1">
      <alignment horizontal="right" vertical="center"/>
    </xf>
  </cellXfs>
  <cellStyles count="6">
    <cellStyle name="Comma" xfId="2" builtinId="3"/>
    <cellStyle name="Heading 1" xfId="3" builtinId="16" customBuiltin="1"/>
    <cellStyle name="Heading 2" xfId="4" builtinId="17" customBuiltin="1"/>
    <cellStyle name="Heading 3" xfId="5" builtinId="18" customBuiltin="1"/>
    <cellStyle name="Hyperlink" xfId="1" builtinId="8" customBuiltin="1"/>
    <cellStyle name="Normal" xfId="0" builtinId="0"/>
  </cellStyles>
  <dxfs count="466">
    <dxf>
      <font>
        <color rgb="FF0000FF"/>
      </font>
    </dxf>
    <dxf>
      <font>
        <color rgb="FF326405"/>
      </font>
    </dxf>
    <dxf>
      <font>
        <color rgb="FFB30000"/>
      </font>
    </dxf>
    <dxf>
      <fill>
        <patternFill>
          <bgColor indexed="48"/>
        </patternFill>
      </fill>
    </dxf>
    <dxf>
      <fill>
        <patternFill>
          <bgColor indexed="40"/>
        </patternFill>
      </fill>
    </dxf>
    <dxf>
      <font>
        <b val="0"/>
        <i val="0"/>
        <condense val="0"/>
        <extend val="0"/>
        <color auto="1"/>
      </font>
      <fill>
        <patternFill>
          <bgColor indexed="44"/>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 formatCode="0"/>
      <alignment horizontal="right" textRotation="0" wrapText="0" indent="0" justifyLastLine="0" shrinkToFit="0" readingOrder="0"/>
      <border diagonalUp="0" diagonalDown="0">
        <left/>
        <right style="thin">
          <color indexed="64"/>
        </right>
        <top/>
        <bottom style="thin">
          <color indexed="64"/>
        </bottom>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rgb="FF008855"/>
        </patternFill>
      </fill>
      <alignment horizontal="right"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rgb="FF008855"/>
        </patternFill>
      </fill>
      <alignment horizontal="right" textRotation="0" wrapText="0" indent="0" justifyLastLine="0" shrinkToFit="0" readingOrder="0"/>
      <border diagonalUp="0" diagonalDown="0">
        <left style="thin">
          <color indexed="64"/>
        </left>
        <right/>
        <top style="thin">
          <color indexed="64"/>
        </top>
        <bottom/>
        <vertical/>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rgb="FF008855"/>
        </patternFill>
      </fill>
      <alignment horizontal="right" textRotation="0" wrapText="0" indent="0" justifyLastLine="0" shrinkToFit="0" readingOrder="0"/>
      <border diagonalUp="0" diagonalDown="0">
        <left style="thin">
          <color indexed="64"/>
        </left>
        <right/>
        <top style="thin">
          <color indexed="64"/>
        </top>
        <bottom/>
        <vertical/>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rgb="FF008855"/>
        </patternFill>
      </fill>
      <alignment horizontal="right" textRotation="0" wrapText="0" indent="0" justifyLastLine="0" shrinkToFit="0" readingOrder="0"/>
      <border diagonalUp="0" diagonalDown="0">
        <left style="thin">
          <color indexed="64"/>
        </left>
        <right/>
        <top style="thin">
          <color indexed="64"/>
        </top>
        <bottom/>
        <vertical/>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rgb="FF008855"/>
        </patternFill>
      </fill>
      <alignment horizontal="right" textRotation="0" wrapText="0" indent="0" justifyLastLine="0" shrinkToFit="0" readingOrder="0"/>
      <border diagonalUp="0" diagonalDown="0">
        <left style="thin">
          <color indexed="64"/>
        </left>
        <right/>
        <top style="thin">
          <color indexed="64"/>
        </top>
        <bottom/>
        <vertical/>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left/>
        <right style="thin">
          <color indexed="64"/>
        </right>
        <top style="thin">
          <color indexed="64"/>
        </top>
        <bottom style="thin">
          <color indexed="64"/>
        </bottom>
        <vertical/>
      </border>
    </dxf>
    <dxf>
      <font>
        <b val="0"/>
        <i val="0"/>
        <strike val="0"/>
        <condense val="0"/>
        <extend val="0"/>
        <outline val="0"/>
        <shadow val="0"/>
        <u val="none"/>
        <vertAlign val="baseline"/>
        <sz val="12"/>
        <color auto="1"/>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rgb="FF008855"/>
        </patternFill>
      </fill>
      <alignment horizontal="right"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rgb="FF000000"/>
        <name val="Arial"/>
        <family val="2"/>
        <scheme val="none"/>
      </font>
      <numFmt numFmtId="3" formatCode="#,##0"/>
      <alignment horizontal="right"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rgb="FF000000"/>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auto="1"/>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auto="1"/>
        <name val="Arial"/>
        <family val="2"/>
        <scheme val="none"/>
      </font>
      <alignment horizontal="right"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rgb="FF008855"/>
        </patternFill>
      </fill>
      <alignment horizontal="right" vertical="bottom" textRotation="0" wrapText="0" indent="0" justifyLastLine="0" shrinkToFit="0" readingOrder="0"/>
      <border diagonalUp="0" diagonalDown="0">
        <left style="thin">
          <color indexed="64"/>
        </left>
        <right/>
        <top style="thin">
          <color indexed="64"/>
        </top>
        <bottom/>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1"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rgb="FF008855"/>
        </patternFill>
      </fill>
      <alignment horizontal="right" textRotation="0" wrapText="0" indent="0" justifyLastLine="0" shrinkToFit="0" readingOrder="0"/>
      <border diagonalUp="0" diagonalDown="0">
        <left style="thin">
          <color indexed="64"/>
        </left>
        <right/>
        <top style="thin">
          <color indexed="64"/>
        </top>
        <bottom/>
        <vertic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solid">
          <fgColor indexed="64"/>
          <bgColor rgb="FF008855"/>
        </patternFill>
      </fill>
      <alignment horizontal="right" textRotation="0" wrapText="0" indent="0" justifyLastLine="0" shrinkToFit="0" readingOrder="0"/>
      <border diagonalUp="0" diagonalDown="0">
        <left style="thin">
          <color indexed="64"/>
        </left>
        <right/>
        <top style="thin">
          <color indexed="64"/>
        </top>
        <bottom/>
        <vertic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style="thin">
          <color indexed="64"/>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style="thin">
          <color indexed="64"/>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numFmt numFmtId="0" formatCode="General"/>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3" formatCode="#,##0"/>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1"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rgb="FF000000"/>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0000"/>
        <name val="Arial"/>
        <family val="2"/>
        <scheme val="none"/>
      </font>
      <alignment horizontal="right" vertical="bottom" textRotation="0" wrapText="0" indent="0" justifyLastLine="0" shrinkToFit="0" readingOrder="0"/>
    </dxf>
    <dxf>
      <numFmt numFmtId="1" formatCode="0"/>
      <alignment horizontal="right" vertical="bottom" textRotation="0" wrapText="0" indent="0" justifyLastLine="0" shrinkToFit="0" readingOrder="0"/>
      <border diagonalUp="0" diagonalDown="0">
        <left style="thin">
          <color indexed="64"/>
        </left>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numFmt numFmtId="1"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style="thin">
          <color indexed="64"/>
        </top>
        <bottom style="thin">
          <color indexed="64"/>
        </bottom>
        <vertic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numFmt numFmtId="1"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3"/>
        <color auto="1"/>
        <name val="Arial"/>
        <family val="2"/>
        <scheme val="none"/>
      </font>
      <border diagonalUp="0" diagonalDown="0" outline="0">
        <left style="thin">
          <color indexed="64"/>
        </left>
        <right style="thin">
          <color indexed="64"/>
        </right>
        <top/>
        <bottom/>
      </border>
    </dxf>
    <dxf>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s>
  <tableStyles count="0" defaultTableStyle="TableStyleMedium2" defaultPivotStyle="PivotStyleLight16"/>
  <colors>
    <mruColors>
      <color rgb="FF667788"/>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1E7626-7169-449B-981C-3AF5AA360DF9}" name="Contents" displayName="Contents" ref="A8:B20" totalsRowShown="0" headerRowDxfId="465">
  <tableColumns count="2">
    <tableColumn id="1" xr3:uid="{1479A400-2F98-4ABB-B398-A3C67C69656D}" name="Table Title" dataDxfId="464"/>
    <tableColumn id="2" xr3:uid="{3CAE6C3F-ACD6-45D2-A5D5-B81B17CDB550}" name="Link to table" dataDxfId="46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Notes" displayName="Notes" ref="A3:B11" totalsRowShown="0" headerRowDxfId="462" dataDxfId="460" headerRowBorderDxfId="461" tableBorderDxfId="459" totalsRowBorderDxfId="458">
  <autoFilter ref="A3:B11" xr:uid="{00000000-0009-0000-0100-000001000000}">
    <filterColumn colId="0" hiddenButton="1"/>
    <filterColumn colId="1" hiddenButton="1"/>
  </autoFilter>
  <tableColumns count="2">
    <tableColumn id="1" xr3:uid="{00000000-0010-0000-0000-000001000000}" name="Note number" dataDxfId="457"/>
    <tableColumn id="2" xr3:uid="{00000000-0010-0000-0000-000002000000}" name="Note text" dataDxfId="45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F22285E-E786-4452-9F5C-7EE084FBA2F3}" name="Statistical_robustness_table8333" displayName="Statistical_robustness_table8333" ref="A6:C10" totalsRowShown="0" headerRowDxfId="455" dataDxfId="454">
  <tableColumns count="3">
    <tableColumn id="1" xr3:uid="{8E0EFBF8-7015-4817-BF9A-8CEBD93EBFA2}" name="CV Value " dataDxfId="453"/>
    <tableColumn id="6" xr3:uid="{EDCF71E7-D832-4A6B-889D-EC39A191766B}" name="CV Category" dataDxfId="452"/>
    <tableColumn id="11" xr3:uid="{9EC885FF-BDD5-4539-AAB8-E8E439E8DD27}" name="Definition of Category" dataDxfId="45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North_East" displayName="North_East" ref="A12:AH27" totalsRowShown="0" headerRowDxfId="450" headerRowBorderDxfId="449" tableBorderDxfId="448">
  <autoFilter ref="A12:AH27"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200-000001000000}" name="Number of households (thousands) [note 1]" dataDxfId="447"/>
    <tableColumn id="2" xr3:uid="{A0A424E9-34C5-4B69-85BC-DF36A322501D}" name="2025 Estimate" dataDxfId="446" dataCellStyle="Comma"/>
    <tableColumn id="3" xr3:uid="{FF24BFE2-C0B5-4C48-9D33-4A090B208264}" name="2025 CV" dataDxfId="445" dataCellStyle="Comma"/>
    <tableColumn id="4" xr3:uid="{E1B49BC1-94B5-4CA3-8D49-71CD00A0D9D3}" name="2025 CI+/-" dataDxfId="444" dataCellStyle="Comma"/>
    <tableColumn id="5" xr3:uid="{01839E67-CA20-4086-82C0-E0A98DA39BE8}" name="2024 Estimate" dataDxfId="443"/>
    <tableColumn id="6" xr3:uid="{09BD4BB4-8082-4424-8CB9-91ABCAE510D8}" name="2024 CV" dataDxfId="442"/>
    <tableColumn id="7" xr3:uid="{CF6C736B-3A40-4E06-AA4B-29582DB3FDA4}" name="2024 CI+/-" dataDxfId="441"/>
    <tableColumn id="8" xr3:uid="{F85F3EFC-B298-4019-B569-1E436736F129}" name="2023 Estimate" dataDxfId="440"/>
    <tableColumn id="9" xr3:uid="{5FA373CB-03A9-4E5E-8F16-69638C24CA4E}" name="2023 CV" dataDxfId="439"/>
    <tableColumn id="10" xr3:uid="{85ACC059-D331-4F62-8B35-85D2DC805995}" name="2023 CI+/-" dataDxfId="438"/>
    <tableColumn id="11" xr3:uid="{9265B3B9-2A5C-47EA-A31D-0B97C22B4891}" name="2022 Estimate" dataDxfId="437"/>
    <tableColumn id="12" xr3:uid="{E1C8F3BC-28D4-49DC-8DE0-DC9AFFC55D72}" name="2022 CV" dataDxfId="436"/>
    <tableColumn id="13" xr3:uid="{CBD045BC-4111-488F-9306-0A77EB12FF9A}" name="2022 CI +/-" dataDxfId="435"/>
    <tableColumn id="14" xr3:uid="{FC72E9FE-FCFC-488F-83F1-D705CEC1263F}" name="2021 Estimate" dataDxfId="434"/>
    <tableColumn id="15" xr3:uid="{AB92748C-5F55-414F-BC19-A8EFFF3BEC41}" name="2021 CV" dataDxfId="433"/>
    <tableColumn id="16" xr3:uid="{402C08B3-E1DB-4E71-8B6E-E49D514C1795}" name="2021 CI +/-" dataDxfId="432"/>
    <tableColumn id="17" xr3:uid="{2491388C-1FBB-40F5-AB74-24173665BA16}" name="2020 Estimate" dataDxfId="431"/>
    <tableColumn id="18" xr3:uid="{BD328E73-C1D0-4C64-863D-06ACF35F98E3}" name="2020 CV" dataDxfId="430"/>
    <tableColumn id="19" xr3:uid="{D0C2FAFC-3DEE-44C8-A9CC-7A479A888087}" name="2020 CI +/-" dataDxfId="429"/>
    <tableColumn id="20" xr3:uid="{DA705706-FB7E-4A01-A424-90C772BF13F8}" name="2019 Estimate" dataDxfId="428"/>
    <tableColumn id="21" xr3:uid="{BC9F7C3F-63F7-48D8-B8E5-A6072B6A64A5}" name="2019 CV" dataDxfId="427"/>
    <tableColumn id="22" xr3:uid="{46D89828-120E-4405-B8FD-E3E8EB50ED00}" name="2019 CI +/-" dataDxfId="426"/>
    <tableColumn id="23" xr3:uid="{C47BF059-7A2A-4434-84EA-3CC5459515E2}" name="2018 Estimate" dataDxfId="425"/>
    <tableColumn id="24" xr3:uid="{C8CEB3F6-981E-4626-9FA3-97D6DDA0CE6C}" name="2018 CV" dataDxfId="424"/>
    <tableColumn id="25" xr3:uid="{F48EFB3A-1EFC-4525-B9D2-C74BA6349535}" name="2018 CI +/-" dataDxfId="423"/>
    <tableColumn id="26" xr3:uid="{B0D6DC3F-D755-4A8D-AF77-1179D6C31B34}" name="2017 Estimate" dataDxfId="422"/>
    <tableColumn id="27" xr3:uid="{49AD9B3E-4D61-46FD-8648-64FC1B1B55CA}" name="2017 CV" dataDxfId="421"/>
    <tableColumn id="28" xr3:uid="{2C718808-8F10-4D2C-9667-8B8A5DA0C87A}" name="2017 CI +/-" dataDxfId="420"/>
    <tableColumn id="29" xr3:uid="{245DAB3F-8DAC-4CA2-8C69-BF90ED138379}" name="2016 Estimate" dataDxfId="419"/>
    <tableColumn id="30" xr3:uid="{E4D41A8C-B994-4049-92E4-1A2ED8CD82DE}" name="2016 CV" dataDxfId="418"/>
    <tableColumn id="31" xr3:uid="{0AC51B62-D9BE-402A-9A81-58B418C14961}" name="2016 CI +/-" dataDxfId="417"/>
    <tableColumn id="32" xr3:uid="{BF9C7996-B372-47A4-986A-0B0E8E2790C3}" name="2015 Estimate" dataDxfId="416"/>
    <tableColumn id="33" xr3:uid="{5EA323AD-F6BF-4B45-8A5B-15321062D145}" name="2015 CV" dataDxfId="415"/>
    <tableColumn id="34" xr3:uid="{571281CA-80D8-4B4F-BEEA-815F8CB612C2}" name="2015 CI +/-" dataDxfId="41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North_West" displayName="North_West" ref="A12:AH27" totalsRowShown="0" headerRowDxfId="413" headerRowBorderDxfId="412" tableBorderDxfId="411">
  <autoFilter ref="A12:AH2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300-000001000000}" name="Number of households (thousands) [note 1]" dataDxfId="410"/>
    <tableColumn id="2" xr3:uid="{7E115B17-1D9F-4EB3-B967-07E20EAF16F0}" name="2025 Estimate" dataDxfId="409" dataCellStyle="Comma"/>
    <tableColumn id="3" xr3:uid="{31BB19BD-3BF4-4B07-B5CA-0C4E6ADFD0F2}" name="2025 CV" dataDxfId="408" dataCellStyle="Comma"/>
    <tableColumn id="4" xr3:uid="{64F5AE6F-75A0-4BAE-BEB2-8080B4E6C36A}" name="2025 CI+/-" dataDxfId="407" dataCellStyle="Comma"/>
    <tableColumn id="5" xr3:uid="{E970D6DE-9202-4E83-AA73-FB8F4C85CA05}" name="2024 Estimate" dataDxfId="406"/>
    <tableColumn id="6" xr3:uid="{3E7003BA-DF6D-49DC-A0F3-1DB47B878408}" name="2024 CV" dataDxfId="405"/>
    <tableColumn id="7" xr3:uid="{97C66551-D112-4DAC-AD77-973AA466BAFE}" name="2024 CI+/-" dataDxfId="404"/>
    <tableColumn id="8" xr3:uid="{F5E1C830-19EA-446B-A691-FD348A3EE89B}" name="2023 Estimate" dataDxfId="403"/>
    <tableColumn id="9" xr3:uid="{A456A0E6-6449-410A-B893-5233754168B3}" name="2023 CV" dataDxfId="402"/>
    <tableColumn id="10" xr3:uid="{386889B1-5FD1-4489-B206-7550C69745AB}" name="2023 CI+/-" dataDxfId="401"/>
    <tableColumn id="11" xr3:uid="{D1EA812A-9257-4BBE-BCD6-514B29D84D84}" name="2022 Estimate" dataDxfId="400"/>
    <tableColumn id="12" xr3:uid="{03C3E510-8411-4303-83A4-FC3F21E586BF}" name="2022 CV" dataDxfId="399"/>
    <tableColumn id="13" xr3:uid="{D820BECF-F069-4FFF-8E2D-0E194C7AD10A}" name="2022 CI +/-" dataDxfId="398"/>
    <tableColumn id="14" xr3:uid="{9758628A-AF11-497A-80BE-CD2310F87583}" name="2021 Estimate" dataDxfId="397"/>
    <tableColumn id="15" xr3:uid="{E23EA7B5-F131-424D-95C3-DC46EC56E939}" name="2021 CV" dataDxfId="396"/>
    <tableColumn id="16" xr3:uid="{5029863C-5DB4-4ABD-B3A6-01A72524CDBC}" name="2021 CI +/-" dataDxfId="395"/>
    <tableColumn id="17" xr3:uid="{F5EEE7AF-F354-400A-B7EB-87B6652732C5}" name="2020 Estimate" dataDxfId="394"/>
    <tableColumn id="18" xr3:uid="{7CEBE331-69EF-4208-8A93-89EB85C71B3B}" name="2020 CV" dataDxfId="393"/>
    <tableColumn id="19" xr3:uid="{2967D912-FF96-47AE-8E48-C1D388040C21}" name="2020 CI +/-" dataDxfId="392"/>
    <tableColumn id="20" xr3:uid="{B638DC06-864A-409A-9270-0736B5E72717}" name="2019 Estimate" dataDxfId="391"/>
    <tableColumn id="21" xr3:uid="{8D22F958-F82B-4BC2-9B07-4B7DE103CDC1}" name="2019 CV" dataDxfId="390"/>
    <tableColumn id="22" xr3:uid="{E7B3A881-1E52-465D-9E7B-3C340D99E62C}" name="2019 CI +/-" dataDxfId="389"/>
    <tableColumn id="23" xr3:uid="{D277FA09-6103-4A6C-91D5-94BAF2BE88A5}" name="2018 Estimate" dataDxfId="388"/>
    <tableColumn id="24" xr3:uid="{1E2B839B-CA20-4C86-A32D-C70E20A804A3}" name="2018 CV" dataDxfId="387"/>
    <tableColumn id="25" xr3:uid="{AEAB5594-9E21-404C-BC37-B788571F4B32}" name="2018 CI +/-" dataDxfId="386"/>
    <tableColumn id="26" xr3:uid="{E86DA601-29D9-4A22-B9DF-A7D4F0A4BCD7}" name="2017 Estimate" dataDxfId="385"/>
    <tableColumn id="27" xr3:uid="{B6E397B6-9866-424A-9787-7E16742545CB}" name="2017 CV" dataDxfId="384"/>
    <tableColumn id="28" xr3:uid="{A652A3EE-9198-47A8-8F2B-E8DAE580C48C}" name="2017 CI +/-" dataDxfId="383"/>
    <tableColumn id="29" xr3:uid="{7D27504E-EADE-43F2-B045-2ECF03F48155}" name="2016 Estimate" dataDxfId="382"/>
    <tableColumn id="30" xr3:uid="{317E8F90-15E8-406A-B595-AE58485EC16E}" name="2016 CV" dataDxfId="381"/>
    <tableColumn id="31" xr3:uid="{D0251E3B-F27E-4DCB-96EA-630858C823C2}" name="2016 CI +/-" dataDxfId="380"/>
    <tableColumn id="32" xr3:uid="{FB3C7646-2983-44AA-9E26-1B663ED1676C}" name="2015 Estimate" dataDxfId="379"/>
    <tableColumn id="33" xr3:uid="{3C8D44C5-AC23-41AD-BF10-E62A3488AF23}" name="2015 CV" dataDxfId="378"/>
    <tableColumn id="34" xr3:uid="{AE1EEFB9-EEBE-47D9-85BE-340BD571B5FD}" name="2015 CI +/-" dataDxfId="37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Yorkshire_and_The_Humber" displayName="Yorkshire_and_The_Humber" ref="A12:AH27" totalsRowShown="0" headerRowDxfId="376" headerRowBorderDxfId="375" tableBorderDxfId="374">
  <autoFilter ref="A12:AH27"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400-000001000000}" name="Number of households (thousands) [note 1]" dataDxfId="373"/>
    <tableColumn id="2" xr3:uid="{9B0362B9-C088-4A9E-878F-DC4E293BDD38}" name="2025 Estimate" dataDxfId="372" dataCellStyle="Comma"/>
    <tableColumn id="3" xr3:uid="{CA39BF9A-3E37-417B-BC58-6A6866DD230A}" name="2025 CV" dataDxfId="371" dataCellStyle="Comma"/>
    <tableColumn id="4" xr3:uid="{FBD3C826-0C79-462E-A14B-765EEE805AD3}" name="2025 CI+/-" dataDxfId="370" dataCellStyle="Comma"/>
    <tableColumn id="5" xr3:uid="{C11A9C47-CBAB-40F3-8952-66BFCA751848}" name="2024 Estimate" dataDxfId="369"/>
    <tableColumn id="6" xr3:uid="{4FD4B89F-26A5-4E4F-8BD1-AC2B54834538}" name="2024 CV" dataDxfId="368"/>
    <tableColumn id="7" xr3:uid="{9FF3261E-987F-42E8-82AC-AEC0810C6188}" name="2024 CI+/-" dataDxfId="367"/>
    <tableColumn id="8" xr3:uid="{097C0541-5B05-4E1F-B2C5-5B72C9EDCA94}" name="2023 Estimate" dataDxfId="366"/>
    <tableColumn id="9" xr3:uid="{F56ED029-8DB3-4D29-9209-E58603693EC7}" name="2023 CV" dataDxfId="365"/>
    <tableColumn id="10" xr3:uid="{DD164D1A-9D05-4226-B51E-666F3A03263F}" name="2023 CI+/-" dataDxfId="364"/>
    <tableColumn id="11" xr3:uid="{0755DCCD-EE48-4692-A9D9-7041C51E8990}" name="2022 Estimate" dataDxfId="363"/>
    <tableColumn id="12" xr3:uid="{BC8EA567-BA21-4099-9F80-C20988605985}" name="2022 CV" dataDxfId="362"/>
    <tableColumn id="13" xr3:uid="{5C239BD2-AEAA-47F1-A32F-03C896E29FB1}" name="2022 CI +/-" dataDxfId="361"/>
    <tableColumn id="14" xr3:uid="{8765BF38-8455-408A-8E6B-D3FE62DC0E56}" name="2021 Estimate" dataDxfId="360"/>
    <tableColumn id="15" xr3:uid="{A2B58497-47E0-4A42-935B-C483F0CFEC4D}" name="2021 CV" dataDxfId="359"/>
    <tableColumn id="16" xr3:uid="{2362CE50-CC2F-4EA5-88D4-83B94F1FD146}" name="2021 CI +/-" dataDxfId="358"/>
    <tableColumn id="17" xr3:uid="{65ADAAC7-FD2A-494F-8643-7B0E94141EFD}" name="2020 Estimate" dataDxfId="357"/>
    <tableColumn id="18" xr3:uid="{1453A245-4CB3-467F-82A7-9A6CC0A1F098}" name="2020 CV" dataDxfId="356"/>
    <tableColumn id="19" xr3:uid="{767D10B5-BD33-449D-9E6E-D70E6FE8EC3D}" name="2020 CI +/-" dataDxfId="355"/>
    <tableColumn id="20" xr3:uid="{611C26C0-B414-4757-8E37-C3C91B8E2A4E}" name="2019 Estimate" dataDxfId="354"/>
    <tableColumn id="21" xr3:uid="{C0632B6B-99C0-4FB5-A682-CAC92DC730DA}" name="2019 CV" dataDxfId="353"/>
    <tableColumn id="22" xr3:uid="{D9277DB6-C3BD-4DAC-A13F-561D444FE164}" name="2019 CI +/-" dataDxfId="352"/>
    <tableColumn id="23" xr3:uid="{F982F1B2-A622-43F0-A748-E270FCDB5A76}" name="2018 Estimate" dataDxfId="351"/>
    <tableColumn id="24" xr3:uid="{97AC5E38-D4ED-45E4-B873-ED7C095BAFEE}" name="2018 CV" dataDxfId="350"/>
    <tableColumn id="25" xr3:uid="{4FDA5BC0-C475-4A84-BB9B-F3B0559A32B2}" name="2018 CI +/-" dataDxfId="349"/>
    <tableColumn id="26" xr3:uid="{D246A2FC-6C08-464F-9A3B-E6310126FA94}" name="2017 Estimate" dataDxfId="348"/>
    <tableColumn id="27" xr3:uid="{7DB7FB1F-170D-4E01-A1F0-49BB95B78A2E}" name="2017 CV" dataDxfId="347"/>
    <tableColumn id="28" xr3:uid="{AA7E5E89-8EB1-4466-A305-E8664D7B7B42}" name="2017 CI +/-" dataDxfId="346"/>
    <tableColumn id="29" xr3:uid="{BA738704-22B4-41C1-B026-7C95E84655E2}" name="2016 Estimate" dataDxfId="345"/>
    <tableColumn id="30" xr3:uid="{1241B7A6-37ED-4F30-9350-3A85FDD8F0F3}" name="2016 CV" dataDxfId="344"/>
    <tableColumn id="31" xr3:uid="{A43829A3-7305-49D1-9D16-0DD151644DCF}" name="2016 CI +/-" dataDxfId="343"/>
    <tableColumn id="32" xr3:uid="{40387B38-0578-44C3-AF53-12211FAA3CD1}" name="2015 Estimate" dataDxfId="342"/>
    <tableColumn id="33" xr3:uid="{ED7BF9E5-5372-4EF4-BF00-566CEA804BC5}" name="2015 CV" dataDxfId="341"/>
    <tableColumn id="34" xr3:uid="{A140120B-CD3A-402C-9DC6-D256DEC75914}" name="2015 CI +/-" dataDxfId="34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84588E6-3319-4676-9AF9-1E4C6D57DDD3}" name="East_Midlands" displayName="East_Midlands" ref="A12:AH27" totalsRowShown="0" headerRowDxfId="339" headerRowBorderDxfId="338" tableBorderDxfId="337">
  <autoFilter ref="A12:AH27" xr:uid="{384588E6-3319-4676-9AF9-1E4C6D57DDD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7F59700-D1A7-4187-88CE-05B74D541CE3}" name="Number of households (thousands) [note 1]" dataDxfId="336"/>
    <tableColumn id="2" xr3:uid="{1B87056F-0F04-4653-96DC-B48ECA2FA9E7}" name="2025 Estimate" dataDxfId="335"/>
    <tableColumn id="3" xr3:uid="{97422C84-6640-4332-AA7D-6DF7B153BF4F}" name="2025 CV" dataDxfId="334"/>
    <tableColumn id="4" xr3:uid="{1E8B7DDC-0A8F-43B0-B1E2-053352BEE795}" name="2025 CI+/-" dataDxfId="333"/>
    <tableColumn id="5" xr3:uid="{EC717CA6-60C0-418D-BB39-68319FC8EF0E}" name="2024 Estimate" dataDxfId="332"/>
    <tableColumn id="6" xr3:uid="{10B15A6B-E826-409D-A1C4-B11ED565239A}" name="2024 CV" dataDxfId="331"/>
    <tableColumn id="7" xr3:uid="{D6A8EDFD-C293-4502-B847-3AFE17594300}" name="2024 CI+/-" dataDxfId="330"/>
    <tableColumn id="8" xr3:uid="{B50CFBFE-6D82-4DC6-9028-DB080105DA61}" name="2023 Estimate" dataDxfId="329"/>
    <tableColumn id="9" xr3:uid="{40617C93-D518-47DF-98A2-11724E548DF0}" name="2023 CV" dataDxfId="328"/>
    <tableColumn id="10" xr3:uid="{5F9462DD-5A14-4709-8A9A-DEF8A7264E2D}" name="2023 CI+/-" dataDxfId="327"/>
    <tableColumn id="11" xr3:uid="{B2421938-0465-40BC-BDC9-0F20EC6F6186}" name="2022 Estimate" dataDxfId="326"/>
    <tableColumn id="12" xr3:uid="{6DED8631-375F-4B97-951E-E5D3E4B63042}" name="2022 CV" dataDxfId="325"/>
    <tableColumn id="13" xr3:uid="{B338754F-737A-48F5-87EC-A1B1C6CFD37E}" name="2022 CI +/-" dataDxfId="324"/>
    <tableColumn id="14" xr3:uid="{2F765D96-B45D-43D6-84F7-5F3D684A737F}" name="2021 Estimate" dataDxfId="323"/>
    <tableColumn id="15" xr3:uid="{57BB4439-EF0E-4235-8B0B-31FDE665B3B3}" name="2021 CV" dataDxfId="322"/>
    <tableColumn id="16" xr3:uid="{4B980954-E42D-4399-99A2-BA9308928B49}" name="2021 CI +/-" dataDxfId="321"/>
    <tableColumn id="17" xr3:uid="{DDD7F347-FFC3-459D-9864-C22F4CD72D6D}" name="2020 Estimate" dataDxfId="320"/>
    <tableColumn id="18" xr3:uid="{78970DB3-A643-4206-AE4E-FE3F444B9520}" name="2020 CV" dataDxfId="319"/>
    <tableColumn id="19" xr3:uid="{3B552D09-CD87-4FB4-9036-155A785FED0F}" name="2020 CI +/-" dataDxfId="318"/>
    <tableColumn id="20" xr3:uid="{CDA0FBF5-9F25-435F-A6EF-B870479C74C3}" name="2019 Estimate" dataDxfId="317"/>
    <tableColumn id="21" xr3:uid="{CAB616D7-E0F9-4E5D-82CA-EED13CA25547}" name="2019 CV" dataDxfId="316"/>
    <tableColumn id="22" xr3:uid="{582215A0-9E3E-4955-918B-D8A9CF995BA6}" name="2019 CI +/-" dataDxfId="315"/>
    <tableColumn id="23" xr3:uid="{8B22A220-02A3-4F2A-B4D9-B92FBAD4438B}" name="2018 Estimate" dataDxfId="314"/>
    <tableColumn id="24" xr3:uid="{2CAA9909-BDD5-4CBE-8285-9EE1F6138B6D}" name="2018 CV" dataDxfId="313"/>
    <tableColumn id="25" xr3:uid="{31790742-2187-4EF5-8D39-E06C56CFFA01}" name="2018 CI +/-" dataDxfId="312"/>
    <tableColumn id="26" xr3:uid="{E0C91CDF-0AC5-4B7E-BDAC-D1794C981DAA}" name="2017 Estimate" dataDxfId="311"/>
    <tableColumn id="27" xr3:uid="{AAB0E067-B606-43C3-BB3E-0CD011913C3C}" name="2017 CV" dataDxfId="310"/>
    <tableColumn id="28" xr3:uid="{B828D232-C7DA-40A6-AC88-4B6DCF4CC62A}" name="2017 CI +/-" dataDxfId="309"/>
    <tableColumn id="29" xr3:uid="{F40BFD6D-5BC2-4B24-B4BB-D126DBE4A3DF}" name="2016 Estimate" dataDxfId="308"/>
    <tableColumn id="30" xr3:uid="{A4A58356-9221-4410-A132-1B52BF47736C}" name="2016 CV" dataDxfId="307"/>
    <tableColumn id="31" xr3:uid="{63A4AFF4-B408-4C25-B1FF-9C4D01EBADD9}" name="2016 CI +/-" dataDxfId="306"/>
    <tableColumn id="32" xr3:uid="{2F013C29-F062-48A7-9634-A6ACD0E891B7}" name="2015 Estimate" dataDxfId="305"/>
    <tableColumn id="33" xr3:uid="{17EAF1EA-B0B0-4478-A5B8-51030B9BDEAA}" name="2015 CV" dataDxfId="304"/>
    <tableColumn id="34" xr3:uid="{B548382D-DDC8-41B6-8837-12D09CB660A4}" name="2015 CI +/-" dataDxfId="30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West_Midlands" displayName="West_Midlands" ref="A12:AH27" totalsRowShown="0" headerRowDxfId="302" headerRowBorderDxfId="301" tableBorderDxfId="300">
  <autoFilter ref="A12:AH27"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600-000001000000}" name="Number of households (thousands) [note 1]" dataDxfId="299"/>
    <tableColumn id="2" xr3:uid="{6A94B6B6-05AA-491D-BC46-9FF497411BC1}" name="2025 Estimate" dataDxfId="298" dataCellStyle="Comma"/>
    <tableColumn id="3" xr3:uid="{6D3B6B3D-27D2-4CC9-B27E-2044DD255E72}" name="2025 CV" dataDxfId="297" dataCellStyle="Comma"/>
    <tableColumn id="4" xr3:uid="{A487CC85-BD9A-4F3B-A729-A6A0E9180A72}" name="2025 CI+/-" dataDxfId="296" dataCellStyle="Comma"/>
    <tableColumn id="5" xr3:uid="{86748FBC-6775-4454-A973-358E245A54CC}" name="2024 Estimate" dataDxfId="295"/>
    <tableColumn id="6" xr3:uid="{5995B44F-057F-4738-9D8F-A30A79CC89C7}" name="2024 CV" dataDxfId="294"/>
    <tableColumn id="7" xr3:uid="{EBE8E9BC-0DBA-44AC-83F3-85C74038632E}" name="2024 CI+/-" dataDxfId="293"/>
    <tableColumn id="8" xr3:uid="{84F38BD1-1CC7-44F0-B3BF-67B089208A69}" name="2023 Estimate" dataDxfId="292"/>
    <tableColumn id="9" xr3:uid="{F3665A80-718E-450F-955A-79593CDB8B7A}" name="2023 CV" dataDxfId="291"/>
    <tableColumn id="10" xr3:uid="{CA2BF188-4028-4278-9AA9-5A02C2A44609}" name="2023 CI+/-" dataDxfId="290"/>
    <tableColumn id="11" xr3:uid="{F982E7AA-0E72-4D09-8C50-ED2CA56CF710}" name="2022 Estimate" dataDxfId="289"/>
    <tableColumn id="12" xr3:uid="{90C00868-4B2A-485D-93CF-B48851FDB83C}" name="2022 CV" dataDxfId="288"/>
    <tableColumn id="13" xr3:uid="{9D2DAD47-D134-4B8A-B17B-AFA2273109A4}" name="2022 CI +/-" dataDxfId="287"/>
    <tableColumn id="14" xr3:uid="{DE0E37F4-1773-4249-83B5-87375CC85186}" name="2021 Estimate" dataDxfId="286"/>
    <tableColumn id="15" xr3:uid="{67A72BC2-7BE2-4D72-986B-A237AC849016}" name="2021 CV" dataDxfId="285"/>
    <tableColumn id="16" xr3:uid="{73A43F4A-B9F3-4B32-BB8C-9CBEF365B980}" name="2021 CI +/-" dataDxfId="284"/>
    <tableColumn id="17" xr3:uid="{43517E14-BD14-49EE-A516-EC34A901F58B}" name="2020 Estimate" dataDxfId="283"/>
    <tableColumn id="18" xr3:uid="{448EE1BC-985F-4BF1-84C1-DB2A1BEAEBB3}" name="2020 CV" dataDxfId="282"/>
    <tableColumn id="19" xr3:uid="{F8CCC3F4-FA35-4D07-BE7B-9D5223C51B53}" name="2020 CI +/-" dataDxfId="281"/>
    <tableColumn id="20" xr3:uid="{8EB3216D-052F-485E-A53D-062701BF46A9}" name="2019 Estimate" dataDxfId="280"/>
    <tableColumn id="21" xr3:uid="{D9E96B79-31AC-4740-981C-C91A8C03F2F2}" name="2019 CV" dataDxfId="279"/>
    <tableColumn id="22" xr3:uid="{0C58DC0C-E1D6-4A52-AC03-B65E9B14ECAB}" name="2019 CI +/-" dataDxfId="278"/>
    <tableColumn id="23" xr3:uid="{65C5EF1E-FCB1-4907-A36C-9EB6E533334E}" name="2018 Estimate" dataDxfId="277"/>
    <tableColumn id="24" xr3:uid="{6EC7647E-5C1C-4728-83C2-370938D320F7}" name="2018 CV" dataDxfId="276"/>
    <tableColumn id="25" xr3:uid="{B27F9708-C3FE-48DF-AEDA-AE25A8C97C43}" name="2018 CI +/-" dataDxfId="275"/>
    <tableColumn id="26" xr3:uid="{D16CEDB3-31D1-4639-9FE7-6A7ACA597454}" name="2017 Estimate" dataDxfId="274"/>
    <tableColumn id="27" xr3:uid="{F945F20E-9DFD-4297-8782-EAA2B7D345EE}" name="2017 CV" dataDxfId="273"/>
    <tableColumn id="28" xr3:uid="{1896ED81-73D3-401F-8597-D7DF038C2C16}" name="2017 CI +/-" dataDxfId="272"/>
    <tableColumn id="29" xr3:uid="{3654BC45-4AEC-4C7F-965D-C7D5BC2CE8CC}" name="2016 Estimate" dataDxfId="271"/>
    <tableColumn id="30" xr3:uid="{39B094FF-E7B8-4DA0-BEDC-A6F5D4A0A3EB}" name="2016 CV" dataDxfId="270"/>
    <tableColumn id="31" xr3:uid="{A7F07553-343B-4906-AC37-D78EB515DBE0}" name="2016 CI +/-" dataDxfId="269"/>
    <tableColumn id="32" xr3:uid="{9CD376E5-5267-4A91-B2DE-BC87A804612E}" name="2015 Estimate" dataDxfId="268"/>
    <tableColumn id="33" xr3:uid="{40C613CD-93CD-49FE-9452-EA1A0176C22D}" name="2015 CV" dataDxfId="267"/>
    <tableColumn id="34" xr3:uid="{A8F8C619-0A9D-47D1-AC48-E662847C50C3}" name="2015 CI +/-" dataDxfId="26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East" displayName="East" ref="A12:AH27" totalsRowShown="0" headerRowDxfId="265" headerRowBorderDxfId="264" tableBorderDxfId="263">
  <autoFilter ref="A12:AH27"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700-000001000000}" name="Number of households (thousands) [note 1]" dataDxfId="262"/>
    <tableColumn id="2" xr3:uid="{904988F6-8C44-4AD7-B39F-45844BF9CE82}" name="2025 Estimate" dataDxfId="261" dataCellStyle="Comma"/>
    <tableColumn id="3" xr3:uid="{40A48EEB-3AD2-4FB4-8DAE-66903B1EFB4F}" name="2025 CV" dataDxfId="260" dataCellStyle="Comma"/>
    <tableColumn id="4" xr3:uid="{ECD82C41-AF38-4908-A2F5-2EDF648DDD71}" name="2025 CI+/-" dataDxfId="259" dataCellStyle="Comma"/>
    <tableColumn id="5" xr3:uid="{12A68A23-6385-4795-970F-EB57D124FF4B}" name="2024 Estimate" dataDxfId="258"/>
    <tableColumn id="6" xr3:uid="{A0BF3B23-16EA-4557-AFF0-4F9C2D84A8D9}" name="2024 CV" dataDxfId="257"/>
    <tableColumn id="7" xr3:uid="{2F8227DA-8A7C-46E2-878B-F4160A4C9DA2}" name="2024 CI+/-" dataDxfId="256"/>
    <tableColumn id="8" xr3:uid="{3E219F08-C440-4CDF-8D54-68A6CBDA92D3}" name="2023 Estimate" dataDxfId="255"/>
    <tableColumn id="9" xr3:uid="{21E96FA8-B4F2-4862-91F1-F6BDB215E43A}" name="2023 CV" dataDxfId="254"/>
    <tableColumn id="10" xr3:uid="{87BF7C95-482D-455B-B362-41CCAA8E2F43}" name="2023 CI+/-" dataDxfId="253"/>
    <tableColumn id="11" xr3:uid="{4429C0E1-8D60-48C6-AE8D-4F85D4A16CA2}" name="2022 Estimate" dataDxfId="252"/>
    <tableColumn id="12" xr3:uid="{2DDB07FC-4BE5-4C38-8000-060C74B88CBD}" name="2022 CV" dataDxfId="251"/>
    <tableColumn id="13" xr3:uid="{0AD10686-88BF-47F0-8370-4D18609C21ED}" name="2022 CI +/-" dataDxfId="250"/>
    <tableColumn id="14" xr3:uid="{EEA84444-2A99-4552-B759-F180C1B9149D}" name="2021 Estimate" dataDxfId="249"/>
    <tableColumn id="15" xr3:uid="{C908BC0E-B0C7-408F-8994-851D2ABC9E72}" name="2021 CV" dataDxfId="248"/>
    <tableColumn id="16" xr3:uid="{7CF081F8-1D10-4C96-9232-E63840476940}" name="2021 CI +/-" dataDxfId="247"/>
    <tableColumn id="17" xr3:uid="{ABFF951E-4B74-49B6-84DA-9E86F5EA7ED7}" name="2020 Estimate" dataDxfId="246"/>
    <tableColumn id="18" xr3:uid="{8D583452-54DE-4334-844D-7BA1149232BC}" name="2020 CV" dataDxfId="245"/>
    <tableColumn id="19" xr3:uid="{9F14877A-50E2-4CEE-B176-A851ED5F2BA1}" name="2020 CI +/-" dataDxfId="244"/>
    <tableColumn id="20" xr3:uid="{EED3D4DF-F31A-4D91-835C-B61C8E6FF329}" name="2019 Estimate" dataDxfId="243"/>
    <tableColumn id="21" xr3:uid="{8469C740-663B-4EF1-878B-02EEC4C3C18C}" name="2019 CV" dataDxfId="242"/>
    <tableColumn id="22" xr3:uid="{B272B9C6-F2F8-4485-B197-95600688BCC1}" name="2019 CI +/-" dataDxfId="241"/>
    <tableColumn id="23" xr3:uid="{463A3E7A-4962-4296-88AB-3EF1201289E0}" name="2018 Estimate" dataDxfId="240"/>
    <tableColumn id="24" xr3:uid="{ED98DDD9-6A91-409D-86E9-3FBC99145AFC}" name="2018 CV" dataDxfId="239"/>
    <tableColumn id="25" xr3:uid="{E9EC0AC9-2294-4DF4-BF83-17E1311A6AE4}" name="2018 CI +/-" dataDxfId="238"/>
    <tableColumn id="26" xr3:uid="{EAE67CEE-4427-4B8F-87E3-FB6FC1369E13}" name="2017 Estimate" dataDxfId="237"/>
    <tableColumn id="27" xr3:uid="{2A6EFBDB-F27B-41B2-8B11-BC649AE77E5D}" name="2017 CV" dataDxfId="236"/>
    <tableColumn id="28" xr3:uid="{3349AEDC-D2A4-441B-9924-D5AA24053A8B}" name="2017 CI +/-" dataDxfId="235"/>
    <tableColumn id="29" xr3:uid="{E3159E36-1936-47D0-BF76-325945D027AB}" name="2016 Estimate" dataDxfId="234"/>
    <tableColumn id="30" xr3:uid="{7535D3FA-F30F-4DE6-96C8-9959C8B2EDCE}" name="2016 CV" dataDxfId="233"/>
    <tableColumn id="31" xr3:uid="{6CBA86B2-2C42-498A-AAE9-70D2B7769AB5}" name="2016 CI +/-" dataDxfId="232"/>
    <tableColumn id="32" xr3:uid="{50A1B75F-79E2-4E1F-A0C4-03B40BBD5AA6}" name="2015 Estimate" dataDxfId="231"/>
    <tableColumn id="33" xr3:uid="{DC53482A-9D2A-4167-8167-77A5F4F56A2A}" name="2015 CV" dataDxfId="230"/>
    <tableColumn id="34" xr3:uid="{F16E20EA-5C57-4C5E-8C41-BDD15385043C}" name="2015 CI +/-" dataDxfId="229"/>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8000000}" name="London" displayName="London" ref="A12:AH27" totalsRowShown="0" headerRowDxfId="228" headerRowBorderDxfId="227" tableBorderDxfId="226">
  <autoFilter ref="A12:AH27"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800-000001000000}" name="Number of households (thousands) [note 1]" dataDxfId="225"/>
    <tableColumn id="2" xr3:uid="{6A153B1E-5E67-4D30-8273-EE00FCF90A77}" name="2025 Estimate" dataDxfId="224" dataCellStyle="Comma"/>
    <tableColumn id="3" xr3:uid="{F61ADB31-CCA7-4EF7-B9A9-7630F5F65050}" name="2025 CV" dataDxfId="223" dataCellStyle="Comma"/>
    <tableColumn id="4" xr3:uid="{90B110DC-5E3C-4AAE-BF6B-DC3D5EA8E29F}" name="2025 CI+/-" dataDxfId="222" dataCellStyle="Comma"/>
    <tableColumn id="5" xr3:uid="{292A863D-B0F2-4191-8611-E0934BE4410E}" name="2024 Estimate" dataDxfId="221"/>
    <tableColumn id="6" xr3:uid="{09ACC876-9001-4BD0-85E9-2AF249F43D13}" name="2024 CV" dataDxfId="220"/>
    <tableColumn id="7" xr3:uid="{83D6956F-78A3-4F01-B83A-0AF8AE30AF49}" name="2024 CI+/-" dataDxfId="219"/>
    <tableColumn id="8" xr3:uid="{7405C94A-2A60-4B86-879B-5134929DD63B}" name="2023 Estimate" dataDxfId="218"/>
    <tableColumn id="9" xr3:uid="{30F2A28E-0842-451B-8CAE-49978162C072}" name="2023 CV" dataDxfId="217"/>
    <tableColumn id="10" xr3:uid="{245274CD-0420-4A1F-813A-901E80FF23A4}" name="2023 CI+/-" dataDxfId="216"/>
    <tableColumn id="11" xr3:uid="{DAB254C2-3C13-4335-8FA4-D7B3CBD10C76}" name="2022 Estimate" dataDxfId="215"/>
    <tableColumn id="12" xr3:uid="{384151F1-F174-47C7-AD01-19CA52CF20B3}" name="2022 CV" dataDxfId="214"/>
    <tableColumn id="13" xr3:uid="{8D30906B-8CD0-470D-8C99-DF7ECCAD0B57}" name="2022 CI +/-" dataDxfId="213"/>
    <tableColumn id="14" xr3:uid="{3E00A013-B64D-4313-B246-72198274A5AC}" name="2021 Estimate" dataDxfId="212"/>
    <tableColumn id="15" xr3:uid="{28E05F81-DB99-4334-A5EC-0D79D8AB654A}" name="2021 CV" dataDxfId="211"/>
    <tableColumn id="16" xr3:uid="{F66A7F5D-AC54-4872-ABA0-E27726437572}" name="2021 CI +/-" dataDxfId="210"/>
    <tableColumn id="17" xr3:uid="{517EAD45-7CE3-4643-9587-AA6D08AEAE06}" name="2020 Estimate" dataDxfId="209"/>
    <tableColumn id="18" xr3:uid="{6DC93105-0E45-4DA9-9550-C48DE0F13BF3}" name="2020 CV" dataDxfId="208"/>
    <tableColumn id="19" xr3:uid="{2945A81B-E31B-45BD-BC53-1BC90D0844F7}" name="2020 CI +/-" dataDxfId="207"/>
    <tableColumn id="20" xr3:uid="{E255324E-2787-454C-9221-3F1362671A93}" name="2019 Estimate" dataDxfId="206"/>
    <tableColumn id="21" xr3:uid="{B25D6FCB-39D9-488C-897E-482FD5DEEB71}" name="2019 CV" dataDxfId="205"/>
    <tableColumn id="22" xr3:uid="{256A846E-C4C6-4A7F-BC93-7348F4E7C611}" name="2019 CI +/-" dataDxfId="204"/>
    <tableColumn id="23" xr3:uid="{6FF71F32-00B0-448F-B475-D51CEA35B73C}" name="2018 Estimate" dataDxfId="203"/>
    <tableColumn id="24" xr3:uid="{A417B94B-7B79-4DD7-A36E-670C5FD0AAD8}" name="2018 CV" dataDxfId="202"/>
    <tableColumn id="25" xr3:uid="{BB10C478-78CC-4498-B479-79B315375810}" name="2018 CI +/-" dataDxfId="201"/>
    <tableColumn id="26" xr3:uid="{B951D60C-B282-44AC-A7FE-4C8B43557D1B}" name="2017 Estimate" dataDxfId="200"/>
    <tableColumn id="27" xr3:uid="{014AEC78-837B-4817-A62C-0140F9822021}" name="2017 CV" dataDxfId="199"/>
    <tableColumn id="28" xr3:uid="{B25DB96A-50D7-49DC-97B1-660B28187AE1}" name="2017 CI +/-" dataDxfId="198"/>
    <tableColumn id="29" xr3:uid="{30A88827-3813-43DB-8F02-A7A0F0B2222A}" name="2016 Estimate" dataDxfId="197"/>
    <tableColumn id="30" xr3:uid="{7C1D489E-4CBF-49C2-B59F-9BCA17CDAC61}" name="2016 CV" dataDxfId="196"/>
    <tableColumn id="31" xr3:uid="{D06E25E8-8304-4FF9-8F79-AA5B3CBCA33E}" name="2016 CI +/-" dataDxfId="195"/>
    <tableColumn id="32" xr3:uid="{865AEFCE-6217-46D5-BF7B-E21AB97F6C71}" name="2015 Estimate" dataDxfId="194"/>
    <tableColumn id="33" xr3:uid="{D05A3365-4F03-4066-8E70-1A1F70C682B6}" name="2015 CV" dataDxfId="193"/>
    <tableColumn id="34" xr3:uid="{2E6495D6-7F1A-4C33-9AAB-1A3460792ACD}" name="2015 CI +/-" dataDxfId="19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South_East" displayName="South_East" ref="A12:AH27" totalsRowShown="0" headerRowDxfId="191" headerRowBorderDxfId="190" tableBorderDxfId="189">
  <autoFilter ref="A12:AH27"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900-000001000000}" name="Number of households (thousands) [note 1]" dataDxfId="188"/>
    <tableColumn id="2" xr3:uid="{FBD33E32-96F4-4198-A106-377F35DA5A4E}" name="2025 Estimate" dataDxfId="187" dataCellStyle="Comma"/>
    <tableColumn id="3" xr3:uid="{1C8EA723-79A1-440B-9180-E0AA79DD327E}" name="2025 CV" dataDxfId="186" dataCellStyle="Comma"/>
    <tableColumn id="4" xr3:uid="{F90A7E60-BD4D-4AB8-A3FC-58E923760613}" name="2025 CI+/-" dataDxfId="185" dataCellStyle="Comma"/>
    <tableColumn id="5" xr3:uid="{B504CED5-2154-4EE9-B62F-CD9035F702E1}" name="2024 Estimate" dataDxfId="184"/>
    <tableColumn id="6" xr3:uid="{9D02DAB2-4FE2-4E19-8516-FDBA519A505F}" name="2024 CV" dataDxfId="183"/>
    <tableColumn id="7" xr3:uid="{C48FA576-EC5C-4D9F-97BE-A50D76CEB59A}" name="2024 CI+/-" dataDxfId="182"/>
    <tableColumn id="8" xr3:uid="{66ACD9DA-4528-4BEC-9DCE-E894EC1CCBD2}" name="2023 Estimate" dataDxfId="181"/>
    <tableColumn id="9" xr3:uid="{BC502593-41D7-4216-8640-F0CEC5AE6C26}" name="2023 CV" dataDxfId="180"/>
    <tableColumn id="10" xr3:uid="{E8F9F63E-AE97-4352-8B08-CA0908676F38}" name="2023 CI+/-" dataDxfId="179"/>
    <tableColumn id="11" xr3:uid="{D174A31A-7CBA-457A-8ACC-EF1DD7B71BEC}" name="2022 Estimate" dataDxfId="178"/>
    <tableColumn id="12" xr3:uid="{29292365-ED2E-415F-9857-70B55E9E94E5}" name="2022 CV" dataDxfId="177"/>
    <tableColumn id="13" xr3:uid="{E9433584-5D70-458F-A107-0714E02BD373}" name="2022 CI +/-" dataDxfId="176"/>
    <tableColumn id="14" xr3:uid="{943F3540-D0A9-4C6F-A82F-5D9B882E5B6C}" name="2021 Estimate" dataDxfId="175"/>
    <tableColumn id="15" xr3:uid="{33FB58A4-1100-4CA5-B57D-1496B3D165C2}" name="2021 CV" dataDxfId="174"/>
    <tableColumn id="16" xr3:uid="{68BBD7EB-F55F-4E5D-8C9E-9D47D6E38A9B}" name="2021 CI +/-" dataDxfId="173"/>
    <tableColumn id="17" xr3:uid="{93E0107A-B0E2-445C-A529-7E097741FCEA}" name="2020 Estimate" dataDxfId="172"/>
    <tableColumn id="18" xr3:uid="{E4C78D62-CE87-4AEA-A583-38E4FE3FBBB1}" name="2020 CV" dataDxfId="171"/>
    <tableColumn id="19" xr3:uid="{99FC880B-9343-4150-B725-767D2FF509DF}" name="2020 CI +/-" dataDxfId="170"/>
    <tableColumn id="20" xr3:uid="{EF2F2B54-32EC-45B6-A416-8F877E907AB1}" name="2019 Estimate" dataDxfId="169"/>
    <tableColumn id="21" xr3:uid="{5C97D43D-2F9C-4BBF-8B5C-2E5759F336A0}" name="2019 CV" dataDxfId="168"/>
    <tableColumn id="22" xr3:uid="{41830F39-496A-4426-ADAE-BB43743B64BA}" name="2019 CI +/-" dataDxfId="167"/>
    <tableColumn id="23" xr3:uid="{17F434AD-7EFB-4884-900B-4E18E22E238A}" name="2018 Estimate" dataDxfId="166"/>
    <tableColumn id="24" xr3:uid="{BB44A982-A1BC-42AE-840A-E5941FA53A65}" name="2018 CV" dataDxfId="165"/>
    <tableColumn id="25" xr3:uid="{A743FE97-F9DE-4C3D-8E2C-58768ADD8718}" name="2018 CI +/-" dataDxfId="164"/>
    <tableColumn id="26" xr3:uid="{ACF960F5-C9BD-4761-BDDF-C49D0D33F92D}" name="2017 Estimate" dataDxfId="163"/>
    <tableColumn id="27" xr3:uid="{876C39B1-66E1-4DF7-BF1E-938F49D1FD36}" name="2017 CV" dataDxfId="162"/>
    <tableColumn id="28" xr3:uid="{A001DBDF-77CC-4C55-9446-90B6A6DE95CE}" name="2017 CI +/-" dataDxfId="161"/>
    <tableColumn id="29" xr3:uid="{B0CF5B17-DEAF-4EDC-8A05-371294C16B85}" name="2016 Estimate" dataDxfId="160"/>
    <tableColumn id="30" xr3:uid="{7D29702A-325D-4FA6-A795-57F6118F041A}" name="2016 CV" dataDxfId="159"/>
    <tableColumn id="31" xr3:uid="{527755B8-F8DF-40D2-9818-D0C1B6C47483}" name="2016 CI +/-" dataDxfId="158"/>
    <tableColumn id="32" xr3:uid="{E5A6F56B-063E-4A58-A87F-B365A1A8ABD5}" name="2015 Estimate" dataDxfId="157"/>
    <tableColumn id="33" xr3:uid="{8348165E-D861-4EC3-B972-4EC4F864881E}" name="2015 CV" dataDxfId="156"/>
    <tableColumn id="34" xr3:uid="{3C33DA25-0DEC-43EE-A3BC-099E770CE39B}" name="2015 CI +/-" dataDxfId="155"/>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8F177A6-C50A-4CCD-9F80-19BA6CE62A83}" name="South_West" displayName="South_West" ref="A12:AH27" totalsRowShown="0" headerRowDxfId="154" headerRowBorderDxfId="153" tableBorderDxfId="152">
  <autoFilter ref="A12:AH27" xr:uid="{E8F177A6-C50A-4CCD-9F80-19BA6CE62A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318A25D5-1B68-4F4C-8EF4-58C8DB54432C}" name="Number of households (thousands) [note 1]" dataDxfId="151"/>
    <tableColumn id="2" xr3:uid="{E4B090AC-05B7-4888-8F94-EB086ECD6DC8}" name="2025 Estimate" dataDxfId="150" dataCellStyle="Comma"/>
    <tableColumn id="3" xr3:uid="{E2516EE3-9CC4-4D5F-BCFE-5C8FCDEB618F}" name="2025 CV" dataDxfId="149" dataCellStyle="Comma"/>
    <tableColumn id="4" xr3:uid="{8FBFB97C-CD5C-4829-A419-8AC87FF014A6}" name="2025 CI+/-" dataDxfId="148" dataCellStyle="Comma"/>
    <tableColumn id="5" xr3:uid="{D0153CD9-23A9-450A-BFEF-DF52BBB9BDD0}" name="2024 Estimate" dataDxfId="147"/>
    <tableColumn id="6" xr3:uid="{983B2E95-CCFC-4D8A-8DF0-56AD903B0DD1}" name="2024 CV" dataDxfId="146"/>
    <tableColumn id="7" xr3:uid="{42B2BA0F-5A6D-4493-8B62-F65F7A3C8E29}" name="2024 CI+/-" dataDxfId="145"/>
    <tableColumn id="8" xr3:uid="{C30B859F-9FAC-4C61-9369-7C5008636E67}" name="2023 Estimate" dataDxfId="144"/>
    <tableColumn id="9" xr3:uid="{4EC1703B-1389-40FA-AD7B-8DE4D822AA2C}" name="2023 CV" dataDxfId="143"/>
    <tableColumn id="10" xr3:uid="{BB276A44-8758-45AE-B964-B628FCE80BB3}" name="2023 CI+/-" dataDxfId="142"/>
    <tableColumn id="11" xr3:uid="{3AD1B84D-F99F-4BBF-8C1F-3CEC455EABE2}" name="2022 Estimate" dataDxfId="141"/>
    <tableColumn id="12" xr3:uid="{E21CA66B-DD92-4FA7-BD96-0CF9AEB63CCB}" name="2022 CV" dataDxfId="140"/>
    <tableColumn id="13" xr3:uid="{5BD1723B-8994-4C01-BE9C-35C6DC3DC48B}" name="2022 CI +/-" dataDxfId="139"/>
    <tableColumn id="14" xr3:uid="{A0AD85F1-4275-4FD1-B27D-4BDF076E6700}" name="2021 Estimate" dataDxfId="138"/>
    <tableColumn id="15" xr3:uid="{F3B5A5A4-C848-47E5-9DB2-DD594F8E6D54}" name="2021 CV" dataDxfId="137"/>
    <tableColumn id="16" xr3:uid="{930416C7-77B3-4755-9236-BD24F464E328}" name="2021 CI +/-" dataDxfId="136"/>
    <tableColumn id="17" xr3:uid="{C8E08178-0FD7-43C5-9E71-89E1F9FCD0AD}" name="2020 Estimate" dataDxfId="135"/>
    <tableColumn id="18" xr3:uid="{F099C3F1-ED09-452F-84A0-FA8D0FF528B4}" name="2020 CV" dataDxfId="134"/>
    <tableColumn id="19" xr3:uid="{9F8AAAFB-E736-4476-80A3-44129BF20DA9}" name="2020 CI +/-" dataDxfId="133"/>
    <tableColumn id="20" xr3:uid="{73A0E329-D948-4B42-8793-007F624200AA}" name="2019 Estimate" dataDxfId="132"/>
    <tableColumn id="21" xr3:uid="{0FF58307-93EB-42F4-9E5C-96EB3500CE1A}" name="2019 CV" dataDxfId="131"/>
    <tableColumn id="22" xr3:uid="{5BB1562F-AE4E-4C52-8A37-0F7E7A5B1278}" name="2019 CI +/-" dataDxfId="130"/>
    <tableColumn id="23" xr3:uid="{242692A0-7938-4A06-86A7-2C2C0FB3C6DC}" name="2018 Estimate" dataDxfId="129"/>
    <tableColumn id="24" xr3:uid="{DA9CAF8E-4504-4B62-A34E-EB429A016A09}" name="2018 CV" dataDxfId="128"/>
    <tableColumn id="25" xr3:uid="{E9201265-3315-482C-B81A-4B0151345E9D}" name="2018 CI +/-" dataDxfId="127"/>
    <tableColumn id="26" xr3:uid="{E954C543-B814-4983-9CDE-F1428EB05EEA}" name="2017 Estimate" dataDxfId="126"/>
    <tableColumn id="27" xr3:uid="{0C1D73F4-B534-40CF-A72D-0BB247E2E777}" name="2017 CV" dataDxfId="125"/>
    <tableColumn id="28" xr3:uid="{8810666C-5E43-4AE1-BF51-D7500D748119}" name="2017 CI +/-" dataDxfId="124"/>
    <tableColumn id="29" xr3:uid="{94DD0AA6-ED32-4ED8-ACFC-1F07A83D0739}" name="2016 Estimate" dataDxfId="123"/>
    <tableColumn id="30" xr3:uid="{B5BA2205-5F01-4AD0-BB15-C29CD2E11437}" name="2016 CV" dataDxfId="122"/>
    <tableColumn id="31" xr3:uid="{C84EF7A2-698D-4A8D-9485-0DE63111C6C9}" name="2016 CI +/-" dataDxfId="121"/>
    <tableColumn id="32" xr3:uid="{BA0F193A-DBC5-4A6F-BFB4-3A2F679624B1}" name="2015 Estimate" dataDxfId="120"/>
    <tableColumn id="33" xr3:uid="{E79A40DF-59F3-469A-8182-28E2980D0CF1}" name="2015 CV" dataDxfId="119"/>
    <tableColumn id="34" xr3:uid="{F39B4960-A52C-4183-BED5-DF5CB1C034FC}" name="2015 CI +/-" dataDxfId="118"/>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B000000}" name="England" displayName="England" ref="A12:AH27" totalsRowShown="0" headerRowDxfId="117" dataDxfId="115" headerRowBorderDxfId="116" tableBorderDxfId="114">
  <autoFilter ref="A12:AH27"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B00-000001000000}" name="Number of households (thousands) [note 1]" dataDxfId="113"/>
    <tableColumn id="2" xr3:uid="{08C1493B-E625-4A44-AA87-6BDC57089B7F}" name="2025 Estimate" dataDxfId="112" dataCellStyle="Comma"/>
    <tableColumn id="3" xr3:uid="{B0729D11-162E-4865-B0BC-95C71A43E3F2}" name="2025 CV" dataDxfId="111" dataCellStyle="Comma"/>
    <tableColumn id="4" xr3:uid="{0A11176F-796D-4435-BAB2-6C48D4B0CDBF}" name="2025 CI+/-" dataDxfId="110" dataCellStyle="Comma"/>
    <tableColumn id="5" xr3:uid="{1E842194-2466-4292-9CF0-DB16D00DB030}" name="2024 Estimate" dataDxfId="109"/>
    <tableColumn id="6" xr3:uid="{310564DF-B50B-49D9-8EFC-DCCD5FDDEE47}" name="2024 CV" dataDxfId="108"/>
    <tableColumn id="7" xr3:uid="{0A6BC78D-F1AE-4059-9E04-ACC03F0FFEC6}" name="2024 CI+/-" dataDxfId="107"/>
    <tableColumn id="8" xr3:uid="{D925C651-0ED3-424F-8519-99F347071D4F}" name="2023 Estimate" dataDxfId="106"/>
    <tableColumn id="9" xr3:uid="{BEE66C64-1D73-4346-A5E8-7CEED40A8258}" name="2023 CV" dataDxfId="105"/>
    <tableColumn id="10" xr3:uid="{9E46D578-5042-4D32-99BF-810D93F461E9}" name="2023 CI+/-" dataDxfId="104"/>
    <tableColumn id="11" xr3:uid="{99400A6E-4B93-40D9-A228-ADC3C268DF4F}" name="2022 Estimate" dataDxfId="103"/>
    <tableColumn id="12" xr3:uid="{B294EE8C-13E8-4138-9D90-F586CD69569F}" name="2022 CV" dataDxfId="102"/>
    <tableColumn id="13" xr3:uid="{EA2BA356-F683-4C44-86ED-5D0EB5D6B08D}" name="2022 CI +/-" dataDxfId="101"/>
    <tableColumn id="14" xr3:uid="{A6773300-26BD-4050-A79E-987C69DC0C74}" name="2021 Estimate" dataDxfId="100"/>
    <tableColumn id="15" xr3:uid="{ED695E0F-CFE8-4122-A073-0AC526C48DC6}" name="2021 CV" dataDxfId="99"/>
    <tableColumn id="16" xr3:uid="{7B463055-9A73-4B02-BD1E-C5168326FF28}" name="2021 CI +/-" dataDxfId="98"/>
    <tableColumn id="17" xr3:uid="{910CBAD9-E45F-4A6A-B578-6B68E3DF92A3}" name="2020 Estimate" dataDxfId="97"/>
    <tableColumn id="18" xr3:uid="{92A5C0A0-CF09-4C1C-B205-F3FB85DB56A8}" name="2020 CV" dataDxfId="96"/>
    <tableColumn id="19" xr3:uid="{D7FD9107-DD05-4183-A2DC-1323F1A0CB28}" name="2020 CI +/-" dataDxfId="95"/>
    <tableColumn id="20" xr3:uid="{972774A3-8928-494E-8B6F-95F558193716}" name="2019 Estimate" dataDxfId="94"/>
    <tableColumn id="21" xr3:uid="{6AFE40E3-BAA6-43C4-A891-B2900A3345A4}" name="2019 CV" dataDxfId="93"/>
    <tableColumn id="22" xr3:uid="{ACF5D891-2F03-4243-8E2F-24EFC90792B1}" name="2019 CI +/-" dataDxfId="92"/>
    <tableColumn id="23" xr3:uid="{69037622-C7D8-4FB8-80E9-6048C0173608}" name="2018 Estimate" dataDxfId="91"/>
    <tableColumn id="24" xr3:uid="{0EAFE939-AC57-4B39-9972-78D8FC0E0411}" name="2018 CV" dataDxfId="90"/>
    <tableColumn id="25" xr3:uid="{C7BE7544-863D-42F7-97ED-200006B2E35B}" name="2018 CI +/-" dataDxfId="89"/>
    <tableColumn id="26" xr3:uid="{494CECE2-E9A0-4FE7-99ED-78A954A64A03}" name="2017 Estimate" dataDxfId="88"/>
    <tableColumn id="27" xr3:uid="{845027EE-8795-4980-9A72-61653FCC9DEB}" name="2017 CV" dataDxfId="87"/>
    <tableColumn id="28" xr3:uid="{B0F59251-6167-481E-8337-0B80E58B53FE}" name="2017 CI +/-" dataDxfId="86"/>
    <tableColumn id="29" xr3:uid="{7C066422-454B-4E59-9EA1-B87DA36909D6}" name="2016 Estimate" dataDxfId="85"/>
    <tableColumn id="30" xr3:uid="{B3E1149F-041B-400B-954C-2A883442CB05}" name="2016 CV" dataDxfId="84"/>
    <tableColumn id="31" xr3:uid="{8713748D-0263-4BDC-B4C8-6055DC97C935}" name="2016 CI +/-" dataDxfId="83"/>
    <tableColumn id="32" xr3:uid="{2695856B-5A40-413D-9FB3-881937F56A9A}" name="2015 Estimate" dataDxfId="82"/>
    <tableColumn id="33" xr3:uid="{3FE70DFE-4C25-404A-A6F2-943E2F499B23}" name="2015 CV" dataDxfId="81"/>
    <tableColumn id="34" xr3:uid="{81A054F2-4F28-4380-9957-C748A8B67F86}" name="2015 CI +/-" dataDxfId="8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C000000}" name="Wales" displayName="Wales" ref="A12:AH27" totalsRowShown="0" headerRowDxfId="79" headerRowBorderDxfId="78" tableBorderDxfId="77">
  <autoFilter ref="A12:AH27"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C00-000001000000}" name="Number of households (thousands) [note 1]" dataDxfId="76"/>
    <tableColumn id="2" xr3:uid="{42CE6030-200C-4DA1-94CB-94013A94796C}" name="2025 Estimate" dataDxfId="75" dataCellStyle="Comma"/>
    <tableColumn id="3" xr3:uid="{970F9749-B03E-4FFD-8E6A-6D4244CFBD3F}" name="2025 CV" dataDxfId="74" dataCellStyle="Comma"/>
    <tableColumn id="4" xr3:uid="{C6FEBA18-EE93-4495-AA3D-829123DCD786}" name="2025 CI+/-" dataDxfId="73" dataCellStyle="Comma"/>
    <tableColumn id="5" xr3:uid="{C5EE72A2-C114-4CE3-ADDF-9D4ABD38932C}" name="2024 Estimate" dataDxfId="72"/>
    <tableColumn id="6" xr3:uid="{CE4EEA1E-824F-4DA5-A1ED-1B36490006CE}" name="2024 CV" dataDxfId="71"/>
    <tableColumn id="7" xr3:uid="{863DDDAB-753A-4F5E-A536-EE0AED8068C5}" name="2024 CI+/-" dataDxfId="70"/>
    <tableColumn id="8" xr3:uid="{86405421-6DEA-46CD-9060-85C6EEFEBC6B}" name="2023 Estimate" dataDxfId="69"/>
    <tableColumn id="9" xr3:uid="{262066C5-F15C-4DE8-9523-2B5E84743857}" name="2023 CV" dataDxfId="68"/>
    <tableColumn id="10" xr3:uid="{1DA07835-4B06-4042-96BF-1B540B219978}" name="2023 CI+/-" dataDxfId="67"/>
    <tableColumn id="11" xr3:uid="{D056FF8E-C930-4F40-A24B-41109F7B6C92}" name="2022 Estimate" dataDxfId="66"/>
    <tableColumn id="12" xr3:uid="{E4E22188-7FA4-4B7E-B49E-83DB943A0A50}" name="2022 CV" dataDxfId="65"/>
    <tableColumn id="13" xr3:uid="{5F68FAD8-7F24-4035-BCA2-08322CEDB71C}" name="2022 CI +/-" dataDxfId="64"/>
    <tableColumn id="14" xr3:uid="{6D42575E-C10E-43B6-95AD-588BFA601F91}" name="2021 Estimate" dataDxfId="63"/>
    <tableColumn id="15" xr3:uid="{A2DD5F74-79BA-4EF0-95BC-A029FFB02071}" name="2021 CV" dataDxfId="62"/>
    <tableColumn id="16" xr3:uid="{6B52A885-9C8A-4489-B0B8-E7C1D8E302DA}" name="2021 CI +/-" dataDxfId="61"/>
    <tableColumn id="17" xr3:uid="{96585801-3711-4180-91A0-B571C649A3F5}" name="2020 Estimate" dataDxfId="60"/>
    <tableColumn id="18" xr3:uid="{2EE1096C-49DA-457D-9AF6-7FA12CB5C6F3}" name="2020 CV" dataDxfId="59"/>
    <tableColumn id="19" xr3:uid="{E59CC7B7-6D7A-4514-90A3-2D67CC430E36}" name="2020 CI +/-" dataDxfId="58"/>
    <tableColumn id="20" xr3:uid="{FC38CC38-89A3-4AB0-914F-46FEB1EEA562}" name="2019 Estimate" dataDxfId="57"/>
    <tableColumn id="21" xr3:uid="{245B9F8B-B2E0-449A-93DF-BF90617CDF11}" name="2019 CV" dataDxfId="56"/>
    <tableColumn id="22" xr3:uid="{048CF7AD-BDCE-4DFF-819E-D8D78628E776}" name="2019 CI +/-" dataDxfId="55"/>
    <tableColumn id="23" xr3:uid="{997A00FC-3B7E-4599-886F-5BE930E3690C}" name="2018 Estimate" dataDxfId="54"/>
    <tableColumn id="24" xr3:uid="{6907F1BC-CCE6-4D73-865A-CC21C6456222}" name="2018 CV" dataDxfId="53"/>
    <tableColumn id="25" xr3:uid="{CDD4788A-A963-46C8-8A2F-6A4C13B1AB18}" name="2018 CI +/-" dataDxfId="52"/>
    <tableColumn id="26" xr3:uid="{DC1BD684-53D6-45F1-8F18-97A241AA96C1}" name="2017 Estimate" dataDxfId="51"/>
    <tableColumn id="27" xr3:uid="{E9BC72D4-1280-423D-90DF-523FEED2B7F5}" name="2017 CV" dataDxfId="50"/>
    <tableColumn id="28" xr3:uid="{663AAD58-01AD-431F-8FE9-3FCBDF67B457}" name="2017 CI +/-" dataDxfId="49"/>
    <tableColumn id="29" xr3:uid="{BCE8B625-1D60-4207-8D92-C95A478E63C4}" name="2016 Estimate" dataDxfId="48"/>
    <tableColumn id="30" xr3:uid="{09F3FF0F-DEF8-43D1-92F3-B5FC414B99DE}" name="2016 CV" dataDxfId="47"/>
    <tableColumn id="31" xr3:uid="{540FF2E9-80AF-4417-9E78-5362DA9F3338}" name="2016 CI +/-" dataDxfId="46"/>
    <tableColumn id="32" xr3:uid="{B6D0EF1D-3916-435C-8948-473A8ACBF52D}" name="2015 Estimate" dataDxfId="45"/>
    <tableColumn id="33" xr3:uid="{915CF477-F0E7-4D49-ACBF-CC347D7814E2}" name="2015 CV" dataDxfId="44"/>
    <tableColumn id="34" xr3:uid="{695B1CB7-8861-489E-AD83-8B7CCB5A09DD}" name="2015 CI +/-" dataDxfId="43"/>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D000000}" name="Scotland" displayName="Scotland" ref="A12:AH27" totalsRowShown="0" headerRowDxfId="42" headerRowBorderDxfId="41" tableBorderDxfId="40">
  <autoFilter ref="A12:AH27"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D00-000001000000}" name="Number of households (thousands) [note 1]" dataDxfId="39"/>
    <tableColumn id="2" xr3:uid="{384CE7FF-289D-40A1-98D9-79E58574AD09}" name="2025 Estimate" dataDxfId="38" dataCellStyle="Comma"/>
    <tableColumn id="3" xr3:uid="{821111EA-7337-46C6-8754-FF9715694F31}" name="2025 CV" dataDxfId="37" dataCellStyle="Comma"/>
    <tableColumn id="4" xr3:uid="{F8304034-91C4-4F4F-A135-6894D3D90203}" name="2025 CI+/-" dataDxfId="36" dataCellStyle="Comma"/>
    <tableColumn id="5" xr3:uid="{B7D03B0E-2745-45D8-B672-95CE56DF59CD}" name="2024 Estimate" dataDxfId="35"/>
    <tableColumn id="6" xr3:uid="{11DA7EA4-3673-4C5E-8CE5-7D80DB2E4436}" name="2024 CV" dataDxfId="34"/>
    <tableColumn id="7" xr3:uid="{1D3336C2-05DE-4423-897B-AE9E093BD062}" name="2024 CI+/-" dataDxfId="33"/>
    <tableColumn id="8" xr3:uid="{E2926789-97C3-404F-BA75-1A916CFE040C}" name="2023 Estimate" dataDxfId="32"/>
    <tableColumn id="9" xr3:uid="{8374C3F9-53F1-40EB-8FFD-8089B4636AD2}" name="2023 CV" dataDxfId="31"/>
    <tableColumn id="10" xr3:uid="{E51B6AFD-0CF3-425F-B18A-BDCE2F43CC82}" name="2023 CI+/-" dataDxfId="30"/>
    <tableColumn id="11" xr3:uid="{449BCE7A-ECB5-45AE-AF20-232AB8312B4A}" name="2022 Estimate" dataDxfId="29"/>
    <tableColumn id="12" xr3:uid="{5DB2CD10-A657-404B-8779-63455D4D4B35}" name="2022 CV" dataDxfId="28"/>
    <tableColumn id="13" xr3:uid="{5B59A638-E60B-44B1-93B5-F35E403C16F6}" name="2022 CI +/-" dataDxfId="27"/>
    <tableColumn id="14" xr3:uid="{B237864B-C3AC-41A0-9E8C-9178E37C2629}" name="2021 Estimate" dataDxfId="26"/>
    <tableColumn id="15" xr3:uid="{C610DCF8-8BA8-41BC-869C-95C61845315A}" name="2021 CV" dataDxfId="25"/>
    <tableColumn id="16" xr3:uid="{9C0168F2-E5FD-42A2-9BFC-672C68D560A3}" name="2021 CI +/-" dataDxfId="24"/>
    <tableColumn id="17" xr3:uid="{999B699E-95FC-4E5D-B4F3-34E67EC554ED}" name="2020 Estimate" dataDxfId="23"/>
    <tableColumn id="18" xr3:uid="{D08E809C-0B92-4761-BA07-BFC3131BEC52}" name="2020 CV" dataDxfId="22"/>
    <tableColumn id="19" xr3:uid="{C68B9CE4-8945-49EF-91FC-FC79E66597F5}" name="2020 CI +/-" dataDxfId="21"/>
    <tableColumn id="20" xr3:uid="{6E698A68-4272-41F5-A167-641056F40D66}" name="2019 Estimate" dataDxfId="20"/>
    <tableColumn id="21" xr3:uid="{E7201167-53B8-4439-959E-A650BBA3ED0F}" name="2019 CV" dataDxfId="19"/>
    <tableColumn id="22" xr3:uid="{CE7B342F-6FC7-4FBB-B3F6-94EAC9E57E2B}" name="2019 CI +/-" dataDxfId="18"/>
    <tableColumn id="23" xr3:uid="{F4470E60-F13E-45F0-BD88-AEBAA19E8C11}" name="2018 Estimate" dataDxfId="17"/>
    <tableColumn id="24" xr3:uid="{6A5E8257-E30D-4D62-BAB5-F04BF166D017}" name="2018 CV" dataDxfId="16"/>
    <tableColumn id="25" xr3:uid="{5E3E2E3F-1E68-435D-B4FF-5AB8B5A108D2}" name="2018 CI +/-" dataDxfId="15"/>
    <tableColumn id="26" xr3:uid="{D2F67A6B-9616-44A4-80A2-A65B8ABD9771}" name="2017 Estimate" dataDxfId="14"/>
    <tableColumn id="27" xr3:uid="{DF6C507F-CBC8-4F75-9741-16CEE438237A}" name="2017 CV" dataDxfId="13"/>
    <tableColumn id="28" xr3:uid="{F992F5C6-4457-44A6-8578-9832E2BFF297}" name="2017 CI +/-" dataDxfId="12"/>
    <tableColumn id="29" xr3:uid="{BD6DF289-BD73-4D16-A366-533330603E19}" name="2016 Estimate" dataDxfId="11"/>
    <tableColumn id="30" xr3:uid="{22D68C88-7DAC-48BC-8BA9-3BC9352214AD}" name="2016 CV" dataDxfId="10"/>
    <tableColumn id="31" xr3:uid="{226AE768-C15D-414C-BA20-930A91FF74DB}" name="2016 CI +/-" dataDxfId="9"/>
    <tableColumn id="32" xr3:uid="{BCE3419B-6759-4359-80BC-48A5230C6ACA}" name="2015 Estimate" dataDxfId="8"/>
    <tableColumn id="33" xr3:uid="{AC74D398-9919-4021-A4B5-AE9B0AD2AC42}" name="2015 CV" dataDxfId="7"/>
    <tableColumn id="34" xr3:uid="{2A1521B7-150B-4403-8B59-B64369B37B3C}" name="2015 CI +/-" dataDxfId="6"/>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pop.info@ons.gov.uk" TargetMode="External"/><Relationship Id="rId3" Type="http://schemas.openxmlformats.org/officeDocument/2006/relationships/hyperlink" Target="http://www.nationalarchives.gov.uk/doc/open-government-licence/version/3/" TargetMode="External"/><Relationship Id="rId7" Type="http://schemas.openxmlformats.org/officeDocument/2006/relationships/hyperlink" Target="mailto:pop.info@ons.gov.uk" TargetMode="External"/><Relationship Id="rId12" Type="http://schemas.openxmlformats.org/officeDocument/2006/relationships/table" Target="../tables/table1.xml"/><Relationship Id="rId2" Type="http://schemas.openxmlformats.org/officeDocument/2006/relationships/hyperlink" Target="mailto:psi@nationalarchives.gov.uk" TargetMode="External"/><Relationship Id="rId1" Type="http://schemas.openxmlformats.org/officeDocument/2006/relationships/hyperlink" Target="https://www.ons.gov.uk/peoplepopulationandcommunity/birthsdeathsandmarriages/families/methodologies/familiesandhouseholdsqmi" TargetMode="External"/><Relationship Id="rId6" Type="http://schemas.openxmlformats.org/officeDocument/2006/relationships/hyperlink" Target="mailto:pop.info@ons.gov.uk" TargetMode="External"/><Relationship Id="rId11" Type="http://schemas.openxmlformats.org/officeDocument/2006/relationships/hyperlink" Target="https://www.nisra.gov.uk/statistics/population/household-projections" TargetMode="External"/><Relationship Id="rId5" Type="http://schemas.openxmlformats.org/officeDocument/2006/relationships/hyperlink" Target="mailto:pop.info@ons.gov.uk" TargetMode="External"/><Relationship Id="rId10" Type="http://schemas.openxmlformats.org/officeDocument/2006/relationships/hyperlink" Target="https://www.gov.wales/household-estimates" TargetMode="External"/><Relationship Id="rId4" Type="http://schemas.openxmlformats.org/officeDocument/2006/relationships/hyperlink" Target="http://www.ons.gov.uk/" TargetMode="External"/><Relationship Id="rId9" Type="http://schemas.openxmlformats.org/officeDocument/2006/relationships/hyperlink" Target="https://www.nrscotland.gov.uk/publications/households-and-dwellings-in-scotland-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ons.gov.uk/methodology/methodologytopicsandstatisticalconcepts/uncertaintyandhowwemeasurei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blog.ons.gov.uk/2021/01/25/understanding-how-the-pandemic-population/" TargetMode="External"/><Relationship Id="rId2" Type="http://schemas.openxmlformats.org/officeDocument/2006/relationships/hyperlink" Target="https://blog.ons.gov.uk/2020/10/12/measuring-the-labour-market-during-the-pandemic/" TargetMode="External"/><Relationship Id="rId1" Type="http://schemas.openxmlformats.org/officeDocument/2006/relationships/hyperlink" Target="https://www.ons.gov.uk/employmentandlabourmarket/peopleinwork/employmentandemployeetypes/articles/coronavirusanditsimpactonthelabourforcesurvey/2020-10-13" TargetMode="External"/><Relationship Id="rId5" Type="http://schemas.openxmlformats.org/officeDocument/2006/relationships/hyperlink" Target="https://www.ons.gov.uk/employmentandlabourmarket/peopleinwork/employmentandemployeetypes/articles/impactofreweightingonlabourforcesurveykeyindicators/2022" TargetMode="External"/><Relationship Id="rId4" Type="http://schemas.openxmlformats.org/officeDocument/2006/relationships/hyperlink" Target="https://www.ons.gov.uk/employmentandlabourmarket/peopleinwork/employmentandemployeetypes/datasets/x08impactoflfstenurereweightingonkeylabourforcesurveyindicator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1-This%20isn't%20what%20I%20need" TargetMode="External"/><Relationship Id="rId2" Type="http://schemas.openxmlformats.org/officeDocument/2006/relationships/hyperlink" Target="mailto:families@ons.gov.uk?subject=Householdsbyregionscountriestable%20Table%201-I%20need%20something%20different" TargetMode="External"/><Relationship Id="rId1" Type="http://schemas.openxmlformats.org/officeDocument/2006/relationships/hyperlink" Target="mailto:families@ons.gov.uk?subject=Householdsbyregionscountriestable%20Table%201-meets%20my%20needs" TargetMode="Externa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2-This%20isn't%20what%20I%20need" TargetMode="External"/><Relationship Id="rId2" Type="http://schemas.openxmlformats.org/officeDocument/2006/relationships/hyperlink" Target="mailto:families@ons.gov.uk?subject=Householdsbyregionscountriestable%20Table%202-I%20need%20something%20different" TargetMode="External"/><Relationship Id="rId1" Type="http://schemas.openxmlformats.org/officeDocument/2006/relationships/hyperlink" Target="mailto:families@ons.gov.uk?subject=Householdsbyregionscountriestable%20Table%202-meets%20my%20needs" TargetMode="Externa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3-This%20isn't%20what%20I%20need" TargetMode="External"/><Relationship Id="rId2" Type="http://schemas.openxmlformats.org/officeDocument/2006/relationships/hyperlink" Target="mailto:families@ons.gov.uk?subject=Householdsbyregionscountriestable%20Table%203-I%20need%20something%20different" TargetMode="External"/><Relationship Id="rId1" Type="http://schemas.openxmlformats.org/officeDocument/2006/relationships/hyperlink" Target="mailto:families@ons.gov.uk?subject=Householdsbyregionscountriestable%20Table%203-meets%20my%20needs" TargetMode="Externa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4-This%20isn't%20what%20I%20need" TargetMode="External"/><Relationship Id="rId2" Type="http://schemas.openxmlformats.org/officeDocument/2006/relationships/hyperlink" Target="mailto:families@ons.gov.uk?subject=Householdsbyregionscountriestable%20Table%204-I%20need%20something%20different" TargetMode="External"/><Relationship Id="rId1" Type="http://schemas.openxmlformats.org/officeDocument/2006/relationships/hyperlink" Target="mailto:families@ons.gov.uk?subject=Householdsbyregionscountriestable%20Table%204-meets%20my%20needs" TargetMode="Externa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5-This%20isn't%20what%20I%20need" TargetMode="External"/><Relationship Id="rId2" Type="http://schemas.openxmlformats.org/officeDocument/2006/relationships/hyperlink" Target="mailto:families@ons.gov.uk?subject=Householdsbyregionscountriestable%20Table%205-I%20need%20something%20different" TargetMode="External"/><Relationship Id="rId1" Type="http://schemas.openxmlformats.org/officeDocument/2006/relationships/hyperlink" Target="mailto:families@ons.gov.uk?subject=Householdsbyregionscountriestable%20Table%205-meets%20my%20needs" TargetMode="Externa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6-This%20isn't%20what%20I%20need" TargetMode="External"/><Relationship Id="rId2" Type="http://schemas.openxmlformats.org/officeDocument/2006/relationships/hyperlink" Target="mailto:families@ons.gov.uk?subject=Householdsbyregionscountriestable%20Table%206-I%20need%20something%20different" TargetMode="External"/><Relationship Id="rId1" Type="http://schemas.openxmlformats.org/officeDocument/2006/relationships/hyperlink" Target="mailto:families@ons.gov.uk?subject=Householdsbyregionscountriestable%20Table%206-meets%20my%20needs" TargetMode="Externa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7-This%20isn't%20what%20I%20need" TargetMode="External"/><Relationship Id="rId2" Type="http://schemas.openxmlformats.org/officeDocument/2006/relationships/hyperlink" Target="mailto:families@ons.gov.uk?subject=Householdsbyregionscountriestable%20Table%207-I%20need%20something%20different" TargetMode="External"/><Relationship Id="rId1" Type="http://schemas.openxmlformats.org/officeDocument/2006/relationships/hyperlink" Target="mailto:families@ons.gov.uk?subject=Householdsbyregionscountriestable%20Table%207-meets%20my%20needs" TargetMode="Externa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8-This%20isn't%20what%20I%20need" TargetMode="External"/><Relationship Id="rId2" Type="http://schemas.openxmlformats.org/officeDocument/2006/relationships/hyperlink" Target="mailto:families@ons.gov.uk?subject=Householdsbyregionscountriestable%20Table%208-I%20need%20something%20different" TargetMode="External"/><Relationship Id="rId1" Type="http://schemas.openxmlformats.org/officeDocument/2006/relationships/hyperlink" Target="mailto:families@ons.gov.uk?subject=Householdsbyregionscountriestable%20Table%208-meets%20my%20needs" TargetMode="Externa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9-This%20isn't%20what%20I%20need" TargetMode="External"/><Relationship Id="rId2" Type="http://schemas.openxmlformats.org/officeDocument/2006/relationships/hyperlink" Target="mailto:families@ons.gov.uk?subject=Householdsbyregionscountriestable%20Table%209-I%20need%20something%20different" TargetMode="External"/><Relationship Id="rId1" Type="http://schemas.openxmlformats.org/officeDocument/2006/relationships/hyperlink" Target="mailto:families@ons.gov.uk?subject=Householdsbyregionscountriestable%20Table%209-meets%20my%20needs" TargetMode="Externa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10-This%20isn't%20what%20I%20need" TargetMode="External"/><Relationship Id="rId2" Type="http://schemas.openxmlformats.org/officeDocument/2006/relationships/hyperlink" Target="mailto:families@ons.gov.uk?subject=Householdsbyregionscountriestable%20Table%2010-I%20need%20something%20different" TargetMode="External"/><Relationship Id="rId1" Type="http://schemas.openxmlformats.org/officeDocument/2006/relationships/hyperlink" Target="mailto:families@ons.gov.uk?subject=Householdsbyregionscountriestable%20Table%2010-meets%20my%20needs" TargetMode="External"/><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11-This%20isn't%20what%20I%20need" TargetMode="External"/><Relationship Id="rId2" Type="http://schemas.openxmlformats.org/officeDocument/2006/relationships/hyperlink" Target="mailto:families@ons.gov.uk?subject=Householdsbyregionscountriestable%20Table%2011-I%20need%20something%20different" TargetMode="External"/><Relationship Id="rId1" Type="http://schemas.openxmlformats.org/officeDocument/2006/relationships/hyperlink" Target="mailto:families@ons.gov.uk?subject=Householdsbyregionscountriestable%20Table%2011-meets%20my%20needs" TargetMode="External"/><Relationship Id="rId4"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3" Type="http://schemas.openxmlformats.org/officeDocument/2006/relationships/hyperlink" Target="mailto:families@ons.gov.uk?subject=Householdsbyregionscountriestable%20Table%2012-This%20isn't%20what%20I%20need" TargetMode="External"/><Relationship Id="rId2" Type="http://schemas.openxmlformats.org/officeDocument/2006/relationships/hyperlink" Target="mailto:families@ons.gov.uk?subject=Householdsbyregionscountriestable%20Table%2012-I%20need%20something%20different" TargetMode="External"/><Relationship Id="rId1" Type="http://schemas.openxmlformats.org/officeDocument/2006/relationships/hyperlink" Target="mailto:families@ons.gov.uk?subject=Householdsbyregionscountriestable%20Table%2012-meets%20my%20needs" TargetMode="External"/><Relationship Id="rId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54"/>
  <sheetViews>
    <sheetView showGridLines="0" tabSelected="1" zoomScaleNormal="100" workbookViewId="0"/>
  </sheetViews>
  <sheetFormatPr defaultColWidth="10.90625" defaultRowHeight="15" x14ac:dyDescent="0.25"/>
  <cols>
    <col min="1" max="1" width="90.6328125" customWidth="1"/>
    <col min="2" max="2" width="25.6328125" customWidth="1"/>
    <col min="3" max="3" width="8.81640625" customWidth="1"/>
    <col min="4" max="4" width="16.1796875" customWidth="1"/>
    <col min="5" max="5" width="2.1796875" customWidth="1"/>
    <col min="7" max="7" width="22.453125" customWidth="1"/>
    <col min="8" max="8" width="14.453125" customWidth="1"/>
    <col min="10" max="10" width="3.54296875" customWidth="1"/>
    <col min="12" max="12" width="7.453125" customWidth="1"/>
    <col min="13" max="13" width="9.1796875" customWidth="1"/>
  </cols>
  <sheetData>
    <row r="1" spans="1:2" ht="31.2" customHeight="1" x14ac:dyDescent="0.25">
      <c r="A1" s="186" t="s">
        <v>0</v>
      </c>
      <c r="B1" s="5"/>
    </row>
    <row r="2" spans="1:2" x14ac:dyDescent="0.25">
      <c r="A2" s="4" t="s">
        <v>1</v>
      </c>
    </row>
    <row r="3" spans="1:2" x14ac:dyDescent="0.25">
      <c r="A3" s="3" t="s">
        <v>183</v>
      </c>
    </row>
    <row r="4" spans="1:2" x14ac:dyDescent="0.25">
      <c r="A4" s="3" t="s">
        <v>184</v>
      </c>
    </row>
    <row r="5" spans="1:2" x14ac:dyDescent="0.25">
      <c r="A5" s="3" t="s">
        <v>2</v>
      </c>
      <c r="B5" s="3"/>
    </row>
    <row r="6" spans="1:2" x14ac:dyDescent="0.25">
      <c r="A6" s="3" t="s">
        <v>3</v>
      </c>
      <c r="B6" s="3"/>
    </row>
    <row r="7" spans="1:2" ht="30" customHeight="1" x14ac:dyDescent="0.3">
      <c r="A7" s="177" t="s">
        <v>4</v>
      </c>
      <c r="B7" s="6"/>
    </row>
    <row r="8" spans="1:2" ht="15.6" x14ac:dyDescent="0.25">
      <c r="A8" s="178" t="s">
        <v>5</v>
      </c>
      <c r="B8" s="178" t="s">
        <v>6</v>
      </c>
    </row>
    <row r="9" spans="1:2" x14ac:dyDescent="0.25">
      <c r="A9" s="3" t="s">
        <v>7</v>
      </c>
      <c r="B9" s="179" t="str">
        <f>HYPERLINK("#North_East!A1","North East")</f>
        <v>North East</v>
      </c>
    </row>
    <row r="10" spans="1:2" x14ac:dyDescent="0.25">
      <c r="A10" s="3" t="s">
        <v>8</v>
      </c>
      <c r="B10" s="179" t="str">
        <f>HYPERLINK("#North_West!A1","North West")</f>
        <v>North West</v>
      </c>
    </row>
    <row r="11" spans="1:2" x14ac:dyDescent="0.25">
      <c r="A11" s="3" t="s">
        <v>9</v>
      </c>
      <c r="B11" s="179" t="str">
        <f>HYPERLINK("#Yorkshire_and_The_Humber!A1","Yorkshire and The Humber")</f>
        <v>Yorkshire and The Humber</v>
      </c>
    </row>
    <row r="12" spans="1:2" x14ac:dyDescent="0.25">
      <c r="A12" s="3" t="s">
        <v>10</v>
      </c>
      <c r="B12" s="179" t="str">
        <f>HYPERLINK("#East_Midlands!A1","East Midlands")</f>
        <v>East Midlands</v>
      </c>
    </row>
    <row r="13" spans="1:2" x14ac:dyDescent="0.25">
      <c r="A13" s="3" t="s">
        <v>11</v>
      </c>
      <c r="B13" s="179" t="str">
        <f>HYPERLINK("#West_Midlands!A1","West Midlands")</f>
        <v>West Midlands</v>
      </c>
    </row>
    <row r="14" spans="1:2" x14ac:dyDescent="0.25">
      <c r="A14" s="3" t="s">
        <v>12</v>
      </c>
      <c r="B14" s="179" t="str">
        <f>HYPERLINK("#East!A1","East")</f>
        <v>East</v>
      </c>
    </row>
    <row r="15" spans="1:2" x14ac:dyDescent="0.25">
      <c r="A15" s="4" t="s">
        <v>13</v>
      </c>
      <c r="B15" s="179" t="str">
        <f>HYPERLINK("#London!A1","London")</f>
        <v>London</v>
      </c>
    </row>
    <row r="16" spans="1:2" x14ac:dyDescent="0.25">
      <c r="A16" s="3" t="s">
        <v>14</v>
      </c>
      <c r="B16" s="179" t="str">
        <f>HYPERLINK("#South_East!A1","South East")</f>
        <v>South East</v>
      </c>
    </row>
    <row r="17" spans="1:2" x14ac:dyDescent="0.25">
      <c r="A17" s="3" t="s">
        <v>15</v>
      </c>
      <c r="B17" s="179" t="str">
        <f>HYPERLINK("#South_West!A1","South West")</f>
        <v>South West</v>
      </c>
    </row>
    <row r="18" spans="1:2" x14ac:dyDescent="0.25">
      <c r="A18" s="3" t="s">
        <v>16</v>
      </c>
      <c r="B18" s="179" t="str">
        <f>HYPERLINK("#England!A1","England")</f>
        <v>England</v>
      </c>
    </row>
    <row r="19" spans="1:2" x14ac:dyDescent="0.25">
      <c r="A19" s="3" t="s">
        <v>17</v>
      </c>
      <c r="B19" s="179" t="str">
        <f>HYPERLINK("#Wales!A1","Wales")</f>
        <v>Wales</v>
      </c>
    </row>
    <row r="20" spans="1:2" x14ac:dyDescent="0.25">
      <c r="A20" s="3" t="s">
        <v>18</v>
      </c>
      <c r="B20" s="179" t="str">
        <f>HYPERLINK("#Scotland!A1","Scotland")</f>
        <v>Scotland</v>
      </c>
    </row>
    <row r="21" spans="1:2" ht="30" customHeight="1" x14ac:dyDescent="0.3">
      <c r="A21" s="182" t="s">
        <v>19</v>
      </c>
      <c r="B21" s="7"/>
    </row>
    <row r="22" spans="1:2" ht="15.6" customHeight="1" x14ac:dyDescent="0.25">
      <c r="A22" t="s">
        <v>20</v>
      </c>
      <c r="B22" s="1"/>
    </row>
    <row r="23" spans="1:2" ht="15.6" customHeight="1" x14ac:dyDescent="0.25">
      <c r="A23" s="4" t="s">
        <v>21</v>
      </c>
    </row>
    <row r="24" spans="1:2" x14ac:dyDescent="0.25">
      <c r="A24" s="179" t="s">
        <v>22</v>
      </c>
    </row>
    <row r="25" spans="1:2" ht="45" x14ac:dyDescent="0.25">
      <c r="A25" s="180" t="s">
        <v>23</v>
      </c>
    </row>
    <row r="26" spans="1:2" ht="45" x14ac:dyDescent="0.25">
      <c r="A26" s="10" t="s">
        <v>24</v>
      </c>
    </row>
    <row r="27" spans="1:2" ht="30" x14ac:dyDescent="0.25">
      <c r="A27" s="10" t="s">
        <v>25</v>
      </c>
    </row>
    <row r="28" spans="1:2" ht="15.6" customHeight="1" x14ac:dyDescent="0.25">
      <c r="A28" s="181" t="s">
        <v>26</v>
      </c>
      <c r="B28" s="2"/>
    </row>
    <row r="29" spans="1:2" ht="31.2" customHeight="1" x14ac:dyDescent="0.3">
      <c r="A29" s="182" t="s">
        <v>27</v>
      </c>
      <c r="B29" s="1"/>
    </row>
    <row r="30" spans="1:2" ht="15.6" customHeight="1" x14ac:dyDescent="0.25">
      <c r="A30" s="183" t="s">
        <v>185</v>
      </c>
      <c r="B30" s="1"/>
    </row>
    <row r="31" spans="1:2" ht="29.4" customHeight="1" x14ac:dyDescent="0.25">
      <c r="A31" s="8" t="s">
        <v>28</v>
      </c>
      <c r="B31" s="1"/>
    </row>
    <row r="32" spans="1:2" ht="15" customHeight="1" x14ac:dyDescent="0.25">
      <c r="A32" s="10" t="s">
        <v>187</v>
      </c>
      <c r="B32" s="1"/>
    </row>
    <row r="33" spans="1:2" ht="30" customHeight="1" x14ac:dyDescent="0.25">
      <c r="A33" s="181" t="s">
        <v>186</v>
      </c>
      <c r="B33" s="1"/>
    </row>
    <row r="34" spans="1:2" x14ac:dyDescent="0.25">
      <c r="A34" s="181" t="s">
        <v>29</v>
      </c>
      <c r="B34" s="1"/>
    </row>
    <row r="35" spans="1:2" ht="16.2" customHeight="1" x14ac:dyDescent="0.25">
      <c r="A35" s="184" t="s">
        <v>30</v>
      </c>
      <c r="B35" s="1"/>
    </row>
    <row r="36" spans="1:2" ht="15.6" customHeight="1" x14ac:dyDescent="0.25">
      <c r="A36" s="184" t="s">
        <v>31</v>
      </c>
      <c r="B36" s="1"/>
    </row>
    <row r="37" spans="1:2" ht="15.6" customHeight="1" x14ac:dyDescent="0.25">
      <c r="A37" s="184" t="s">
        <v>32</v>
      </c>
      <c r="B37" s="1"/>
    </row>
    <row r="38" spans="1:2" ht="30" customHeight="1" x14ac:dyDescent="0.3">
      <c r="A38" s="182" t="s">
        <v>33</v>
      </c>
      <c r="B38" s="1"/>
    </row>
    <row r="39" spans="1:2" ht="15.6" customHeight="1" x14ac:dyDescent="0.25">
      <c r="A39" s="185" t="s">
        <v>22</v>
      </c>
      <c r="B39" s="9"/>
    </row>
    <row r="40" spans="1:2" ht="31.2" customHeight="1" x14ac:dyDescent="0.3">
      <c r="A40" s="182" t="s">
        <v>34</v>
      </c>
      <c r="B40" s="11"/>
    </row>
    <row r="41" spans="1:2" ht="30" x14ac:dyDescent="0.25">
      <c r="A41" s="8" t="s">
        <v>35</v>
      </c>
      <c r="B41" s="12"/>
    </row>
    <row r="42" spans="1:2" ht="30" x14ac:dyDescent="0.25">
      <c r="A42" s="8" t="s">
        <v>36</v>
      </c>
      <c r="B42" s="12"/>
    </row>
    <row r="43" spans="1:2" ht="15.6" customHeight="1" x14ac:dyDescent="0.25">
      <c r="A43" s="185" t="s">
        <v>22</v>
      </c>
      <c r="B43" s="9"/>
    </row>
    <row r="44" spans="1:2" ht="31.2" customHeight="1" x14ac:dyDescent="0.3">
      <c r="A44" s="177" t="s">
        <v>37</v>
      </c>
      <c r="B44" s="13"/>
    </row>
    <row r="45" spans="1:2" x14ac:dyDescent="0.25">
      <c r="A45" s="17" t="s">
        <v>38</v>
      </c>
      <c r="B45" s="14"/>
    </row>
    <row r="46" spans="1:2" ht="30" x14ac:dyDescent="0.25">
      <c r="A46" s="16" t="s">
        <v>39</v>
      </c>
      <c r="B46" s="10"/>
    </row>
    <row r="47" spans="1:2" ht="15.6" customHeight="1" x14ac:dyDescent="0.25">
      <c r="A47" s="183" t="s">
        <v>40</v>
      </c>
      <c r="B47" s="10"/>
    </row>
    <row r="48" spans="1:2" x14ac:dyDescent="0.25">
      <c r="A48" s="15" t="s">
        <v>41</v>
      </c>
      <c r="B48" s="10"/>
    </row>
    <row r="49" spans="1:2" ht="15.6" customHeight="1" x14ac:dyDescent="0.25">
      <c r="A49" s="183" t="s">
        <v>42</v>
      </c>
      <c r="B49" s="10"/>
    </row>
    <row r="50" spans="1:2" ht="30" x14ac:dyDescent="0.25">
      <c r="A50" s="15" t="s">
        <v>43</v>
      </c>
      <c r="B50" s="10"/>
    </row>
    <row r="51" spans="1:2" ht="31.2" customHeight="1" x14ac:dyDescent="0.25">
      <c r="A51" s="15" t="s">
        <v>44</v>
      </c>
      <c r="B51" s="10"/>
    </row>
    <row r="52" spans="1:2" ht="15.6" customHeight="1" x14ac:dyDescent="0.25">
      <c r="A52" s="183" t="s">
        <v>45</v>
      </c>
      <c r="B52" s="10"/>
    </row>
    <row r="53" spans="1:2" ht="15.6" customHeight="1" x14ac:dyDescent="0.25">
      <c r="A53" t="s">
        <v>46</v>
      </c>
      <c r="B53" s="10"/>
    </row>
    <row r="54" spans="1:2" ht="15.6" customHeight="1" x14ac:dyDescent="0.25">
      <c r="A54" s="184" t="s">
        <v>22</v>
      </c>
      <c r="B54" s="3"/>
    </row>
  </sheetData>
  <conditionalFormatting sqref="Q23:Q24 T23:T24 W23:W24 Z23:Z24 AC23:AC24">
    <cfRule type="expression" dxfId="5" priority="1">
      <formula>IF(R23="b",TRUE,FALSE)</formula>
    </cfRule>
    <cfRule type="expression" dxfId="4" priority="2">
      <formula>IF(R23="c",TRUE,FALSE)</formula>
    </cfRule>
    <cfRule type="expression" dxfId="3" priority="3">
      <formula>IF(R23="d",TRUE,FALSE)</formula>
    </cfRule>
  </conditionalFormatting>
  <hyperlinks>
    <hyperlink ref="A30" r:id="rId1" display="Families and Households Quality and Methodology Information (QMI)" xr:uid="{00000000-0004-0000-0000-000001000000}"/>
    <hyperlink ref="A49" r:id="rId2" display="psi@nationalarchives.gov.uk" xr:uid="{00000000-0004-0000-0000-000002000000}"/>
    <hyperlink ref="A47" r:id="rId3" xr:uid="{00000000-0004-0000-0000-000003000000}"/>
    <hyperlink ref="A52" r:id="rId4" xr:uid="{00000000-0004-0000-0000-000004000000}"/>
    <hyperlink ref="A54" r:id="rId5" xr:uid="{00000000-0004-0000-0000-000005000000}"/>
    <hyperlink ref="A39" r:id="rId6" xr:uid="{00000000-0004-0000-0000-000006000000}"/>
    <hyperlink ref="A43" r:id="rId7" xr:uid="{00000000-0004-0000-0000-000007000000}"/>
    <hyperlink ref="A24" r:id="rId8" xr:uid="{00000000-0004-0000-0000-000008000000}"/>
    <hyperlink ref="A35" r:id="rId9" xr:uid="{00000000-0004-0000-0000-000009000000}"/>
    <hyperlink ref="A36" r:id="rId10" xr:uid="{00000000-0004-0000-0000-00000A000000}"/>
    <hyperlink ref="A37" r:id="rId11" display="https://www.nisra.gov.uk/statistics/population/household-projections" xr:uid="{00000000-0004-0000-0000-00000B000000}"/>
  </hyperlinks>
  <pageMargins left="0.7" right="0.7" top="0.75" bottom="0.75" header="0.3" footer="0.3"/>
  <pageSetup paperSize="9" orientation="portrait"/>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1"/>
  <sheetViews>
    <sheetView showGridLines="0" workbookViewId="0"/>
  </sheetViews>
  <sheetFormatPr defaultColWidth="10.90625" defaultRowHeight="15" x14ac:dyDescent="0.25"/>
  <cols>
    <col min="1" max="1" width="15.6328125" customWidth="1"/>
    <col min="2" max="2" width="100.6328125" customWidth="1"/>
  </cols>
  <sheetData>
    <row r="1" spans="1:2" ht="31.2" customHeight="1" x14ac:dyDescent="0.25">
      <c r="A1" s="186" t="s">
        <v>19</v>
      </c>
    </row>
    <row r="2" spans="1:2" x14ac:dyDescent="0.25">
      <c r="A2" s="3" t="s">
        <v>47</v>
      </c>
    </row>
    <row r="3" spans="1:2" ht="16.5" customHeight="1" x14ac:dyDescent="0.3">
      <c r="A3" s="21" t="s">
        <v>48</v>
      </c>
      <c r="B3" s="22" t="s">
        <v>49</v>
      </c>
    </row>
    <row r="4" spans="1:2" ht="60" x14ac:dyDescent="0.25">
      <c r="A4" s="18">
        <v>1</v>
      </c>
      <c r="B4" s="19" t="s">
        <v>50</v>
      </c>
    </row>
    <row r="5" spans="1:2" ht="30" x14ac:dyDescent="0.25">
      <c r="A5" s="18">
        <v>2</v>
      </c>
      <c r="B5" s="19" t="s">
        <v>51</v>
      </c>
    </row>
    <row r="6" spans="1:2" ht="30" x14ac:dyDescent="0.25">
      <c r="A6" s="18">
        <v>3</v>
      </c>
      <c r="B6" s="20" t="s">
        <v>52</v>
      </c>
    </row>
    <row r="7" spans="1:2" ht="45" x14ac:dyDescent="0.25">
      <c r="A7" s="18">
        <v>4</v>
      </c>
      <c r="B7" s="20" t="s">
        <v>53</v>
      </c>
    </row>
    <row r="8" spans="1:2" ht="30" x14ac:dyDescent="0.25">
      <c r="A8" s="18">
        <v>5</v>
      </c>
      <c r="B8" s="19" t="s">
        <v>54</v>
      </c>
    </row>
    <row r="9" spans="1:2" ht="30" x14ac:dyDescent="0.25">
      <c r="A9" s="18">
        <v>6</v>
      </c>
      <c r="B9" s="19" t="s">
        <v>55</v>
      </c>
    </row>
    <row r="10" spans="1:2" ht="45" customHeight="1" x14ac:dyDescent="0.25">
      <c r="A10" s="18">
        <v>7</v>
      </c>
      <c r="B10" s="19" t="s">
        <v>56</v>
      </c>
    </row>
    <row r="11" spans="1:2" ht="45" x14ac:dyDescent="0.25">
      <c r="A11" s="18">
        <v>8</v>
      </c>
      <c r="B11" s="19" t="s">
        <v>57</v>
      </c>
    </row>
  </sheetData>
  <pageMargins left="0.7" right="0.7" top="0.75" bottom="0.75" header="0.3" footer="0.3"/>
  <pageSetup paperSize="9" orientation="portrait" horizontalDpi="30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8"/>
  <sheetViews>
    <sheetView showGridLines="0" workbookViewId="0"/>
  </sheetViews>
  <sheetFormatPr defaultColWidth="10.90625" defaultRowHeight="15" x14ac:dyDescent="0.25"/>
  <cols>
    <col min="1" max="2" width="15.6328125" customWidth="1"/>
    <col min="3" max="3" width="85.6328125" customWidth="1"/>
    <col min="6" max="6" width="15.1796875" customWidth="1"/>
  </cols>
  <sheetData>
    <row r="1" spans="1:3" ht="31.2" customHeight="1" x14ac:dyDescent="0.35">
      <c r="A1" s="186" t="s">
        <v>58</v>
      </c>
      <c r="B1" s="33"/>
      <c r="C1" s="33"/>
    </row>
    <row r="2" spans="1:3" ht="15" customHeight="1" x14ac:dyDescent="0.25">
      <c r="A2" s="3" t="s">
        <v>59</v>
      </c>
      <c r="B2" s="4"/>
      <c r="C2" s="4"/>
    </row>
    <row r="3" spans="1:3" ht="15" customHeight="1" x14ac:dyDescent="0.25">
      <c r="A3" s="4" t="s">
        <v>60</v>
      </c>
      <c r="B3" s="4"/>
      <c r="C3" s="4"/>
    </row>
    <row r="4" spans="1:3" ht="15.75" customHeight="1" x14ac:dyDescent="0.3">
      <c r="A4" s="3" t="s">
        <v>61</v>
      </c>
      <c r="B4" s="4"/>
      <c r="C4" s="4"/>
    </row>
    <row r="5" spans="1:3" ht="15" customHeight="1" x14ac:dyDescent="0.25">
      <c r="A5" s="2" t="s">
        <v>62</v>
      </c>
      <c r="B5" s="4"/>
      <c r="C5" s="4"/>
    </row>
    <row r="6" spans="1:3" ht="31.2" customHeight="1" x14ac:dyDescent="0.3">
      <c r="A6" s="29" t="s">
        <v>63</v>
      </c>
      <c r="B6" s="30" t="s">
        <v>64</v>
      </c>
      <c r="C6" s="30" t="s">
        <v>65</v>
      </c>
    </row>
    <row r="7" spans="1:3" ht="15" customHeight="1" x14ac:dyDescent="0.25">
      <c r="A7" s="31" t="s">
        <v>66</v>
      </c>
      <c r="B7" s="34" t="s">
        <v>67</v>
      </c>
      <c r="C7" s="32" t="s">
        <v>68</v>
      </c>
    </row>
    <row r="8" spans="1:3" ht="15" customHeight="1" x14ac:dyDescent="0.25">
      <c r="A8" s="35" t="s">
        <v>69</v>
      </c>
      <c r="B8" s="27" t="s">
        <v>70</v>
      </c>
      <c r="C8" s="36" t="s">
        <v>71</v>
      </c>
    </row>
    <row r="9" spans="1:3" ht="15" customHeight="1" x14ac:dyDescent="0.25">
      <c r="A9" s="25" t="s">
        <v>72</v>
      </c>
      <c r="B9" s="28" t="s">
        <v>73</v>
      </c>
      <c r="C9" s="26" t="s">
        <v>74</v>
      </c>
    </row>
    <row r="10" spans="1:3" ht="15" customHeight="1" x14ac:dyDescent="0.25">
      <c r="A10" s="37" t="s">
        <v>75</v>
      </c>
      <c r="B10" s="23" t="s">
        <v>76</v>
      </c>
      <c r="C10" s="24" t="s">
        <v>77</v>
      </c>
    </row>
    <row r="11" spans="1:3" ht="31.2" customHeight="1" x14ac:dyDescent="0.3">
      <c r="A11" s="3" t="s">
        <v>78</v>
      </c>
      <c r="B11" s="4"/>
      <c r="C11" s="4"/>
    </row>
    <row r="12" spans="1:3" ht="15" customHeight="1" x14ac:dyDescent="0.25">
      <c r="A12" s="3" t="s">
        <v>79</v>
      </c>
      <c r="B12" s="4"/>
      <c r="C12" s="4"/>
    </row>
    <row r="13" spans="1:3" ht="15.75" customHeight="1" x14ac:dyDescent="0.25">
      <c r="A13" s="3" t="s">
        <v>80</v>
      </c>
      <c r="C13" s="4"/>
    </row>
    <row r="14" spans="1:3" ht="15.75" customHeight="1" x14ac:dyDescent="0.3">
      <c r="A14" s="3" t="s">
        <v>81</v>
      </c>
      <c r="B14" s="30"/>
      <c r="C14" s="4"/>
    </row>
    <row r="15" spans="1:3" ht="15" customHeight="1" x14ac:dyDescent="0.25">
      <c r="A15" s="3" t="s">
        <v>82</v>
      </c>
      <c r="B15" s="3"/>
      <c r="C15" s="4"/>
    </row>
    <row r="16" spans="1:3" ht="15" customHeight="1" x14ac:dyDescent="0.25">
      <c r="A16" s="3" t="s">
        <v>83</v>
      </c>
      <c r="B16" s="3"/>
      <c r="C16" s="4"/>
    </row>
    <row r="17" spans="1:3" ht="15" customHeight="1" x14ac:dyDescent="0.25">
      <c r="A17" s="3" t="s">
        <v>84</v>
      </c>
      <c r="B17" s="3"/>
      <c r="C17" s="4"/>
    </row>
    <row r="18" spans="1:3" ht="15" customHeight="1" x14ac:dyDescent="0.25">
      <c r="A18" s="184" t="s">
        <v>85</v>
      </c>
      <c r="C18" s="4"/>
    </row>
  </sheetData>
  <conditionalFormatting sqref="I2">
    <cfRule type="expression" dxfId="2" priority="1" stopIfTrue="1">
      <formula>IF(J2="d",TRUE,FALSE)</formula>
    </cfRule>
    <cfRule type="expression" dxfId="1" priority="2" stopIfTrue="1">
      <formula>IF(J2="b", TRUE,FALSE)</formula>
    </cfRule>
    <cfRule type="expression" dxfId="0" priority="3" stopIfTrue="1">
      <formula>IF(J2="c", TRUE, FALSE)</formula>
    </cfRule>
  </conditionalFormatting>
  <hyperlinks>
    <hyperlink ref="A18" r:id="rId1" xr:uid="{00000000-0004-0000-0200-000000000000}"/>
  </hyperlinks>
  <pageMargins left="0.7" right="0.7" top="0.75" bottom="0.75" header="0.3" footer="0.3"/>
  <pageSetup paperSize="9" orientation="portrait" horizontalDpi="300" verticalDpi="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14"/>
  <sheetViews>
    <sheetView showGridLines="0" workbookViewId="0"/>
  </sheetViews>
  <sheetFormatPr defaultColWidth="10.90625" defaultRowHeight="15" x14ac:dyDescent="0.25"/>
  <cols>
    <col min="1" max="1" width="115.6328125" customWidth="1"/>
  </cols>
  <sheetData>
    <row r="1" spans="1:1" ht="31.2" customHeight="1" x14ac:dyDescent="0.25">
      <c r="A1" s="192" t="s">
        <v>86</v>
      </c>
    </row>
    <row r="2" spans="1:1" ht="30" x14ac:dyDescent="0.25">
      <c r="A2" s="189" t="s">
        <v>87</v>
      </c>
    </row>
    <row r="3" spans="1:1" ht="30" x14ac:dyDescent="0.25">
      <c r="A3" s="189" t="s">
        <v>88</v>
      </c>
    </row>
    <row r="4" spans="1:1" ht="30" x14ac:dyDescent="0.25">
      <c r="A4" s="190" t="s">
        <v>89</v>
      </c>
    </row>
    <row r="5" spans="1:1" ht="31.2" customHeight="1" x14ac:dyDescent="0.25">
      <c r="A5" s="191" t="s">
        <v>90</v>
      </c>
    </row>
    <row r="6" spans="1:1" x14ac:dyDescent="0.25">
      <c r="A6" s="189" t="s">
        <v>91</v>
      </c>
    </row>
    <row r="7" spans="1:1" ht="31.2" customHeight="1" x14ac:dyDescent="0.25">
      <c r="A7" s="191" t="s">
        <v>92</v>
      </c>
    </row>
    <row r="8" spans="1:1" ht="31.2" customHeight="1" x14ac:dyDescent="0.25">
      <c r="A8" s="190" t="s">
        <v>93</v>
      </c>
    </row>
    <row r="9" spans="1:1" ht="30" customHeight="1" x14ac:dyDescent="0.3">
      <c r="A9" s="193" t="s">
        <v>94</v>
      </c>
    </row>
    <row r="10" spans="1:1" x14ac:dyDescent="0.25">
      <c r="A10" s="187" t="s">
        <v>95</v>
      </c>
    </row>
    <row r="11" spans="1:1" x14ac:dyDescent="0.25">
      <c r="A11" s="187" t="s">
        <v>96</v>
      </c>
    </row>
    <row r="12" spans="1:1" x14ac:dyDescent="0.25">
      <c r="A12" s="187" t="s">
        <v>97</v>
      </c>
    </row>
    <row r="13" spans="1:1" x14ac:dyDescent="0.25">
      <c r="A13" s="188" t="s">
        <v>98</v>
      </c>
    </row>
    <row r="14" spans="1:1" x14ac:dyDescent="0.25">
      <c r="A14" s="188" t="s">
        <v>99</v>
      </c>
    </row>
  </sheetData>
  <hyperlinks>
    <hyperlink ref="A10" r:id="rId1" display="https://www.ons.gov.uk/employmentandlabourmarket/peopleinwork/employmentandemployeetypes/articles/coronavirusanditsimpactonthelabourforcesurvey/2020-10-13" xr:uid="{00000000-0004-0000-0300-000000000000}"/>
    <hyperlink ref="A11" r:id="rId2" display="https://blog.ons.gov.uk/2020/10/12/measuring-the-labour-market-during-the-pandemic/" xr:uid="{00000000-0004-0000-0300-000001000000}"/>
    <hyperlink ref="A12" r:id="rId3" display="https://blog.ons.gov.uk/2021/01/25/understanding-how-the-pandemic-population/" xr:uid="{00000000-0004-0000-0300-000002000000}"/>
    <hyperlink ref="A13" r:id="rId4" xr:uid="{00000000-0004-0000-0300-000003000000}"/>
    <hyperlink ref="A14" r:id="rId5" xr:uid="{00000000-0004-0000-0300-000004000000}"/>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V29"/>
  <sheetViews>
    <sheetView showGridLines="0" zoomScaleNormal="10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56" ht="19.5" customHeight="1" x14ac:dyDescent="0.3">
      <c r="A1" s="196" t="s">
        <v>0</v>
      </c>
      <c r="E1" s="101"/>
      <c r="F1" s="101"/>
      <c r="G1" s="101"/>
    </row>
    <row r="2" spans="1:256" ht="31.2" customHeight="1" x14ac:dyDescent="0.3">
      <c r="A2" s="197" t="s">
        <v>100</v>
      </c>
      <c r="E2" s="101"/>
      <c r="F2" s="101"/>
      <c r="G2" s="101"/>
    </row>
    <row r="3" spans="1:256" ht="15.6" customHeight="1" x14ac:dyDescent="0.3">
      <c r="A3" s="38" t="s">
        <v>101</v>
      </c>
      <c r="E3" s="102"/>
      <c r="F3" s="102"/>
      <c r="G3" s="102"/>
    </row>
    <row r="4" spans="1:256" ht="15.6" customHeight="1" x14ac:dyDescent="0.3">
      <c r="A4" s="38" t="s">
        <v>102</v>
      </c>
      <c r="E4" s="102"/>
      <c r="F4" s="102"/>
      <c r="G4" s="102"/>
    </row>
    <row r="5" spans="1:256" ht="15.75" customHeight="1" x14ac:dyDescent="0.3">
      <c r="A5" s="38" t="s">
        <v>103</v>
      </c>
      <c r="E5" s="102"/>
      <c r="F5" s="102"/>
      <c r="G5" s="102"/>
    </row>
    <row r="6" spans="1:256" ht="15.75" customHeight="1" x14ac:dyDescent="0.3">
      <c r="A6" s="38" t="s">
        <v>188</v>
      </c>
      <c r="E6" s="102"/>
      <c r="F6" s="102"/>
      <c r="G6" s="102"/>
    </row>
    <row r="7" spans="1:256" ht="15.6" customHeight="1" x14ac:dyDescent="0.3">
      <c r="A7" s="38" t="s">
        <v>189</v>
      </c>
      <c r="B7" s="99"/>
      <c r="C7" s="99"/>
      <c r="D7" s="99"/>
      <c r="E7" s="99"/>
      <c r="F7" s="99"/>
      <c r="G7" s="99"/>
      <c r="H7" s="99"/>
      <c r="I7" s="99"/>
      <c r="J7" s="99"/>
      <c r="K7" s="99"/>
      <c r="L7" s="99"/>
      <c r="M7" s="99"/>
      <c r="N7" s="99"/>
      <c r="O7" s="99"/>
      <c r="P7" s="99"/>
      <c r="Q7" s="99"/>
      <c r="R7" s="99"/>
      <c r="S7" s="99"/>
      <c r="T7" s="99"/>
      <c r="U7" s="99"/>
      <c r="V7" s="99"/>
      <c r="W7" s="99"/>
      <c r="X7" s="99"/>
      <c r="Y7" s="99"/>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c r="CK7" s="100"/>
      <c r="CL7" s="100"/>
      <c r="CM7" s="100"/>
      <c r="CN7" s="100"/>
      <c r="CO7" s="100"/>
      <c r="CP7" s="100"/>
      <c r="CQ7" s="100"/>
      <c r="CR7" s="100"/>
      <c r="CS7" s="100"/>
      <c r="CT7" s="100"/>
      <c r="CU7" s="100"/>
      <c r="CV7" s="100"/>
      <c r="CW7" s="100"/>
      <c r="CX7" s="100"/>
      <c r="CY7" s="100"/>
      <c r="CZ7" s="100"/>
      <c r="DA7" s="100"/>
      <c r="DB7" s="100"/>
      <c r="DC7" s="100"/>
      <c r="DD7" s="100"/>
      <c r="DE7" s="100"/>
      <c r="DF7" s="100"/>
      <c r="DG7" s="100"/>
      <c r="DH7" s="100"/>
      <c r="DI7" s="100"/>
      <c r="DJ7" s="100"/>
      <c r="DK7" s="100"/>
      <c r="DL7" s="100"/>
      <c r="DM7" s="100"/>
      <c r="DN7" s="100"/>
      <c r="DO7" s="100"/>
      <c r="DP7" s="100"/>
      <c r="DQ7" s="100"/>
      <c r="DR7" s="100"/>
      <c r="DS7" s="100"/>
      <c r="DT7" s="100"/>
      <c r="DU7" s="100"/>
      <c r="DV7" s="100"/>
      <c r="DW7" s="100"/>
      <c r="DX7" s="100"/>
      <c r="DY7" s="100"/>
      <c r="DZ7" s="100"/>
      <c r="EA7" s="100"/>
      <c r="EB7" s="100"/>
      <c r="EC7" s="100"/>
      <c r="ED7" s="100"/>
      <c r="EE7" s="100"/>
      <c r="EF7" s="100"/>
      <c r="EG7" s="100"/>
      <c r="EH7" s="100"/>
      <c r="EI7" s="100"/>
      <c r="EJ7" s="100"/>
      <c r="EK7" s="100"/>
      <c r="EL7" s="100"/>
      <c r="EM7" s="100"/>
      <c r="EN7" s="100"/>
      <c r="EO7" s="100"/>
      <c r="EP7" s="100"/>
      <c r="EQ7" s="100"/>
      <c r="ER7" s="100"/>
      <c r="ES7" s="100"/>
      <c r="ET7" s="100"/>
      <c r="EU7" s="100"/>
      <c r="EV7" s="100"/>
      <c r="EW7" s="100"/>
      <c r="EX7" s="100"/>
      <c r="EY7" s="100"/>
      <c r="EZ7" s="100"/>
      <c r="FA7" s="100"/>
      <c r="FB7" s="100"/>
      <c r="FC7" s="100"/>
      <c r="FD7" s="100"/>
      <c r="FE7" s="100"/>
      <c r="FF7" s="100"/>
      <c r="FG7" s="100"/>
      <c r="FH7" s="100"/>
      <c r="FI7" s="100"/>
      <c r="FJ7" s="100"/>
      <c r="FK7" s="100"/>
      <c r="FL7" s="100"/>
      <c r="FM7" s="100"/>
      <c r="FN7" s="100"/>
      <c r="FO7" s="100"/>
      <c r="FP7" s="100"/>
      <c r="FQ7" s="100"/>
      <c r="FR7" s="100"/>
      <c r="FS7" s="100"/>
      <c r="FT7" s="100"/>
      <c r="FU7" s="100"/>
      <c r="FV7" s="100"/>
      <c r="FW7" s="100"/>
      <c r="FX7" s="100"/>
      <c r="FY7" s="100"/>
      <c r="FZ7" s="100"/>
      <c r="GA7" s="100"/>
      <c r="GB7" s="100"/>
      <c r="GC7" s="100"/>
      <c r="GD7" s="100"/>
      <c r="GE7" s="100"/>
      <c r="GF7" s="100"/>
      <c r="GG7" s="100"/>
      <c r="GH7" s="100"/>
      <c r="GI7" s="100"/>
      <c r="GJ7" s="100"/>
      <c r="GK7" s="100"/>
      <c r="GL7" s="100"/>
      <c r="GM7" s="100"/>
      <c r="GN7" s="100"/>
      <c r="GO7" s="100"/>
      <c r="GP7" s="100"/>
      <c r="GQ7" s="100"/>
      <c r="GR7" s="100"/>
      <c r="GS7" s="100"/>
      <c r="GT7" s="100"/>
      <c r="GU7" s="100"/>
      <c r="GV7" s="100"/>
      <c r="GW7" s="100"/>
      <c r="GX7" s="100"/>
      <c r="GY7" s="100"/>
      <c r="GZ7" s="100"/>
      <c r="HA7" s="100"/>
      <c r="HB7" s="100"/>
      <c r="HC7" s="100"/>
      <c r="HD7" s="100"/>
      <c r="HE7" s="100"/>
      <c r="HF7" s="100"/>
      <c r="HG7" s="100"/>
      <c r="HH7" s="100"/>
      <c r="HI7" s="100"/>
      <c r="HJ7" s="100"/>
      <c r="HK7" s="100"/>
      <c r="HL7" s="100"/>
      <c r="HM7" s="100"/>
      <c r="HN7" s="100"/>
      <c r="HO7" s="100"/>
      <c r="HP7" s="100"/>
      <c r="HQ7" s="100"/>
      <c r="HR7" s="100"/>
    </row>
    <row r="8" spans="1:256" ht="31.2" customHeight="1" x14ac:dyDescent="0.25">
      <c r="A8" s="48" t="s">
        <v>104</v>
      </c>
      <c r="E8" s="3"/>
      <c r="F8" s="3"/>
      <c r="G8" s="3"/>
    </row>
    <row r="9" spans="1:256" x14ac:dyDescent="0.25">
      <c r="A9" s="185" t="s">
        <v>105</v>
      </c>
      <c r="E9" s="3"/>
      <c r="F9" s="3"/>
      <c r="G9" s="3"/>
    </row>
    <row r="10" spans="1:256" ht="15.6" customHeight="1" x14ac:dyDescent="0.25">
      <c r="A10" s="185" t="s">
        <v>106</v>
      </c>
      <c r="E10" s="3"/>
      <c r="F10" s="3"/>
      <c r="G10" s="3"/>
    </row>
    <row r="11" spans="1:256" ht="31.2" customHeight="1" x14ac:dyDescent="0.25">
      <c r="A11" s="195" t="s">
        <v>107</v>
      </c>
      <c r="E11" s="3"/>
      <c r="F11" s="3"/>
      <c r="G11" s="3"/>
    </row>
    <row r="12" spans="1:256" ht="30" customHeight="1" x14ac:dyDescent="0.25">
      <c r="A12" s="58" t="s">
        <v>108</v>
      </c>
      <c r="B12" s="57" t="s">
        <v>109</v>
      </c>
      <c r="C12" s="42" t="s">
        <v>110</v>
      </c>
      <c r="D12" s="43" t="s">
        <v>111</v>
      </c>
      <c r="E12" s="57" t="s">
        <v>112</v>
      </c>
      <c r="F12" s="42" t="s">
        <v>113</v>
      </c>
      <c r="G12" s="43" t="s">
        <v>114</v>
      </c>
      <c r="H12" s="57" t="s">
        <v>115</v>
      </c>
      <c r="I12" s="42" t="s">
        <v>116</v>
      </c>
      <c r="J12" s="43" t="s">
        <v>117</v>
      </c>
      <c r="K12" s="57" t="s">
        <v>118</v>
      </c>
      <c r="L12" s="42" t="s">
        <v>119</v>
      </c>
      <c r="M12" s="43" t="s">
        <v>120</v>
      </c>
      <c r="N12" s="57" t="s">
        <v>121</v>
      </c>
      <c r="O12" s="42" t="s">
        <v>122</v>
      </c>
      <c r="P12" s="43" t="s">
        <v>123</v>
      </c>
      <c r="Q12" s="57" t="s">
        <v>124</v>
      </c>
      <c r="R12" s="42" t="s">
        <v>125</v>
      </c>
      <c r="S12" s="62" t="s">
        <v>126</v>
      </c>
      <c r="T12" s="59" t="s">
        <v>127</v>
      </c>
      <c r="U12" s="42" t="s">
        <v>128</v>
      </c>
      <c r="V12" s="43" t="s">
        <v>129</v>
      </c>
      <c r="W12" s="61" t="s">
        <v>130</v>
      </c>
      <c r="X12" s="86" t="s">
        <v>131</v>
      </c>
      <c r="Y12" s="43" t="s">
        <v>132</v>
      </c>
      <c r="Z12" s="57" t="s">
        <v>133</v>
      </c>
      <c r="AA12" s="42" t="s">
        <v>134</v>
      </c>
      <c r="AB12" s="43" t="s">
        <v>135</v>
      </c>
      <c r="AC12" s="57" t="s">
        <v>136</v>
      </c>
      <c r="AD12" s="42" t="s">
        <v>137</v>
      </c>
      <c r="AE12" s="60" t="s">
        <v>138</v>
      </c>
      <c r="AF12" s="61" t="s">
        <v>139</v>
      </c>
      <c r="AG12" s="42" t="s">
        <v>140</v>
      </c>
      <c r="AH12" s="62" t="s">
        <v>141</v>
      </c>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x14ac:dyDescent="0.25">
      <c r="A13" s="38" t="s">
        <v>142</v>
      </c>
      <c r="B13" s="198">
        <v>361</v>
      </c>
      <c r="C13" s="210" t="s">
        <v>179</v>
      </c>
      <c r="D13" s="199">
        <v>47</v>
      </c>
      <c r="E13" s="64">
        <v>387</v>
      </c>
      <c r="F13" s="56" t="s">
        <v>70</v>
      </c>
      <c r="G13" s="74">
        <v>54</v>
      </c>
      <c r="H13" s="64">
        <v>419</v>
      </c>
      <c r="I13" s="56" t="s">
        <v>70</v>
      </c>
      <c r="J13" s="74">
        <v>67</v>
      </c>
      <c r="K13" s="64">
        <v>401</v>
      </c>
      <c r="L13" s="44" t="s">
        <v>70</v>
      </c>
      <c r="M13" s="79">
        <v>49</v>
      </c>
      <c r="N13" s="64">
        <v>393</v>
      </c>
      <c r="O13" s="44" t="s">
        <v>70</v>
      </c>
      <c r="P13" s="94">
        <v>41</v>
      </c>
      <c r="Q13" s="88">
        <v>386</v>
      </c>
      <c r="R13" s="44" t="s">
        <v>70</v>
      </c>
      <c r="S13" s="94">
        <v>49</v>
      </c>
      <c r="T13" s="88">
        <v>378</v>
      </c>
      <c r="U13" s="44" t="s">
        <v>70</v>
      </c>
      <c r="V13" s="94">
        <v>37</v>
      </c>
      <c r="W13" s="54">
        <v>404</v>
      </c>
      <c r="X13" s="44" t="s">
        <v>67</v>
      </c>
      <c r="Y13" s="94">
        <v>38</v>
      </c>
      <c r="Z13" s="88">
        <v>336</v>
      </c>
      <c r="AA13" s="44" t="s">
        <v>70</v>
      </c>
      <c r="AB13" s="94">
        <v>37</v>
      </c>
      <c r="AC13" s="54">
        <v>412</v>
      </c>
      <c r="AD13" s="44" t="s">
        <v>67</v>
      </c>
      <c r="AE13" s="94">
        <v>40</v>
      </c>
      <c r="AF13" s="88">
        <v>371</v>
      </c>
      <c r="AG13" s="44" t="s">
        <v>70</v>
      </c>
      <c r="AH13" s="79">
        <v>37</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25">
      <c r="A14" s="38" t="s">
        <v>143</v>
      </c>
      <c r="B14" s="200">
        <v>180</v>
      </c>
      <c r="C14" s="211" t="s">
        <v>179</v>
      </c>
      <c r="D14" s="201">
        <v>25</v>
      </c>
      <c r="E14" s="64">
        <v>185</v>
      </c>
      <c r="F14" s="56" t="s">
        <v>70</v>
      </c>
      <c r="G14" s="74">
        <v>28</v>
      </c>
      <c r="H14" s="64">
        <v>193</v>
      </c>
      <c r="I14" s="56" t="s">
        <v>70</v>
      </c>
      <c r="J14" s="74">
        <v>34</v>
      </c>
      <c r="K14" s="64">
        <v>182</v>
      </c>
      <c r="L14" s="44" t="s">
        <v>70</v>
      </c>
      <c r="M14" s="79">
        <v>25</v>
      </c>
      <c r="N14" s="64">
        <v>194</v>
      </c>
      <c r="O14" s="44" t="s">
        <v>70</v>
      </c>
      <c r="P14" s="94">
        <v>24</v>
      </c>
      <c r="Q14" s="88">
        <v>210</v>
      </c>
      <c r="R14" s="44" t="s">
        <v>70</v>
      </c>
      <c r="S14" s="94">
        <v>32</v>
      </c>
      <c r="T14" s="88">
        <v>207</v>
      </c>
      <c r="U14" s="44" t="s">
        <v>70</v>
      </c>
      <c r="V14" s="94">
        <v>23</v>
      </c>
      <c r="W14" s="88">
        <v>200</v>
      </c>
      <c r="X14" s="44" t="s">
        <v>70</v>
      </c>
      <c r="Y14" s="94">
        <v>21</v>
      </c>
      <c r="Z14" s="88">
        <v>177</v>
      </c>
      <c r="AA14" s="44" t="s">
        <v>70</v>
      </c>
      <c r="AB14" s="94">
        <v>22</v>
      </c>
      <c r="AC14" s="88">
        <v>207</v>
      </c>
      <c r="AD14" s="44" t="s">
        <v>70</v>
      </c>
      <c r="AE14" s="94">
        <v>22</v>
      </c>
      <c r="AF14" s="88">
        <v>205</v>
      </c>
      <c r="AG14" s="44" t="s">
        <v>70</v>
      </c>
      <c r="AH14" s="79">
        <v>21</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25">
      <c r="A15" s="38" t="s">
        <v>144</v>
      </c>
      <c r="B15" s="216">
        <v>182</v>
      </c>
      <c r="C15" s="212" t="s">
        <v>180</v>
      </c>
      <c r="D15" s="203">
        <v>41</v>
      </c>
      <c r="E15" s="65">
        <v>202</v>
      </c>
      <c r="F15" s="56" t="s">
        <v>73</v>
      </c>
      <c r="G15" s="74">
        <v>45</v>
      </c>
      <c r="H15" s="65">
        <v>226</v>
      </c>
      <c r="I15" s="56" t="s">
        <v>73</v>
      </c>
      <c r="J15" s="74">
        <v>59</v>
      </c>
      <c r="K15" s="65">
        <v>219</v>
      </c>
      <c r="L15" s="44" t="s">
        <v>73</v>
      </c>
      <c r="M15" s="79">
        <v>45</v>
      </c>
      <c r="N15" s="64">
        <v>200</v>
      </c>
      <c r="O15" s="44" t="s">
        <v>70</v>
      </c>
      <c r="P15" s="94">
        <v>39</v>
      </c>
      <c r="Q15" s="91">
        <v>176</v>
      </c>
      <c r="R15" s="44" t="s">
        <v>73</v>
      </c>
      <c r="S15" s="94">
        <v>41</v>
      </c>
      <c r="T15" s="88">
        <v>170</v>
      </c>
      <c r="U15" s="44" t="s">
        <v>70</v>
      </c>
      <c r="V15" s="94">
        <v>32</v>
      </c>
      <c r="W15" s="88">
        <v>204</v>
      </c>
      <c r="X15" s="44" t="s">
        <v>70</v>
      </c>
      <c r="Y15" s="94">
        <v>34</v>
      </c>
      <c r="Z15" s="88">
        <v>159</v>
      </c>
      <c r="AA15" s="44" t="s">
        <v>70</v>
      </c>
      <c r="AB15" s="94">
        <v>31</v>
      </c>
      <c r="AC15" s="88">
        <v>205</v>
      </c>
      <c r="AD15" s="44" t="s">
        <v>70</v>
      </c>
      <c r="AE15" s="94">
        <v>35</v>
      </c>
      <c r="AF15" s="88">
        <v>165</v>
      </c>
      <c r="AG15" s="44" t="s">
        <v>70</v>
      </c>
      <c r="AH15" s="79">
        <v>31</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25">
      <c r="A16" s="39" t="s">
        <v>145</v>
      </c>
      <c r="B16" s="204">
        <v>21</v>
      </c>
      <c r="C16" s="211" t="s">
        <v>181</v>
      </c>
      <c r="D16" s="203">
        <v>10</v>
      </c>
      <c r="E16" s="66">
        <v>44</v>
      </c>
      <c r="F16" s="50" t="s">
        <v>76</v>
      </c>
      <c r="G16" s="75">
        <v>18</v>
      </c>
      <c r="H16" s="66">
        <v>22</v>
      </c>
      <c r="I16" s="50" t="s">
        <v>76</v>
      </c>
      <c r="J16" s="75">
        <v>12</v>
      </c>
      <c r="K16" s="215">
        <v>24</v>
      </c>
      <c r="L16" s="49" t="s">
        <v>73</v>
      </c>
      <c r="M16" s="82">
        <v>9</v>
      </c>
      <c r="N16" s="66">
        <v>26</v>
      </c>
      <c r="O16" s="52" t="s">
        <v>76</v>
      </c>
      <c r="P16" s="95">
        <v>13</v>
      </c>
      <c r="Q16" s="93">
        <v>22</v>
      </c>
      <c r="R16" s="52" t="s">
        <v>76</v>
      </c>
      <c r="S16" s="95">
        <v>10</v>
      </c>
      <c r="T16" s="90">
        <v>30</v>
      </c>
      <c r="U16" s="52" t="s">
        <v>73</v>
      </c>
      <c r="V16" s="95">
        <v>9</v>
      </c>
      <c r="W16" s="90">
        <v>29</v>
      </c>
      <c r="X16" s="52" t="s">
        <v>73</v>
      </c>
      <c r="Y16" s="95">
        <v>9</v>
      </c>
      <c r="Z16" s="90">
        <v>35</v>
      </c>
      <c r="AA16" s="52" t="s">
        <v>73</v>
      </c>
      <c r="AB16" s="95">
        <v>11</v>
      </c>
      <c r="AC16" s="90">
        <v>29</v>
      </c>
      <c r="AD16" s="52" t="s">
        <v>73</v>
      </c>
      <c r="AE16" s="95">
        <v>9</v>
      </c>
      <c r="AF16" s="90">
        <v>28</v>
      </c>
      <c r="AG16" s="52" t="s">
        <v>73</v>
      </c>
      <c r="AH16" s="80">
        <v>9</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25">
      <c r="A17" s="38" t="s">
        <v>146</v>
      </c>
      <c r="B17" s="206">
        <v>793</v>
      </c>
      <c r="C17" s="210" t="s">
        <v>182</v>
      </c>
      <c r="D17" s="205">
        <v>28</v>
      </c>
      <c r="E17" s="69">
        <v>751</v>
      </c>
      <c r="F17" s="50" t="s">
        <v>67</v>
      </c>
      <c r="G17" s="75">
        <v>37</v>
      </c>
      <c r="H17" s="69">
        <v>769</v>
      </c>
      <c r="I17" s="50" t="s">
        <v>67</v>
      </c>
      <c r="J17" s="75">
        <v>32</v>
      </c>
      <c r="K17" s="81">
        <v>749</v>
      </c>
      <c r="L17" s="52" t="s">
        <v>67</v>
      </c>
      <c r="M17" s="80">
        <v>27</v>
      </c>
      <c r="N17" s="81">
        <v>742</v>
      </c>
      <c r="O17" s="52" t="s">
        <v>67</v>
      </c>
      <c r="P17" s="95">
        <v>30</v>
      </c>
      <c r="Q17" s="51">
        <v>746</v>
      </c>
      <c r="R17" s="52" t="s">
        <v>67</v>
      </c>
      <c r="S17" s="95">
        <v>25</v>
      </c>
      <c r="T17" s="51">
        <v>765</v>
      </c>
      <c r="U17" s="52" t="s">
        <v>67</v>
      </c>
      <c r="V17" s="95">
        <v>22</v>
      </c>
      <c r="W17" s="51">
        <v>756</v>
      </c>
      <c r="X17" s="52" t="s">
        <v>67</v>
      </c>
      <c r="Y17" s="95">
        <v>22</v>
      </c>
      <c r="Z17" s="51">
        <v>759</v>
      </c>
      <c r="AA17" s="52" t="s">
        <v>67</v>
      </c>
      <c r="AB17" s="95">
        <v>26</v>
      </c>
      <c r="AC17" s="51">
        <v>743</v>
      </c>
      <c r="AD17" s="52" t="s">
        <v>67</v>
      </c>
      <c r="AE17" s="95">
        <v>22</v>
      </c>
      <c r="AF17" s="51">
        <v>749</v>
      </c>
      <c r="AG17" s="52" t="s">
        <v>67</v>
      </c>
      <c r="AH17" s="80">
        <v>22</v>
      </c>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25">
      <c r="A18" s="40" t="s">
        <v>147</v>
      </c>
      <c r="B18" s="206">
        <v>651</v>
      </c>
      <c r="C18" s="210" t="s">
        <v>182</v>
      </c>
      <c r="D18" s="199">
        <v>31</v>
      </c>
      <c r="E18" s="70">
        <v>635</v>
      </c>
      <c r="F18" s="47" t="s">
        <v>67</v>
      </c>
      <c r="G18" s="76">
        <v>39</v>
      </c>
      <c r="H18" s="70">
        <v>627</v>
      </c>
      <c r="I18" s="47" t="s">
        <v>67</v>
      </c>
      <c r="J18" s="76">
        <v>40</v>
      </c>
      <c r="K18" s="214">
        <v>603</v>
      </c>
      <c r="L18" s="44" t="s">
        <v>67</v>
      </c>
      <c r="M18" s="79">
        <v>31</v>
      </c>
      <c r="N18" s="83">
        <v>613</v>
      </c>
      <c r="O18" s="49" t="s">
        <v>67</v>
      </c>
      <c r="P18" s="96">
        <v>31</v>
      </c>
      <c r="Q18" s="97">
        <v>623</v>
      </c>
      <c r="R18" s="49" t="s">
        <v>67</v>
      </c>
      <c r="S18" s="96">
        <v>27</v>
      </c>
      <c r="T18" s="97">
        <v>632</v>
      </c>
      <c r="U18" s="49" t="s">
        <v>67</v>
      </c>
      <c r="V18" s="96">
        <v>24</v>
      </c>
      <c r="W18" s="97">
        <v>634</v>
      </c>
      <c r="X18" s="49" t="s">
        <v>67</v>
      </c>
      <c r="Y18" s="96">
        <v>24</v>
      </c>
      <c r="Z18" s="97">
        <v>632</v>
      </c>
      <c r="AA18" s="49" t="s">
        <v>67</v>
      </c>
      <c r="AB18" s="96">
        <v>27</v>
      </c>
      <c r="AC18" s="97">
        <v>615</v>
      </c>
      <c r="AD18" s="49" t="s">
        <v>67</v>
      </c>
      <c r="AE18" s="96">
        <v>24</v>
      </c>
      <c r="AF18" s="97">
        <v>608</v>
      </c>
      <c r="AG18" s="49" t="s">
        <v>67</v>
      </c>
      <c r="AH18" s="82">
        <v>24</v>
      </c>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25">
      <c r="A19" s="38" t="s">
        <v>148</v>
      </c>
      <c r="B19" s="200">
        <v>347</v>
      </c>
      <c r="C19" s="211" t="s">
        <v>179</v>
      </c>
      <c r="D19" s="201">
        <v>36</v>
      </c>
      <c r="E19" s="71">
        <v>341</v>
      </c>
      <c r="F19" s="56" t="s">
        <v>70</v>
      </c>
      <c r="G19" s="74">
        <v>44</v>
      </c>
      <c r="H19" s="64">
        <v>343</v>
      </c>
      <c r="I19" s="56" t="s">
        <v>70</v>
      </c>
      <c r="J19" s="74">
        <v>45</v>
      </c>
      <c r="K19" s="64">
        <v>318</v>
      </c>
      <c r="L19" s="44" t="s">
        <v>70</v>
      </c>
      <c r="M19" s="79">
        <v>35</v>
      </c>
      <c r="N19" s="64">
        <v>326</v>
      </c>
      <c r="O19" s="44" t="s">
        <v>70</v>
      </c>
      <c r="P19" s="94">
        <v>37</v>
      </c>
      <c r="Q19" s="88">
        <v>313</v>
      </c>
      <c r="R19" s="44" t="s">
        <v>70</v>
      </c>
      <c r="S19" s="94">
        <v>32</v>
      </c>
      <c r="T19" s="55">
        <v>322</v>
      </c>
      <c r="U19" s="44" t="s">
        <v>67</v>
      </c>
      <c r="V19" s="94">
        <v>28</v>
      </c>
      <c r="W19" s="55">
        <v>334</v>
      </c>
      <c r="X19" s="44" t="s">
        <v>67</v>
      </c>
      <c r="Y19" s="94">
        <v>28</v>
      </c>
      <c r="Z19" s="55">
        <v>339</v>
      </c>
      <c r="AA19" s="44" t="s">
        <v>67</v>
      </c>
      <c r="AB19" s="94">
        <v>30</v>
      </c>
      <c r="AC19" s="55">
        <v>312</v>
      </c>
      <c r="AD19" s="44" t="s">
        <v>67</v>
      </c>
      <c r="AE19" s="94">
        <v>27</v>
      </c>
      <c r="AF19" s="55">
        <v>309</v>
      </c>
      <c r="AG19" s="44" t="s">
        <v>67</v>
      </c>
      <c r="AH19" s="79">
        <v>26</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25">
      <c r="A20" s="38" t="s">
        <v>149</v>
      </c>
      <c r="B20" s="207">
        <v>204</v>
      </c>
      <c r="C20" s="211" t="s">
        <v>182</v>
      </c>
      <c r="D20" s="201">
        <v>20</v>
      </c>
      <c r="E20" s="71">
        <v>184</v>
      </c>
      <c r="F20" s="56" t="s">
        <v>70</v>
      </c>
      <c r="G20" s="74">
        <v>23</v>
      </c>
      <c r="H20" s="64">
        <v>186</v>
      </c>
      <c r="I20" s="56" t="s">
        <v>70</v>
      </c>
      <c r="J20" s="74">
        <v>26</v>
      </c>
      <c r="K20" s="64">
        <v>190</v>
      </c>
      <c r="L20" s="44" t="s">
        <v>70</v>
      </c>
      <c r="M20" s="79">
        <v>21</v>
      </c>
      <c r="N20" s="64">
        <v>189</v>
      </c>
      <c r="O20" s="44" t="s">
        <v>70</v>
      </c>
      <c r="P20" s="94">
        <v>26</v>
      </c>
      <c r="Q20" s="88">
        <v>203</v>
      </c>
      <c r="R20" s="44" t="s">
        <v>70</v>
      </c>
      <c r="S20" s="94">
        <v>23</v>
      </c>
      <c r="T20" s="55">
        <v>201</v>
      </c>
      <c r="U20" s="44" t="s">
        <v>67</v>
      </c>
      <c r="V20" s="94">
        <v>19</v>
      </c>
      <c r="W20" s="55">
        <v>206</v>
      </c>
      <c r="X20" s="44" t="s">
        <v>67</v>
      </c>
      <c r="Y20" s="94">
        <v>19</v>
      </c>
      <c r="Z20" s="55">
        <v>198</v>
      </c>
      <c r="AA20" s="44" t="s">
        <v>67</v>
      </c>
      <c r="AB20" s="94">
        <v>19</v>
      </c>
      <c r="AC20" s="55">
        <v>189</v>
      </c>
      <c r="AD20" s="44" t="s">
        <v>67</v>
      </c>
      <c r="AE20" s="94">
        <v>17</v>
      </c>
      <c r="AF20" s="55">
        <v>176</v>
      </c>
      <c r="AG20" s="44" t="s">
        <v>67</v>
      </c>
      <c r="AH20" s="79">
        <v>17</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25">
      <c r="A21" s="38" t="s">
        <v>150</v>
      </c>
      <c r="B21" s="202">
        <v>30</v>
      </c>
      <c r="C21" s="211" t="s">
        <v>180</v>
      </c>
      <c r="D21" s="201">
        <v>12</v>
      </c>
      <c r="E21" s="65">
        <v>40</v>
      </c>
      <c r="F21" s="56" t="s">
        <v>73</v>
      </c>
      <c r="G21" s="74">
        <v>14</v>
      </c>
      <c r="H21" s="68">
        <v>21</v>
      </c>
      <c r="I21" s="56" t="s">
        <v>76</v>
      </c>
      <c r="J21" s="74">
        <v>12</v>
      </c>
      <c r="K21" s="65">
        <v>28</v>
      </c>
      <c r="L21" s="44" t="s">
        <v>73</v>
      </c>
      <c r="M21" s="79">
        <v>11</v>
      </c>
      <c r="N21" s="65">
        <v>32</v>
      </c>
      <c r="O21" s="44" t="s">
        <v>73</v>
      </c>
      <c r="P21" s="94">
        <v>11</v>
      </c>
      <c r="Q21" s="91">
        <v>36</v>
      </c>
      <c r="R21" s="44" t="s">
        <v>73</v>
      </c>
      <c r="S21" s="94">
        <v>11</v>
      </c>
      <c r="T21" s="91">
        <v>28</v>
      </c>
      <c r="U21" s="44" t="s">
        <v>73</v>
      </c>
      <c r="V21" s="94">
        <v>8</v>
      </c>
      <c r="W21" s="91">
        <v>30</v>
      </c>
      <c r="X21" s="44" t="s">
        <v>73</v>
      </c>
      <c r="Y21" s="94">
        <v>8</v>
      </c>
      <c r="Z21" s="91">
        <v>29</v>
      </c>
      <c r="AA21" s="44" t="s">
        <v>73</v>
      </c>
      <c r="AB21" s="94">
        <v>8</v>
      </c>
      <c r="AC21" s="91">
        <v>30</v>
      </c>
      <c r="AD21" s="44" t="s">
        <v>73</v>
      </c>
      <c r="AE21" s="94">
        <v>8</v>
      </c>
      <c r="AF21" s="91">
        <v>40</v>
      </c>
      <c r="AG21" s="44" t="s">
        <v>73</v>
      </c>
      <c r="AH21" s="79">
        <v>8</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25">
      <c r="A22" s="41" t="s">
        <v>151</v>
      </c>
      <c r="B22" s="217">
        <v>70</v>
      </c>
      <c r="C22" s="212" t="s">
        <v>179</v>
      </c>
      <c r="D22" s="203">
        <v>13</v>
      </c>
      <c r="E22" s="67">
        <v>70</v>
      </c>
      <c r="F22" s="45" t="s">
        <v>73</v>
      </c>
      <c r="G22" s="77">
        <v>17</v>
      </c>
      <c r="H22" s="67">
        <v>77</v>
      </c>
      <c r="I22" s="45" t="s">
        <v>73</v>
      </c>
      <c r="J22" s="77">
        <v>21</v>
      </c>
      <c r="K22" s="65">
        <v>67</v>
      </c>
      <c r="L22" s="44" t="s">
        <v>73</v>
      </c>
      <c r="M22" s="79">
        <v>14</v>
      </c>
      <c r="N22" s="85">
        <v>66</v>
      </c>
      <c r="O22" s="46" t="s">
        <v>70</v>
      </c>
      <c r="P22" s="98">
        <v>12</v>
      </c>
      <c r="Q22" s="92">
        <v>71</v>
      </c>
      <c r="R22" s="46" t="s">
        <v>73</v>
      </c>
      <c r="S22" s="98">
        <v>15</v>
      </c>
      <c r="T22" s="89">
        <v>81</v>
      </c>
      <c r="U22" s="46" t="s">
        <v>70</v>
      </c>
      <c r="V22" s="98">
        <v>15</v>
      </c>
      <c r="W22" s="89">
        <v>64</v>
      </c>
      <c r="X22" s="46" t="s">
        <v>70</v>
      </c>
      <c r="Y22" s="98">
        <v>12</v>
      </c>
      <c r="Z22" s="89">
        <v>67</v>
      </c>
      <c r="AA22" s="46" t="s">
        <v>70</v>
      </c>
      <c r="AB22" s="98">
        <v>13</v>
      </c>
      <c r="AC22" s="89">
        <v>84</v>
      </c>
      <c r="AD22" s="46" t="s">
        <v>70</v>
      </c>
      <c r="AE22" s="98">
        <v>14</v>
      </c>
      <c r="AF22" s="89">
        <v>82</v>
      </c>
      <c r="AG22" s="46" t="s">
        <v>70</v>
      </c>
      <c r="AH22" s="84">
        <v>13</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25">
      <c r="A23" s="38" t="s">
        <v>152</v>
      </c>
      <c r="B23" s="198">
        <v>142</v>
      </c>
      <c r="C23" s="210" t="s">
        <v>179</v>
      </c>
      <c r="D23" s="199">
        <v>23</v>
      </c>
      <c r="E23" s="72">
        <v>117</v>
      </c>
      <c r="F23" s="47" t="s">
        <v>70</v>
      </c>
      <c r="G23" s="76">
        <v>21</v>
      </c>
      <c r="H23" s="63">
        <v>141</v>
      </c>
      <c r="I23" s="47" t="s">
        <v>70</v>
      </c>
      <c r="J23" s="76">
        <v>27</v>
      </c>
      <c r="K23" s="63">
        <v>146</v>
      </c>
      <c r="L23" s="49" t="s">
        <v>70</v>
      </c>
      <c r="M23" s="82">
        <v>21</v>
      </c>
      <c r="N23" s="63">
        <v>129</v>
      </c>
      <c r="O23" s="49" t="s">
        <v>70</v>
      </c>
      <c r="P23" s="96">
        <v>19</v>
      </c>
      <c r="Q23" s="87">
        <v>123</v>
      </c>
      <c r="R23" s="49" t="s">
        <v>70</v>
      </c>
      <c r="S23" s="96">
        <v>21</v>
      </c>
      <c r="T23" s="87">
        <v>133</v>
      </c>
      <c r="U23" s="49" t="s">
        <v>70</v>
      </c>
      <c r="V23" s="96">
        <v>18</v>
      </c>
      <c r="W23" s="87">
        <v>122</v>
      </c>
      <c r="X23" s="49" t="s">
        <v>70</v>
      </c>
      <c r="Y23" s="96">
        <v>16</v>
      </c>
      <c r="Z23" s="87">
        <v>127</v>
      </c>
      <c r="AA23" s="49" t="s">
        <v>70</v>
      </c>
      <c r="AB23" s="96">
        <v>17</v>
      </c>
      <c r="AC23" s="87">
        <v>128</v>
      </c>
      <c r="AD23" s="49" t="s">
        <v>70</v>
      </c>
      <c r="AE23" s="96">
        <v>17</v>
      </c>
      <c r="AF23" s="87">
        <v>141</v>
      </c>
      <c r="AG23" s="49" t="s">
        <v>70</v>
      </c>
      <c r="AH23" s="82">
        <v>17</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25">
      <c r="A24" s="38" t="s">
        <v>153</v>
      </c>
      <c r="B24" s="202">
        <v>95</v>
      </c>
      <c r="C24" s="211" t="s">
        <v>180</v>
      </c>
      <c r="D24" s="201">
        <v>20</v>
      </c>
      <c r="E24" s="65">
        <v>73</v>
      </c>
      <c r="F24" s="56" t="s">
        <v>73</v>
      </c>
      <c r="G24" s="74">
        <v>16</v>
      </c>
      <c r="H24" s="65">
        <v>84</v>
      </c>
      <c r="I24" s="56" t="s">
        <v>73</v>
      </c>
      <c r="J24" s="74">
        <v>23</v>
      </c>
      <c r="K24" s="64">
        <v>106</v>
      </c>
      <c r="L24" s="44" t="s">
        <v>70</v>
      </c>
      <c r="M24" s="79">
        <v>18</v>
      </c>
      <c r="N24" s="65">
        <v>85</v>
      </c>
      <c r="O24" s="44" t="s">
        <v>73</v>
      </c>
      <c r="P24" s="94">
        <v>17</v>
      </c>
      <c r="Q24" s="91">
        <v>86</v>
      </c>
      <c r="R24" s="44" t="s">
        <v>73</v>
      </c>
      <c r="S24" s="94">
        <v>18</v>
      </c>
      <c r="T24" s="88">
        <v>81</v>
      </c>
      <c r="U24" s="44" t="s">
        <v>70</v>
      </c>
      <c r="V24" s="94">
        <v>13</v>
      </c>
      <c r="W24" s="88">
        <v>77</v>
      </c>
      <c r="X24" s="44" t="s">
        <v>70</v>
      </c>
      <c r="Y24" s="94">
        <v>12</v>
      </c>
      <c r="Z24" s="88">
        <v>76</v>
      </c>
      <c r="AA24" s="44" t="s">
        <v>70</v>
      </c>
      <c r="AB24" s="94">
        <v>13</v>
      </c>
      <c r="AC24" s="88">
        <v>80</v>
      </c>
      <c r="AD24" s="44" t="s">
        <v>70</v>
      </c>
      <c r="AE24" s="94">
        <v>13</v>
      </c>
      <c r="AF24" s="88">
        <v>97</v>
      </c>
      <c r="AG24" s="44" t="s">
        <v>70</v>
      </c>
      <c r="AH24" s="79">
        <v>14</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25">
      <c r="A25" s="38" t="s">
        <v>151</v>
      </c>
      <c r="B25" s="216">
        <v>47</v>
      </c>
      <c r="C25" s="212" t="s">
        <v>180</v>
      </c>
      <c r="D25" s="203">
        <v>12</v>
      </c>
      <c r="E25" s="67">
        <v>43</v>
      </c>
      <c r="F25" s="45" t="s">
        <v>73</v>
      </c>
      <c r="G25" s="77">
        <v>14</v>
      </c>
      <c r="H25" s="67">
        <v>57</v>
      </c>
      <c r="I25" s="45" t="s">
        <v>73</v>
      </c>
      <c r="J25" s="77">
        <v>17</v>
      </c>
      <c r="K25" s="67">
        <v>40</v>
      </c>
      <c r="L25" s="46" t="s">
        <v>73</v>
      </c>
      <c r="M25" s="84">
        <v>11</v>
      </c>
      <c r="N25" s="67">
        <v>44</v>
      </c>
      <c r="O25" s="46" t="s">
        <v>73</v>
      </c>
      <c r="P25" s="98">
        <v>11</v>
      </c>
      <c r="Q25" s="92">
        <v>37</v>
      </c>
      <c r="R25" s="46" t="s">
        <v>73</v>
      </c>
      <c r="S25" s="98">
        <v>12</v>
      </c>
      <c r="T25" s="92">
        <v>52</v>
      </c>
      <c r="U25" s="46" t="s">
        <v>73</v>
      </c>
      <c r="V25" s="98">
        <v>12</v>
      </c>
      <c r="W25" s="92">
        <v>45</v>
      </c>
      <c r="X25" s="46" t="s">
        <v>73</v>
      </c>
      <c r="Y25" s="98">
        <v>11</v>
      </c>
      <c r="Z25" s="92">
        <v>51</v>
      </c>
      <c r="AA25" s="46" t="s">
        <v>73</v>
      </c>
      <c r="AB25" s="98">
        <v>12</v>
      </c>
      <c r="AC25" s="92">
        <v>48</v>
      </c>
      <c r="AD25" s="46" t="s">
        <v>73</v>
      </c>
      <c r="AE25" s="98">
        <v>11</v>
      </c>
      <c r="AF25" s="92">
        <v>44</v>
      </c>
      <c r="AG25" s="46" t="s">
        <v>73</v>
      </c>
      <c r="AH25" s="84">
        <v>10</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25">
      <c r="A26" s="39" t="s">
        <v>154</v>
      </c>
      <c r="B26" s="208">
        <v>10</v>
      </c>
      <c r="C26" s="212" t="s">
        <v>181</v>
      </c>
      <c r="D26" s="203">
        <v>7</v>
      </c>
      <c r="E26" s="66">
        <v>10</v>
      </c>
      <c r="F26" s="50" t="s">
        <v>76</v>
      </c>
      <c r="G26" s="75">
        <v>8</v>
      </c>
      <c r="H26" s="66">
        <v>5</v>
      </c>
      <c r="I26" s="50" t="s">
        <v>76</v>
      </c>
      <c r="J26" s="75">
        <v>5</v>
      </c>
      <c r="K26" s="66">
        <v>7</v>
      </c>
      <c r="L26" s="52" t="s">
        <v>76</v>
      </c>
      <c r="M26" s="80">
        <v>5</v>
      </c>
      <c r="N26" s="66">
        <v>6</v>
      </c>
      <c r="O26" s="52" t="s">
        <v>76</v>
      </c>
      <c r="P26" s="95">
        <v>5</v>
      </c>
      <c r="Q26" s="93">
        <v>6</v>
      </c>
      <c r="R26" s="52" t="s">
        <v>76</v>
      </c>
      <c r="S26" s="95">
        <v>5</v>
      </c>
      <c r="T26" s="93">
        <v>2</v>
      </c>
      <c r="U26" s="52" t="s">
        <v>76</v>
      </c>
      <c r="V26" s="95">
        <v>3</v>
      </c>
      <c r="W26" s="93">
        <v>3</v>
      </c>
      <c r="X26" s="52" t="s">
        <v>76</v>
      </c>
      <c r="Y26" s="95">
        <v>3</v>
      </c>
      <c r="Z26" s="93">
        <v>11</v>
      </c>
      <c r="AA26" s="52" t="s">
        <v>76</v>
      </c>
      <c r="AB26" s="95">
        <v>5</v>
      </c>
      <c r="AC26" s="93">
        <v>5</v>
      </c>
      <c r="AD26" s="52" t="s">
        <v>76</v>
      </c>
      <c r="AE26" s="95">
        <v>4</v>
      </c>
      <c r="AF26" s="93">
        <v>8</v>
      </c>
      <c r="AG26" s="52" t="s">
        <v>76</v>
      </c>
      <c r="AH26" s="80">
        <v>4</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25">
      <c r="A27" s="40" t="s">
        <v>155</v>
      </c>
      <c r="B27" s="209">
        <v>1185</v>
      </c>
      <c r="C27" s="213" t="s">
        <v>182</v>
      </c>
      <c r="D27" s="205">
        <v>43</v>
      </c>
      <c r="E27" s="73">
        <v>1192</v>
      </c>
      <c r="F27" s="45" t="s">
        <v>67</v>
      </c>
      <c r="G27" s="77">
        <v>53</v>
      </c>
      <c r="H27" s="73">
        <v>1215</v>
      </c>
      <c r="I27" s="45" t="s">
        <v>67</v>
      </c>
      <c r="J27" s="77">
        <v>61</v>
      </c>
      <c r="K27" s="78">
        <v>1180</v>
      </c>
      <c r="L27" s="46" t="s">
        <v>67</v>
      </c>
      <c r="M27" s="84">
        <v>43</v>
      </c>
      <c r="N27" s="78">
        <v>1168</v>
      </c>
      <c r="O27" s="46" t="s">
        <v>67</v>
      </c>
      <c r="P27" s="98">
        <v>45</v>
      </c>
      <c r="Q27" s="53">
        <v>1160</v>
      </c>
      <c r="R27" s="46" t="s">
        <v>67</v>
      </c>
      <c r="S27" s="98">
        <v>40</v>
      </c>
      <c r="T27" s="53">
        <v>1175</v>
      </c>
      <c r="U27" s="46" t="s">
        <v>67</v>
      </c>
      <c r="V27" s="98">
        <v>28</v>
      </c>
      <c r="W27" s="53">
        <v>1191</v>
      </c>
      <c r="X27" s="46" t="s">
        <v>67</v>
      </c>
      <c r="Y27" s="98">
        <v>29</v>
      </c>
      <c r="Z27" s="53">
        <v>1141</v>
      </c>
      <c r="AA27" s="46" t="s">
        <v>67</v>
      </c>
      <c r="AB27" s="98">
        <v>28</v>
      </c>
      <c r="AC27" s="53">
        <v>1190</v>
      </c>
      <c r="AD27" s="46" t="s">
        <v>67</v>
      </c>
      <c r="AE27" s="98">
        <v>30</v>
      </c>
      <c r="AF27" s="53">
        <v>1155</v>
      </c>
      <c r="AG27" s="46" t="s">
        <v>67</v>
      </c>
      <c r="AH27" s="84">
        <v>28</v>
      </c>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row r="28" spans="1:256" x14ac:dyDescent="0.25">
      <c r="A28" s="4"/>
      <c r="B28" s="4"/>
      <c r="C28" s="4"/>
      <c r="D28" s="4"/>
      <c r="E28" s="3"/>
      <c r="F28" s="3"/>
      <c r="G28" s="3"/>
      <c r="H28" s="4"/>
      <c r="I28" s="4"/>
      <c r="J28" s="4"/>
      <c r="K28" s="4"/>
      <c r="L28" s="4"/>
      <c r="M28" s="4"/>
      <c r="N28" s="4"/>
      <c r="O28" s="4"/>
      <c r="P28" s="4"/>
      <c r="Q28" s="4"/>
      <c r="R28" s="4"/>
      <c r="S28" s="4"/>
      <c r="T28" s="4"/>
      <c r="U28" s="4"/>
      <c r="V28" s="4"/>
      <c r="W28" s="4"/>
      <c r="X28" s="4"/>
      <c r="Y28" s="4"/>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row>
    <row r="29" spans="1:256" x14ac:dyDescent="0.25">
      <c r="A29" s="4"/>
      <c r="B29" s="4"/>
      <c r="C29" s="4"/>
      <c r="D29" s="4"/>
      <c r="E29" s="3"/>
      <c r="F29" s="3"/>
      <c r="G29" s="3"/>
      <c r="H29" s="4"/>
      <c r="I29" s="4"/>
      <c r="J29" s="4"/>
      <c r="K29" s="4"/>
      <c r="L29" s="4"/>
      <c r="M29" s="4"/>
      <c r="N29" s="4"/>
      <c r="O29" s="4"/>
      <c r="P29" s="4"/>
      <c r="Q29" s="4"/>
      <c r="R29" s="4"/>
      <c r="S29" s="4"/>
      <c r="T29" s="4"/>
      <c r="U29" s="4"/>
      <c r="V29" s="4"/>
      <c r="W29" s="4"/>
      <c r="X29" s="4"/>
      <c r="Y29" s="4"/>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row>
  </sheetData>
  <hyperlinks>
    <hyperlink ref="A9" r:id="rId1" xr:uid="{00000000-0004-0000-0400-000000000000}"/>
    <hyperlink ref="A10" r:id="rId2" xr:uid="{00000000-0004-0000-0400-000001000000}"/>
    <hyperlink ref="A11" r:id="rId3" xr:uid="{00000000-0004-0000-0400-000002000000}"/>
  </hyperlinks>
  <pageMargins left="0.7" right="0.7" top="0.75" bottom="0.75" header="0.3" footer="0.3"/>
  <pageSetup paperSize="9" orientation="portrait"/>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Y27"/>
  <sheetViews>
    <sheetView showGridLines="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59" ht="19.5" customHeight="1" x14ac:dyDescent="0.25">
      <c r="A1" s="196" t="s">
        <v>0</v>
      </c>
    </row>
    <row r="2" spans="1:259" ht="31.2" customHeight="1" x14ac:dyDescent="0.25">
      <c r="A2" s="197" t="s">
        <v>156</v>
      </c>
    </row>
    <row r="3" spans="1:259" ht="15.6" customHeight="1" x14ac:dyDescent="0.25">
      <c r="A3" s="38" t="s">
        <v>157</v>
      </c>
    </row>
    <row r="4" spans="1:259" ht="15.6" customHeight="1" x14ac:dyDescent="0.25">
      <c r="A4" s="38" t="s">
        <v>102</v>
      </c>
    </row>
    <row r="5" spans="1:259" ht="15.75" customHeight="1" x14ac:dyDescent="0.25">
      <c r="A5" s="38" t="s">
        <v>103</v>
      </c>
    </row>
    <row r="6" spans="1:259" ht="15.75" customHeight="1" x14ac:dyDescent="0.25">
      <c r="A6" s="38" t="s">
        <v>188</v>
      </c>
    </row>
    <row r="7" spans="1:259" ht="15.6" customHeight="1" x14ac:dyDescent="0.3">
      <c r="A7" s="38" t="s">
        <v>189</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c r="CK7" s="100"/>
      <c r="CL7" s="100"/>
      <c r="CM7" s="100"/>
      <c r="CN7" s="100"/>
      <c r="CO7" s="100"/>
      <c r="CP7" s="100"/>
      <c r="CQ7" s="100"/>
      <c r="CR7" s="100"/>
      <c r="CS7" s="100"/>
      <c r="CT7" s="100"/>
      <c r="CU7" s="100"/>
      <c r="CV7" s="100"/>
      <c r="CW7" s="100"/>
      <c r="CX7" s="100"/>
      <c r="CY7" s="100"/>
      <c r="CZ7" s="100"/>
      <c r="DA7" s="100"/>
      <c r="DB7" s="100"/>
      <c r="DC7" s="100"/>
      <c r="DD7" s="100"/>
      <c r="DE7" s="100"/>
      <c r="DF7" s="100"/>
      <c r="DG7" s="100"/>
      <c r="DH7" s="100"/>
      <c r="DI7" s="100"/>
      <c r="DJ7" s="100"/>
      <c r="DK7" s="100"/>
      <c r="DL7" s="100"/>
      <c r="DM7" s="100"/>
      <c r="DN7" s="100"/>
      <c r="DO7" s="100"/>
      <c r="DP7" s="100"/>
      <c r="DQ7" s="100"/>
      <c r="DR7" s="100"/>
      <c r="DS7" s="100"/>
      <c r="DT7" s="100"/>
      <c r="DU7" s="100"/>
      <c r="DV7" s="100"/>
      <c r="DW7" s="100"/>
      <c r="DX7" s="100"/>
      <c r="DY7" s="100"/>
      <c r="DZ7" s="100"/>
      <c r="EA7" s="100"/>
      <c r="EB7" s="100"/>
      <c r="EC7" s="100"/>
      <c r="ED7" s="100"/>
      <c r="EE7" s="100"/>
      <c r="EF7" s="100"/>
      <c r="EG7" s="100"/>
      <c r="EH7" s="100"/>
      <c r="EI7" s="100"/>
      <c r="EJ7" s="100"/>
      <c r="EK7" s="100"/>
      <c r="EL7" s="100"/>
      <c r="EM7" s="100"/>
      <c r="EN7" s="100"/>
      <c r="EO7" s="100"/>
      <c r="EP7" s="100"/>
      <c r="EQ7" s="100"/>
      <c r="ER7" s="100"/>
      <c r="ES7" s="100"/>
      <c r="ET7" s="100"/>
      <c r="EU7" s="100"/>
      <c r="EV7" s="100"/>
      <c r="EW7" s="100"/>
      <c r="EX7" s="100"/>
      <c r="EY7" s="100"/>
      <c r="EZ7" s="100"/>
      <c r="FA7" s="100"/>
      <c r="FB7" s="100"/>
      <c r="FC7" s="100"/>
      <c r="FD7" s="100"/>
      <c r="FE7" s="100"/>
      <c r="FF7" s="100"/>
      <c r="FG7" s="100"/>
      <c r="FH7" s="100"/>
      <c r="FI7" s="100"/>
      <c r="FJ7" s="100"/>
      <c r="FK7" s="100"/>
      <c r="FL7" s="100"/>
      <c r="FM7" s="100"/>
      <c r="FN7" s="100"/>
      <c r="FO7" s="100"/>
      <c r="FP7" s="100"/>
      <c r="FQ7" s="100"/>
      <c r="FR7" s="100"/>
      <c r="FS7" s="100"/>
      <c r="FT7" s="100"/>
      <c r="FU7" s="100"/>
      <c r="FV7" s="100"/>
      <c r="FW7" s="100"/>
      <c r="FX7" s="100"/>
      <c r="FY7" s="100"/>
      <c r="FZ7" s="100"/>
      <c r="GA7" s="100"/>
      <c r="GB7" s="100"/>
      <c r="GC7" s="100"/>
      <c r="GD7" s="100"/>
      <c r="GE7" s="100"/>
      <c r="GF7" s="100"/>
      <c r="GG7" s="100"/>
      <c r="GH7" s="100"/>
      <c r="GI7" s="100"/>
      <c r="GJ7" s="100"/>
      <c r="GK7" s="100"/>
      <c r="GL7" s="100"/>
      <c r="GM7" s="100"/>
      <c r="GN7" s="100"/>
    </row>
    <row r="8" spans="1:259" ht="31.2" customHeight="1" x14ac:dyDescent="0.25">
      <c r="A8" s="48" t="s">
        <v>104</v>
      </c>
    </row>
    <row r="9" spans="1:259" x14ac:dyDescent="0.25">
      <c r="A9" s="185" t="s">
        <v>105</v>
      </c>
    </row>
    <row r="10" spans="1:259" ht="15.6" customHeight="1" x14ac:dyDescent="0.25">
      <c r="A10" s="185" t="s">
        <v>106</v>
      </c>
    </row>
    <row r="11" spans="1:259" ht="31.2" customHeight="1" x14ac:dyDescent="0.25">
      <c r="A11" s="195" t="s">
        <v>107</v>
      </c>
    </row>
    <row r="12" spans="1:259" ht="30" customHeight="1" x14ac:dyDescent="0.25">
      <c r="A12" s="109" t="s">
        <v>108</v>
      </c>
      <c r="B12" s="57" t="s">
        <v>109</v>
      </c>
      <c r="C12" s="42" t="s">
        <v>110</v>
      </c>
      <c r="D12" s="43" t="s">
        <v>111</v>
      </c>
      <c r="E12" s="57" t="s">
        <v>112</v>
      </c>
      <c r="F12" s="42" t="s">
        <v>113</v>
      </c>
      <c r="G12" s="43" t="s">
        <v>114</v>
      </c>
      <c r="H12" s="57" t="s">
        <v>115</v>
      </c>
      <c r="I12" s="42" t="s">
        <v>116</v>
      </c>
      <c r="J12" s="43" t="s">
        <v>117</v>
      </c>
      <c r="K12" s="57" t="s">
        <v>118</v>
      </c>
      <c r="L12" s="42" t="s">
        <v>119</v>
      </c>
      <c r="M12" s="43" t="s">
        <v>120</v>
      </c>
      <c r="N12" s="57" t="s">
        <v>121</v>
      </c>
      <c r="O12" s="42" t="s">
        <v>122</v>
      </c>
      <c r="P12" s="43" t="s">
        <v>123</v>
      </c>
      <c r="Q12" s="57" t="s">
        <v>124</v>
      </c>
      <c r="R12" s="42" t="s">
        <v>125</v>
      </c>
      <c r="S12" s="43" t="s">
        <v>126</v>
      </c>
      <c r="T12" s="57" t="s">
        <v>127</v>
      </c>
      <c r="U12" s="42" t="s">
        <v>128</v>
      </c>
      <c r="V12" s="43" t="s">
        <v>129</v>
      </c>
      <c r="W12" s="57" t="s">
        <v>130</v>
      </c>
      <c r="X12" s="42" t="s">
        <v>131</v>
      </c>
      <c r="Y12" s="43" t="s">
        <v>132</v>
      </c>
      <c r="Z12" s="57" t="s">
        <v>133</v>
      </c>
      <c r="AA12" s="42" t="s">
        <v>134</v>
      </c>
      <c r="AB12" s="43" t="s">
        <v>135</v>
      </c>
      <c r="AC12" s="57" t="s">
        <v>136</v>
      </c>
      <c r="AD12" s="42" t="s">
        <v>137</v>
      </c>
      <c r="AE12" s="43" t="s">
        <v>138</v>
      </c>
      <c r="AF12" s="57" t="s">
        <v>139</v>
      </c>
      <c r="AG12" s="42" t="s">
        <v>140</v>
      </c>
      <c r="AH12" s="43" t="s">
        <v>141</v>
      </c>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c r="IY12" s="8"/>
    </row>
    <row r="13" spans="1:259" x14ac:dyDescent="0.25">
      <c r="A13" s="38" t="s">
        <v>142</v>
      </c>
      <c r="B13" s="218">
        <v>982</v>
      </c>
      <c r="C13" s="228" t="s">
        <v>182</v>
      </c>
      <c r="D13" s="219">
        <v>74</v>
      </c>
      <c r="E13" s="103">
        <v>1081</v>
      </c>
      <c r="F13" s="1" t="s">
        <v>67</v>
      </c>
      <c r="G13" s="112">
        <v>95</v>
      </c>
      <c r="H13" s="115">
        <v>1021</v>
      </c>
      <c r="I13" s="1" t="s">
        <v>70</v>
      </c>
      <c r="J13" s="112">
        <v>103</v>
      </c>
      <c r="K13" s="108">
        <v>955</v>
      </c>
      <c r="L13" s="105" t="s">
        <v>67</v>
      </c>
      <c r="M13" s="111">
        <v>85</v>
      </c>
      <c r="N13" s="108">
        <v>1045</v>
      </c>
      <c r="O13" s="105" t="s">
        <v>67</v>
      </c>
      <c r="P13" s="111">
        <v>80</v>
      </c>
      <c r="Q13" s="87">
        <v>981</v>
      </c>
      <c r="R13" s="105" t="s">
        <v>70</v>
      </c>
      <c r="S13" s="111">
        <v>102</v>
      </c>
      <c r="T13" s="108">
        <v>952</v>
      </c>
      <c r="U13" s="105" t="s">
        <v>67</v>
      </c>
      <c r="V13" s="111">
        <v>64</v>
      </c>
      <c r="W13" s="108">
        <v>963</v>
      </c>
      <c r="X13" s="105" t="s">
        <v>67</v>
      </c>
      <c r="Y13" s="111">
        <v>66</v>
      </c>
      <c r="Z13" s="108">
        <v>941</v>
      </c>
      <c r="AA13" s="105" t="s">
        <v>67</v>
      </c>
      <c r="AB13" s="111">
        <v>63</v>
      </c>
      <c r="AC13" s="108">
        <v>895</v>
      </c>
      <c r="AD13" s="105" t="s">
        <v>67</v>
      </c>
      <c r="AE13" s="111">
        <v>59</v>
      </c>
      <c r="AF13" s="108">
        <v>951</v>
      </c>
      <c r="AG13" s="105" t="s">
        <v>67</v>
      </c>
      <c r="AH13" s="111">
        <v>60</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row>
    <row r="14" spans="1:259" x14ac:dyDescent="0.25">
      <c r="A14" s="38" t="s">
        <v>143</v>
      </c>
      <c r="B14" s="200">
        <v>512</v>
      </c>
      <c r="C14" s="229" t="s">
        <v>179</v>
      </c>
      <c r="D14" s="220">
        <v>50</v>
      </c>
      <c r="E14" s="88">
        <v>518</v>
      </c>
      <c r="F14" s="1" t="s">
        <v>70</v>
      </c>
      <c r="G14" s="112">
        <v>55</v>
      </c>
      <c r="H14" s="115">
        <v>499</v>
      </c>
      <c r="I14" s="1" t="s">
        <v>70</v>
      </c>
      <c r="J14" s="112">
        <v>67</v>
      </c>
      <c r="K14" s="103">
        <v>486</v>
      </c>
      <c r="L14" s="1" t="s">
        <v>67</v>
      </c>
      <c r="M14" s="112">
        <v>46</v>
      </c>
      <c r="N14" s="103">
        <v>521</v>
      </c>
      <c r="O14" s="1" t="s">
        <v>67</v>
      </c>
      <c r="P14" s="112">
        <v>45</v>
      </c>
      <c r="Q14" s="103">
        <v>470</v>
      </c>
      <c r="R14" s="1" t="s">
        <v>67</v>
      </c>
      <c r="S14" s="112">
        <v>46</v>
      </c>
      <c r="T14" s="103">
        <v>476</v>
      </c>
      <c r="U14" s="1" t="s">
        <v>67</v>
      </c>
      <c r="V14" s="112">
        <v>35</v>
      </c>
      <c r="W14" s="103">
        <v>477</v>
      </c>
      <c r="X14" s="1" t="s">
        <v>67</v>
      </c>
      <c r="Y14" s="112">
        <v>36</v>
      </c>
      <c r="Z14" s="103">
        <v>497</v>
      </c>
      <c r="AA14" s="1" t="s">
        <v>67</v>
      </c>
      <c r="AB14" s="112">
        <v>36</v>
      </c>
      <c r="AC14" s="103">
        <v>480</v>
      </c>
      <c r="AD14" s="1" t="s">
        <v>67</v>
      </c>
      <c r="AE14" s="112">
        <v>35</v>
      </c>
      <c r="AF14" s="103">
        <v>493</v>
      </c>
      <c r="AG14" s="1" t="s">
        <v>67</v>
      </c>
      <c r="AH14" s="112">
        <v>35</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row>
    <row r="15" spans="1:259" x14ac:dyDescent="0.25">
      <c r="A15" s="38" t="s">
        <v>144</v>
      </c>
      <c r="B15" s="217">
        <v>470</v>
      </c>
      <c r="C15" s="230" t="s">
        <v>179</v>
      </c>
      <c r="D15" s="222">
        <v>62</v>
      </c>
      <c r="E15" s="88">
        <v>563</v>
      </c>
      <c r="F15" s="104" t="s">
        <v>70</v>
      </c>
      <c r="G15" s="113">
        <v>80</v>
      </c>
      <c r="H15" s="116">
        <v>522</v>
      </c>
      <c r="I15" s="104" t="s">
        <v>70</v>
      </c>
      <c r="J15" s="113">
        <v>80</v>
      </c>
      <c r="K15" s="89">
        <v>470</v>
      </c>
      <c r="L15" s="104" t="s">
        <v>70</v>
      </c>
      <c r="M15" s="113">
        <v>69</v>
      </c>
      <c r="N15" s="89">
        <v>525</v>
      </c>
      <c r="O15" s="104" t="s">
        <v>70</v>
      </c>
      <c r="P15" s="113">
        <v>71</v>
      </c>
      <c r="Q15" s="89">
        <v>511</v>
      </c>
      <c r="R15" s="104" t="s">
        <v>70</v>
      </c>
      <c r="S15" s="113">
        <v>91</v>
      </c>
      <c r="T15" s="89">
        <v>475</v>
      </c>
      <c r="U15" s="104" t="s">
        <v>70</v>
      </c>
      <c r="V15" s="113">
        <v>55</v>
      </c>
      <c r="W15" s="89">
        <v>485</v>
      </c>
      <c r="X15" s="104" t="s">
        <v>70</v>
      </c>
      <c r="Y15" s="113">
        <v>58</v>
      </c>
      <c r="Z15" s="89">
        <v>444</v>
      </c>
      <c r="AA15" s="104" t="s">
        <v>70</v>
      </c>
      <c r="AB15" s="113">
        <v>54</v>
      </c>
      <c r="AC15" s="89">
        <v>414</v>
      </c>
      <c r="AD15" s="104" t="s">
        <v>70</v>
      </c>
      <c r="AE15" s="113">
        <v>50</v>
      </c>
      <c r="AF15" s="89">
        <v>458</v>
      </c>
      <c r="AG15" s="104" t="s">
        <v>70</v>
      </c>
      <c r="AH15" s="113">
        <v>50</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row>
    <row r="16" spans="1:259" x14ac:dyDescent="0.25">
      <c r="A16" s="39" t="s">
        <v>145</v>
      </c>
      <c r="B16" s="223">
        <v>75</v>
      </c>
      <c r="C16" s="231" t="s">
        <v>180</v>
      </c>
      <c r="D16" s="224">
        <v>25</v>
      </c>
      <c r="E16" s="90">
        <v>77</v>
      </c>
      <c r="F16" s="106" t="s">
        <v>73</v>
      </c>
      <c r="G16" s="114">
        <v>24</v>
      </c>
      <c r="H16" s="117">
        <v>95</v>
      </c>
      <c r="I16" s="106" t="s">
        <v>73</v>
      </c>
      <c r="J16" s="114">
        <v>32</v>
      </c>
      <c r="K16" s="90">
        <v>62</v>
      </c>
      <c r="L16" s="106" t="s">
        <v>73</v>
      </c>
      <c r="M16" s="114">
        <v>19</v>
      </c>
      <c r="N16" s="90">
        <v>51</v>
      </c>
      <c r="O16" s="106" t="s">
        <v>73</v>
      </c>
      <c r="P16" s="114">
        <v>15</v>
      </c>
      <c r="Q16" s="90">
        <v>81</v>
      </c>
      <c r="R16" s="106" t="s">
        <v>73</v>
      </c>
      <c r="S16" s="114">
        <v>23</v>
      </c>
      <c r="T16" s="90">
        <v>68</v>
      </c>
      <c r="U16" s="106" t="s">
        <v>73</v>
      </c>
      <c r="V16" s="114">
        <v>16</v>
      </c>
      <c r="W16" s="90">
        <v>66</v>
      </c>
      <c r="X16" s="106" t="s">
        <v>73</v>
      </c>
      <c r="Y16" s="114">
        <v>15</v>
      </c>
      <c r="Z16" s="90">
        <v>82</v>
      </c>
      <c r="AA16" s="106" t="s">
        <v>73</v>
      </c>
      <c r="AB16" s="114">
        <v>16</v>
      </c>
      <c r="AC16" s="90">
        <v>93</v>
      </c>
      <c r="AD16" s="106" t="s">
        <v>73</v>
      </c>
      <c r="AE16" s="114">
        <v>19</v>
      </c>
      <c r="AF16" s="90">
        <v>82</v>
      </c>
      <c r="AG16" s="106" t="s">
        <v>73</v>
      </c>
      <c r="AH16" s="114">
        <v>16</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row>
    <row r="17" spans="1:259" x14ac:dyDescent="0.25">
      <c r="A17" s="38" t="s">
        <v>146</v>
      </c>
      <c r="B17" s="218">
        <v>2182</v>
      </c>
      <c r="C17" s="228" t="s">
        <v>182</v>
      </c>
      <c r="D17" s="224">
        <v>54</v>
      </c>
      <c r="E17" s="103">
        <v>2081</v>
      </c>
      <c r="F17" s="1" t="s">
        <v>67</v>
      </c>
      <c r="G17" s="112">
        <v>52</v>
      </c>
      <c r="H17" s="103">
        <v>2074</v>
      </c>
      <c r="I17" s="1" t="s">
        <v>67</v>
      </c>
      <c r="J17" s="112">
        <v>65</v>
      </c>
      <c r="K17" s="103">
        <v>2109</v>
      </c>
      <c r="L17" s="1" t="s">
        <v>67</v>
      </c>
      <c r="M17" s="112">
        <v>54</v>
      </c>
      <c r="N17" s="103">
        <v>2051</v>
      </c>
      <c r="O17" s="1" t="s">
        <v>67</v>
      </c>
      <c r="P17" s="118">
        <v>47</v>
      </c>
      <c r="Q17" s="108">
        <v>2043</v>
      </c>
      <c r="R17" s="105" t="s">
        <v>67</v>
      </c>
      <c r="S17" s="111">
        <v>53</v>
      </c>
      <c r="T17" s="108">
        <v>2000</v>
      </c>
      <c r="U17" s="105" t="s">
        <v>67</v>
      </c>
      <c r="V17" s="111">
        <v>41</v>
      </c>
      <c r="W17" s="108">
        <v>2024</v>
      </c>
      <c r="X17" s="105" t="s">
        <v>67</v>
      </c>
      <c r="Y17" s="111">
        <v>39</v>
      </c>
      <c r="Z17" s="108">
        <v>2040</v>
      </c>
      <c r="AA17" s="105" t="s">
        <v>67</v>
      </c>
      <c r="AB17" s="111">
        <v>38</v>
      </c>
      <c r="AC17" s="108">
        <v>2013</v>
      </c>
      <c r="AD17" s="105" t="s">
        <v>67</v>
      </c>
      <c r="AE17" s="111">
        <v>37</v>
      </c>
      <c r="AF17" s="108">
        <v>2000</v>
      </c>
      <c r="AG17" s="105" t="s">
        <v>67</v>
      </c>
      <c r="AH17" s="111">
        <v>35</v>
      </c>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row>
    <row r="18" spans="1:259" x14ac:dyDescent="0.25">
      <c r="A18" s="40" t="s">
        <v>147</v>
      </c>
      <c r="B18" s="218">
        <v>1839</v>
      </c>
      <c r="C18" s="228" t="s">
        <v>182</v>
      </c>
      <c r="D18" s="219">
        <v>58</v>
      </c>
      <c r="E18" s="108">
        <v>1739</v>
      </c>
      <c r="F18" s="105" t="s">
        <v>67</v>
      </c>
      <c r="G18" s="111">
        <v>59</v>
      </c>
      <c r="H18" s="108">
        <v>1684</v>
      </c>
      <c r="I18" s="105" t="s">
        <v>67</v>
      </c>
      <c r="J18" s="111">
        <v>75</v>
      </c>
      <c r="K18" s="108">
        <v>1776</v>
      </c>
      <c r="L18" s="105" t="s">
        <v>67</v>
      </c>
      <c r="M18" s="111">
        <v>56</v>
      </c>
      <c r="N18" s="108">
        <v>1705</v>
      </c>
      <c r="O18" s="105" t="s">
        <v>67</v>
      </c>
      <c r="P18" s="111">
        <v>55</v>
      </c>
      <c r="Q18" s="108">
        <v>1705</v>
      </c>
      <c r="R18" s="105" t="s">
        <v>67</v>
      </c>
      <c r="S18" s="111">
        <v>59</v>
      </c>
      <c r="T18" s="108">
        <v>1673</v>
      </c>
      <c r="U18" s="105" t="s">
        <v>67</v>
      </c>
      <c r="V18" s="111">
        <v>43</v>
      </c>
      <c r="W18" s="108">
        <v>1716</v>
      </c>
      <c r="X18" s="105" t="s">
        <v>67</v>
      </c>
      <c r="Y18" s="111">
        <v>41</v>
      </c>
      <c r="Z18" s="108">
        <v>1691</v>
      </c>
      <c r="AA18" s="105" t="s">
        <v>67</v>
      </c>
      <c r="AB18" s="111">
        <v>40</v>
      </c>
      <c r="AC18" s="108">
        <v>1676</v>
      </c>
      <c r="AD18" s="105" t="s">
        <v>67</v>
      </c>
      <c r="AE18" s="111">
        <v>39</v>
      </c>
      <c r="AF18" s="108">
        <v>1623</v>
      </c>
      <c r="AG18" s="105" t="s">
        <v>67</v>
      </c>
      <c r="AH18" s="111">
        <v>38</v>
      </c>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row>
    <row r="19" spans="1:259" x14ac:dyDescent="0.25">
      <c r="A19" s="38" t="s">
        <v>148</v>
      </c>
      <c r="B19" s="225">
        <v>908</v>
      </c>
      <c r="C19" s="229" t="s">
        <v>182</v>
      </c>
      <c r="D19" s="220">
        <v>64</v>
      </c>
      <c r="E19" s="103">
        <v>883</v>
      </c>
      <c r="F19" s="1" t="s">
        <v>67</v>
      </c>
      <c r="G19" s="112">
        <v>75</v>
      </c>
      <c r="H19" s="103">
        <v>863</v>
      </c>
      <c r="I19" s="1" t="s">
        <v>67</v>
      </c>
      <c r="J19" s="112">
        <v>80</v>
      </c>
      <c r="K19" s="103">
        <v>927</v>
      </c>
      <c r="L19" s="1" t="s">
        <v>67</v>
      </c>
      <c r="M19" s="112">
        <v>65</v>
      </c>
      <c r="N19" s="103">
        <v>847</v>
      </c>
      <c r="O19" s="1" t="s">
        <v>67</v>
      </c>
      <c r="P19" s="112">
        <v>65</v>
      </c>
      <c r="Q19" s="103">
        <v>849</v>
      </c>
      <c r="R19" s="1" t="s">
        <v>67</v>
      </c>
      <c r="S19" s="112">
        <v>66</v>
      </c>
      <c r="T19" s="103">
        <v>843</v>
      </c>
      <c r="U19" s="1" t="s">
        <v>67</v>
      </c>
      <c r="V19" s="112">
        <v>47</v>
      </c>
      <c r="W19" s="103">
        <v>854</v>
      </c>
      <c r="X19" s="1" t="s">
        <v>67</v>
      </c>
      <c r="Y19" s="112">
        <v>46</v>
      </c>
      <c r="Z19" s="103">
        <v>825</v>
      </c>
      <c r="AA19" s="1" t="s">
        <v>67</v>
      </c>
      <c r="AB19" s="112">
        <v>45</v>
      </c>
      <c r="AC19" s="103">
        <v>808</v>
      </c>
      <c r="AD19" s="1" t="s">
        <v>67</v>
      </c>
      <c r="AE19" s="112">
        <v>43</v>
      </c>
      <c r="AF19" s="103">
        <v>783</v>
      </c>
      <c r="AG19" s="1" t="s">
        <v>67</v>
      </c>
      <c r="AH19" s="112">
        <v>41</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row>
    <row r="20" spans="1:259" x14ac:dyDescent="0.25">
      <c r="A20" s="38" t="s">
        <v>149</v>
      </c>
      <c r="B20" s="225">
        <v>583</v>
      </c>
      <c r="C20" s="229" t="s">
        <v>182</v>
      </c>
      <c r="D20" s="220">
        <v>41</v>
      </c>
      <c r="E20" s="103">
        <v>531</v>
      </c>
      <c r="F20" s="1" t="s">
        <v>67</v>
      </c>
      <c r="G20" s="112">
        <v>49</v>
      </c>
      <c r="H20" s="88">
        <v>496</v>
      </c>
      <c r="I20" s="1" t="s">
        <v>70</v>
      </c>
      <c r="J20" s="112">
        <v>56</v>
      </c>
      <c r="K20" s="103">
        <v>526</v>
      </c>
      <c r="L20" s="1" t="s">
        <v>67</v>
      </c>
      <c r="M20" s="112">
        <v>40</v>
      </c>
      <c r="N20" s="103">
        <v>539</v>
      </c>
      <c r="O20" s="1" t="s">
        <v>67</v>
      </c>
      <c r="P20" s="112">
        <v>42</v>
      </c>
      <c r="Q20" s="103">
        <v>568</v>
      </c>
      <c r="R20" s="1" t="s">
        <v>67</v>
      </c>
      <c r="S20" s="112">
        <v>41</v>
      </c>
      <c r="T20" s="103">
        <v>550</v>
      </c>
      <c r="U20" s="1" t="s">
        <v>67</v>
      </c>
      <c r="V20" s="112">
        <v>32</v>
      </c>
      <c r="W20" s="103">
        <v>527</v>
      </c>
      <c r="X20" s="1" t="s">
        <v>67</v>
      </c>
      <c r="Y20" s="112">
        <v>31</v>
      </c>
      <c r="Z20" s="103">
        <v>540</v>
      </c>
      <c r="AA20" s="1" t="s">
        <v>67</v>
      </c>
      <c r="AB20" s="112">
        <v>31</v>
      </c>
      <c r="AC20" s="103">
        <v>559</v>
      </c>
      <c r="AD20" s="1" t="s">
        <v>67</v>
      </c>
      <c r="AE20" s="112">
        <v>31</v>
      </c>
      <c r="AF20" s="103">
        <v>548</v>
      </c>
      <c r="AG20" s="1" t="s">
        <v>67</v>
      </c>
      <c r="AH20" s="112">
        <v>29</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row>
    <row r="21" spans="1:259" x14ac:dyDescent="0.25">
      <c r="A21" s="38" t="s">
        <v>150</v>
      </c>
      <c r="B21" s="200">
        <v>121</v>
      </c>
      <c r="C21" s="229" t="s">
        <v>179</v>
      </c>
      <c r="D21" s="220">
        <v>22</v>
      </c>
      <c r="E21" s="91">
        <v>115</v>
      </c>
      <c r="F21" s="1" t="s">
        <v>73</v>
      </c>
      <c r="G21" s="112">
        <v>27</v>
      </c>
      <c r="H21" s="91">
        <v>124</v>
      </c>
      <c r="I21" s="1" t="s">
        <v>73</v>
      </c>
      <c r="J21" s="112">
        <v>32</v>
      </c>
      <c r="K21" s="91">
        <v>110</v>
      </c>
      <c r="L21" s="1" t="s">
        <v>73</v>
      </c>
      <c r="M21" s="112">
        <v>24</v>
      </c>
      <c r="N21" s="91">
        <v>117</v>
      </c>
      <c r="O21" s="1" t="s">
        <v>73</v>
      </c>
      <c r="P21" s="112">
        <v>24</v>
      </c>
      <c r="Q21" s="91">
        <v>96</v>
      </c>
      <c r="R21" s="1" t="s">
        <v>73</v>
      </c>
      <c r="S21" s="112">
        <v>21</v>
      </c>
      <c r="T21" s="88">
        <v>108</v>
      </c>
      <c r="U21" s="1" t="s">
        <v>70</v>
      </c>
      <c r="V21" s="112">
        <v>15</v>
      </c>
      <c r="W21" s="88">
        <v>121</v>
      </c>
      <c r="X21" s="1" t="s">
        <v>70</v>
      </c>
      <c r="Y21" s="112">
        <v>16</v>
      </c>
      <c r="Z21" s="88">
        <v>99</v>
      </c>
      <c r="AA21" s="1" t="s">
        <v>70</v>
      </c>
      <c r="AB21" s="112">
        <v>15</v>
      </c>
      <c r="AC21" s="88">
        <v>102</v>
      </c>
      <c r="AD21" s="1" t="s">
        <v>70</v>
      </c>
      <c r="AE21" s="112">
        <v>14</v>
      </c>
      <c r="AF21" s="88">
        <v>96</v>
      </c>
      <c r="AG21" s="1" t="s">
        <v>70</v>
      </c>
      <c r="AH21" s="112">
        <v>13</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row>
    <row r="22" spans="1:259" x14ac:dyDescent="0.25">
      <c r="A22" s="41" t="s">
        <v>151</v>
      </c>
      <c r="B22" s="217">
        <v>226</v>
      </c>
      <c r="C22" s="230" t="s">
        <v>179</v>
      </c>
      <c r="D22" s="222">
        <v>30</v>
      </c>
      <c r="E22" s="89">
        <v>210</v>
      </c>
      <c r="F22" s="104" t="s">
        <v>70</v>
      </c>
      <c r="G22" s="113">
        <v>33</v>
      </c>
      <c r="H22" s="89">
        <v>200</v>
      </c>
      <c r="I22" s="104" t="s">
        <v>70</v>
      </c>
      <c r="J22" s="113">
        <v>35</v>
      </c>
      <c r="K22" s="89">
        <v>213</v>
      </c>
      <c r="L22" s="104" t="s">
        <v>70</v>
      </c>
      <c r="M22" s="113">
        <v>28</v>
      </c>
      <c r="N22" s="89">
        <v>202</v>
      </c>
      <c r="O22" s="104" t="s">
        <v>70</v>
      </c>
      <c r="P22" s="113">
        <v>27</v>
      </c>
      <c r="Q22" s="89">
        <v>191</v>
      </c>
      <c r="R22" s="104" t="s">
        <v>70</v>
      </c>
      <c r="S22" s="113">
        <v>26</v>
      </c>
      <c r="T22" s="89">
        <v>172</v>
      </c>
      <c r="U22" s="104" t="s">
        <v>70</v>
      </c>
      <c r="V22" s="113">
        <v>22</v>
      </c>
      <c r="W22" s="89">
        <v>213</v>
      </c>
      <c r="X22" s="104" t="s">
        <v>70</v>
      </c>
      <c r="Y22" s="113">
        <v>23</v>
      </c>
      <c r="Z22" s="89">
        <v>225</v>
      </c>
      <c r="AA22" s="104" t="s">
        <v>70</v>
      </c>
      <c r="AB22" s="113">
        <v>23</v>
      </c>
      <c r="AC22" s="89">
        <v>207</v>
      </c>
      <c r="AD22" s="104" t="s">
        <v>70</v>
      </c>
      <c r="AE22" s="113">
        <v>23</v>
      </c>
      <c r="AF22" s="89">
        <v>195</v>
      </c>
      <c r="AG22" s="104" t="s">
        <v>70</v>
      </c>
      <c r="AH22" s="113">
        <v>21</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row>
    <row r="23" spans="1:259" x14ac:dyDescent="0.25">
      <c r="A23" s="38" t="s">
        <v>152</v>
      </c>
      <c r="B23" s="198">
        <v>343</v>
      </c>
      <c r="C23" s="228" t="s">
        <v>179</v>
      </c>
      <c r="D23" s="219">
        <v>37</v>
      </c>
      <c r="E23" s="87">
        <v>342</v>
      </c>
      <c r="F23" s="105" t="s">
        <v>70</v>
      </c>
      <c r="G23" s="111">
        <v>42</v>
      </c>
      <c r="H23" s="87">
        <v>390</v>
      </c>
      <c r="I23" s="105" t="s">
        <v>70</v>
      </c>
      <c r="J23" s="111">
        <v>51</v>
      </c>
      <c r="K23" s="88">
        <v>333</v>
      </c>
      <c r="L23" s="1" t="s">
        <v>70</v>
      </c>
      <c r="M23" s="112">
        <v>37</v>
      </c>
      <c r="N23" s="88">
        <v>347</v>
      </c>
      <c r="O23" s="1" t="s">
        <v>70</v>
      </c>
      <c r="P23" s="112">
        <v>37</v>
      </c>
      <c r="Q23" s="87">
        <v>338</v>
      </c>
      <c r="R23" s="105" t="s">
        <v>70</v>
      </c>
      <c r="S23" s="111">
        <v>37</v>
      </c>
      <c r="T23" s="108">
        <v>327</v>
      </c>
      <c r="U23" s="105" t="s">
        <v>67</v>
      </c>
      <c r="V23" s="111">
        <v>28</v>
      </c>
      <c r="W23" s="108">
        <v>308</v>
      </c>
      <c r="X23" s="105" t="s">
        <v>67</v>
      </c>
      <c r="Y23" s="111">
        <v>27</v>
      </c>
      <c r="Z23" s="108">
        <v>349</v>
      </c>
      <c r="AA23" s="105" t="s">
        <v>67</v>
      </c>
      <c r="AB23" s="111">
        <v>29</v>
      </c>
      <c r="AC23" s="108">
        <v>337</v>
      </c>
      <c r="AD23" s="105" t="s">
        <v>67</v>
      </c>
      <c r="AE23" s="111">
        <v>27</v>
      </c>
      <c r="AF23" s="108">
        <v>377</v>
      </c>
      <c r="AG23" s="105" t="s">
        <v>67</v>
      </c>
      <c r="AH23" s="111">
        <v>27</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row>
    <row r="24" spans="1:259" x14ac:dyDescent="0.25">
      <c r="A24" s="38" t="s">
        <v>153</v>
      </c>
      <c r="B24" s="200">
        <v>206</v>
      </c>
      <c r="C24" s="229" t="s">
        <v>179</v>
      </c>
      <c r="D24" s="220">
        <v>29</v>
      </c>
      <c r="E24" s="88">
        <v>200</v>
      </c>
      <c r="F24" s="1" t="s">
        <v>70</v>
      </c>
      <c r="G24" s="112">
        <v>34</v>
      </c>
      <c r="H24" s="88">
        <v>224</v>
      </c>
      <c r="I24" s="1" t="s">
        <v>70</v>
      </c>
      <c r="J24" s="112">
        <v>38</v>
      </c>
      <c r="K24" s="88">
        <v>216</v>
      </c>
      <c r="L24" s="1" t="s">
        <v>70</v>
      </c>
      <c r="M24" s="112">
        <v>32</v>
      </c>
      <c r="N24" s="88">
        <v>230</v>
      </c>
      <c r="O24" s="1" t="s">
        <v>70</v>
      </c>
      <c r="P24" s="112">
        <v>31</v>
      </c>
      <c r="Q24" s="88">
        <v>210</v>
      </c>
      <c r="R24" s="1" t="s">
        <v>70</v>
      </c>
      <c r="S24" s="112">
        <v>29</v>
      </c>
      <c r="T24" s="88">
        <v>220</v>
      </c>
      <c r="U24" s="1" t="s">
        <v>70</v>
      </c>
      <c r="V24" s="112">
        <v>23</v>
      </c>
      <c r="W24" s="88">
        <v>198</v>
      </c>
      <c r="X24" s="1" t="s">
        <v>70</v>
      </c>
      <c r="Y24" s="112">
        <v>21</v>
      </c>
      <c r="Z24" s="88">
        <v>222</v>
      </c>
      <c r="AA24" s="1" t="s">
        <v>70</v>
      </c>
      <c r="AB24" s="112">
        <v>23</v>
      </c>
      <c r="AC24" s="103">
        <v>214</v>
      </c>
      <c r="AD24" s="1" t="s">
        <v>67</v>
      </c>
      <c r="AE24" s="112">
        <v>21</v>
      </c>
      <c r="AF24" s="103">
        <v>250</v>
      </c>
      <c r="AG24" s="1" t="s">
        <v>67</v>
      </c>
      <c r="AH24" s="112">
        <v>22</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row>
    <row r="25" spans="1:259" x14ac:dyDescent="0.25">
      <c r="A25" s="38" t="s">
        <v>151</v>
      </c>
      <c r="B25" s="217">
        <v>137</v>
      </c>
      <c r="C25" s="230" t="s">
        <v>179</v>
      </c>
      <c r="D25" s="222">
        <v>24</v>
      </c>
      <c r="E25" s="92">
        <v>142</v>
      </c>
      <c r="F25" s="104" t="s">
        <v>73</v>
      </c>
      <c r="G25" s="113">
        <v>28</v>
      </c>
      <c r="H25" s="92">
        <v>165</v>
      </c>
      <c r="I25" s="104" t="s">
        <v>73</v>
      </c>
      <c r="J25" s="113">
        <v>35</v>
      </c>
      <c r="K25" s="92">
        <v>116</v>
      </c>
      <c r="L25" s="104" t="s">
        <v>73</v>
      </c>
      <c r="M25" s="113">
        <v>23</v>
      </c>
      <c r="N25" s="88">
        <v>117</v>
      </c>
      <c r="O25" s="104" t="s">
        <v>70</v>
      </c>
      <c r="P25" s="113">
        <v>21</v>
      </c>
      <c r="Q25" s="89">
        <v>128</v>
      </c>
      <c r="R25" s="104" t="s">
        <v>70</v>
      </c>
      <c r="S25" s="113">
        <v>22</v>
      </c>
      <c r="T25" s="89">
        <v>107</v>
      </c>
      <c r="U25" s="104" t="s">
        <v>70</v>
      </c>
      <c r="V25" s="113">
        <v>18</v>
      </c>
      <c r="W25" s="89">
        <v>110</v>
      </c>
      <c r="X25" s="104" t="s">
        <v>70</v>
      </c>
      <c r="Y25" s="113">
        <v>17</v>
      </c>
      <c r="Z25" s="89">
        <v>127</v>
      </c>
      <c r="AA25" s="104" t="s">
        <v>70</v>
      </c>
      <c r="AB25" s="113">
        <v>18</v>
      </c>
      <c r="AC25" s="89">
        <v>122</v>
      </c>
      <c r="AD25" s="104" t="s">
        <v>70</v>
      </c>
      <c r="AE25" s="113">
        <v>18</v>
      </c>
      <c r="AF25" s="89">
        <v>127</v>
      </c>
      <c r="AG25" s="104" t="s">
        <v>70</v>
      </c>
      <c r="AH25" s="113">
        <v>18</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row>
    <row r="26" spans="1:259" x14ac:dyDescent="0.25">
      <c r="A26" s="39" t="s">
        <v>154</v>
      </c>
      <c r="B26" s="226">
        <v>22</v>
      </c>
      <c r="C26" s="231" t="s">
        <v>181</v>
      </c>
      <c r="D26" s="224">
        <v>10</v>
      </c>
      <c r="E26" s="110">
        <v>36</v>
      </c>
      <c r="F26" s="1" t="s">
        <v>76</v>
      </c>
      <c r="G26" s="113">
        <v>16</v>
      </c>
      <c r="H26" s="110">
        <v>26</v>
      </c>
      <c r="I26" s="1" t="s">
        <v>76</v>
      </c>
      <c r="J26" s="113">
        <v>15</v>
      </c>
      <c r="K26" s="93">
        <v>15</v>
      </c>
      <c r="L26" s="1" t="s">
        <v>76</v>
      </c>
      <c r="M26" s="113">
        <v>8</v>
      </c>
      <c r="N26" s="93">
        <v>17</v>
      </c>
      <c r="O26" s="1" t="s">
        <v>76</v>
      </c>
      <c r="P26" s="113">
        <v>7</v>
      </c>
      <c r="Q26" s="92">
        <v>30</v>
      </c>
      <c r="R26" s="1" t="s">
        <v>73</v>
      </c>
      <c r="S26" s="113">
        <v>11</v>
      </c>
      <c r="T26" s="92">
        <v>47</v>
      </c>
      <c r="U26" s="1" t="s">
        <v>73</v>
      </c>
      <c r="V26" s="113">
        <v>12</v>
      </c>
      <c r="W26" s="92">
        <v>34</v>
      </c>
      <c r="X26" s="1" t="s">
        <v>73</v>
      </c>
      <c r="Y26" s="113">
        <v>10</v>
      </c>
      <c r="Z26" s="92">
        <v>24</v>
      </c>
      <c r="AA26" s="1" t="s">
        <v>73</v>
      </c>
      <c r="AB26" s="113">
        <v>9</v>
      </c>
      <c r="AC26" s="92">
        <v>27</v>
      </c>
      <c r="AD26" s="1" t="s">
        <v>73</v>
      </c>
      <c r="AE26" s="113">
        <v>8</v>
      </c>
      <c r="AF26" s="92">
        <v>27</v>
      </c>
      <c r="AG26" s="1" t="s">
        <v>73</v>
      </c>
      <c r="AH26" s="113">
        <v>8</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row>
    <row r="27" spans="1:259" x14ac:dyDescent="0.25">
      <c r="A27" s="40" t="s">
        <v>155</v>
      </c>
      <c r="B27" s="227">
        <v>3261</v>
      </c>
      <c r="C27" s="231" t="s">
        <v>182</v>
      </c>
      <c r="D27" s="224">
        <v>71</v>
      </c>
      <c r="E27" s="107">
        <v>3275</v>
      </c>
      <c r="F27" s="106" t="s">
        <v>67</v>
      </c>
      <c r="G27" s="114">
        <v>100</v>
      </c>
      <c r="H27" s="107">
        <v>3216</v>
      </c>
      <c r="I27" s="106" t="s">
        <v>67</v>
      </c>
      <c r="J27" s="114">
        <v>103</v>
      </c>
      <c r="K27" s="107">
        <v>3141</v>
      </c>
      <c r="L27" s="106" t="s">
        <v>67</v>
      </c>
      <c r="M27" s="114">
        <v>85</v>
      </c>
      <c r="N27" s="107">
        <v>3165</v>
      </c>
      <c r="O27" s="106" t="s">
        <v>67</v>
      </c>
      <c r="P27" s="114">
        <v>72</v>
      </c>
      <c r="Q27" s="107">
        <v>3134</v>
      </c>
      <c r="R27" s="106" t="s">
        <v>67</v>
      </c>
      <c r="S27" s="114">
        <v>82</v>
      </c>
      <c r="T27" s="107">
        <v>3066</v>
      </c>
      <c r="U27" s="106" t="s">
        <v>67</v>
      </c>
      <c r="V27" s="114">
        <v>50</v>
      </c>
      <c r="W27" s="107">
        <v>3087</v>
      </c>
      <c r="X27" s="106" t="s">
        <v>67</v>
      </c>
      <c r="Y27" s="114">
        <v>51</v>
      </c>
      <c r="Z27" s="107">
        <v>3087</v>
      </c>
      <c r="AA27" s="106" t="s">
        <v>67</v>
      </c>
      <c r="AB27" s="114">
        <v>49</v>
      </c>
      <c r="AC27" s="107">
        <v>3029</v>
      </c>
      <c r="AD27" s="106" t="s">
        <v>67</v>
      </c>
      <c r="AE27" s="114">
        <v>46</v>
      </c>
      <c r="AF27" s="107">
        <v>3060</v>
      </c>
      <c r="AG27" s="106" t="s">
        <v>67</v>
      </c>
      <c r="AH27" s="114">
        <v>45</v>
      </c>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row>
  </sheetData>
  <hyperlinks>
    <hyperlink ref="A9" r:id="rId1" xr:uid="{00000000-0004-0000-0500-000000000000}"/>
    <hyperlink ref="A10" r:id="rId2" xr:uid="{00000000-0004-0000-0500-000001000000}"/>
    <hyperlink ref="A11" r:id="rId3" xr:uid="{00000000-0004-0000-0500-000002000000}"/>
  </hyperlinks>
  <pageMargins left="0.7" right="0.7" top="0.75" bottom="0.75" header="0.3" footer="0.3"/>
  <pageSetup paperSize="9" orientation="portrait" horizontalDpi="300" verticalDpi="0"/>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V27"/>
  <sheetViews>
    <sheetView showGridLines="0" zoomScaleNormal="10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56" ht="19.5" customHeight="1" x14ac:dyDescent="0.25">
      <c r="A1" s="196" t="s">
        <v>0</v>
      </c>
    </row>
    <row r="2" spans="1:256" ht="31.2" customHeight="1" x14ac:dyDescent="0.25">
      <c r="A2" s="197" t="s">
        <v>158</v>
      </c>
    </row>
    <row r="3" spans="1:256" ht="15.6" customHeight="1" x14ac:dyDescent="0.25">
      <c r="A3" s="38" t="s">
        <v>159</v>
      </c>
    </row>
    <row r="4" spans="1:256" ht="15.6" customHeight="1" x14ac:dyDescent="0.25">
      <c r="A4" s="38" t="s">
        <v>102</v>
      </c>
    </row>
    <row r="5" spans="1:256" ht="15.75" customHeight="1" x14ac:dyDescent="0.25">
      <c r="A5" s="38" t="s">
        <v>103</v>
      </c>
    </row>
    <row r="6" spans="1:256" ht="15.75" customHeight="1" x14ac:dyDescent="0.25">
      <c r="A6" s="38" t="s">
        <v>188</v>
      </c>
    </row>
    <row r="7" spans="1:256" ht="15.6" customHeight="1" x14ac:dyDescent="0.3">
      <c r="A7" s="38" t="s">
        <v>189</v>
      </c>
      <c r="B7" s="3"/>
      <c r="C7" s="3"/>
      <c r="D7" s="3"/>
      <c r="E7" s="3"/>
      <c r="F7" s="3"/>
      <c r="G7" s="3"/>
      <c r="H7" s="3"/>
      <c r="I7" s="3"/>
      <c r="J7" s="3"/>
      <c r="K7" s="3"/>
      <c r="L7" s="3"/>
      <c r="M7" s="3"/>
      <c r="N7" s="3"/>
      <c r="O7" s="3"/>
      <c r="P7" s="3"/>
      <c r="Q7" s="3"/>
      <c r="R7" s="3"/>
      <c r="S7" s="3"/>
      <c r="T7" s="3"/>
      <c r="U7" s="3"/>
      <c r="V7" s="3"/>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c r="CK7" s="100"/>
      <c r="CL7" s="100"/>
      <c r="CM7" s="100"/>
      <c r="CN7" s="100"/>
      <c r="CO7" s="100"/>
      <c r="CP7" s="100"/>
      <c r="CQ7" s="100"/>
      <c r="CR7" s="100"/>
      <c r="CS7" s="100"/>
      <c r="CT7" s="100"/>
      <c r="CU7" s="100"/>
      <c r="CV7" s="100"/>
      <c r="CW7" s="100"/>
      <c r="CX7" s="100"/>
      <c r="CY7" s="100"/>
      <c r="CZ7" s="100"/>
      <c r="DA7" s="100"/>
      <c r="DB7" s="100"/>
      <c r="DC7" s="100"/>
      <c r="DD7" s="100"/>
      <c r="DE7" s="100"/>
      <c r="DF7" s="100"/>
      <c r="DG7" s="100"/>
      <c r="DH7" s="100"/>
      <c r="DI7" s="100"/>
      <c r="DJ7" s="100"/>
      <c r="DK7" s="100"/>
      <c r="DL7" s="100"/>
      <c r="DM7" s="100"/>
      <c r="DN7" s="100"/>
      <c r="DO7" s="100"/>
      <c r="DP7" s="100"/>
      <c r="DQ7" s="100"/>
      <c r="DR7" s="100"/>
      <c r="DS7" s="100"/>
      <c r="DT7" s="100"/>
      <c r="DU7" s="100"/>
      <c r="DV7" s="100"/>
      <c r="DW7" s="100"/>
      <c r="DX7" s="100"/>
      <c r="DY7" s="100"/>
      <c r="DZ7" s="100"/>
      <c r="EA7" s="100"/>
      <c r="EB7" s="100"/>
      <c r="EC7" s="100"/>
      <c r="ED7" s="100"/>
      <c r="EE7" s="100"/>
      <c r="EF7" s="100"/>
      <c r="EG7" s="100"/>
      <c r="EH7" s="100"/>
      <c r="EI7" s="100"/>
      <c r="EJ7" s="100"/>
      <c r="EK7" s="100"/>
      <c r="EL7" s="100"/>
      <c r="EM7" s="100"/>
      <c r="EN7" s="100"/>
      <c r="EO7" s="100"/>
      <c r="EP7" s="100"/>
      <c r="EQ7" s="100"/>
      <c r="ER7" s="100"/>
      <c r="ES7" s="100"/>
      <c r="ET7" s="100"/>
      <c r="EU7" s="100"/>
      <c r="EV7" s="100"/>
      <c r="EW7" s="100"/>
      <c r="EX7" s="100"/>
      <c r="EY7" s="100"/>
      <c r="EZ7" s="100"/>
      <c r="FA7" s="100"/>
      <c r="FB7" s="100"/>
      <c r="FC7" s="100"/>
      <c r="FD7" s="100"/>
      <c r="FE7" s="100"/>
      <c r="FF7" s="100"/>
      <c r="FG7" s="100"/>
      <c r="FH7" s="100"/>
      <c r="FI7" s="100"/>
      <c r="FJ7" s="100"/>
      <c r="FK7" s="100"/>
      <c r="FL7" s="100"/>
      <c r="FM7" s="100"/>
      <c r="FN7" s="100"/>
      <c r="FO7" s="100"/>
      <c r="FP7" s="100"/>
      <c r="FQ7" s="100"/>
      <c r="FR7" s="100"/>
      <c r="FS7" s="100"/>
      <c r="FT7" s="100"/>
      <c r="FU7" s="100"/>
      <c r="FV7" s="100"/>
      <c r="FW7" s="100"/>
      <c r="FX7" s="100"/>
      <c r="FY7" s="100"/>
      <c r="FZ7" s="100"/>
      <c r="GA7" s="100"/>
      <c r="GB7" s="100"/>
      <c r="GC7" s="100"/>
      <c r="GD7" s="100"/>
      <c r="GE7" s="100"/>
      <c r="GF7" s="100"/>
      <c r="GG7" s="100"/>
      <c r="GH7" s="100"/>
      <c r="GI7" s="100"/>
      <c r="GJ7" s="100"/>
      <c r="GK7" s="100"/>
      <c r="GL7" s="100"/>
      <c r="GM7" s="100"/>
      <c r="GN7" s="100"/>
      <c r="GO7" s="100"/>
      <c r="GP7" s="100"/>
      <c r="GQ7" s="100"/>
      <c r="GR7" s="100"/>
      <c r="GS7" s="100"/>
      <c r="GT7" s="100"/>
      <c r="GU7" s="100"/>
      <c r="GV7" s="100"/>
      <c r="GW7" s="100"/>
      <c r="GX7" s="100"/>
      <c r="GY7" s="100"/>
      <c r="GZ7" s="100"/>
      <c r="HA7" s="100"/>
      <c r="HB7" s="100"/>
      <c r="HC7" s="100"/>
      <c r="HD7" s="100"/>
      <c r="HE7" s="100"/>
      <c r="HF7" s="100"/>
      <c r="HG7" s="100"/>
      <c r="HH7" s="100"/>
      <c r="HI7" s="100"/>
      <c r="HJ7" s="100"/>
      <c r="HK7" s="100"/>
      <c r="HL7" s="100"/>
      <c r="HM7" s="100"/>
      <c r="HN7" s="100"/>
    </row>
    <row r="8" spans="1:256" ht="31.2" customHeight="1" x14ac:dyDescent="0.25">
      <c r="A8" s="48" t="s">
        <v>104</v>
      </c>
    </row>
    <row r="9" spans="1:256" x14ac:dyDescent="0.25">
      <c r="A9" s="185" t="s">
        <v>105</v>
      </c>
    </row>
    <row r="10" spans="1:256" ht="15.6" customHeight="1" x14ac:dyDescent="0.25">
      <c r="A10" s="185" t="s">
        <v>106</v>
      </c>
    </row>
    <row r="11" spans="1:256" ht="31.2" customHeight="1" x14ac:dyDescent="0.25">
      <c r="A11" s="195" t="s">
        <v>107</v>
      </c>
    </row>
    <row r="12" spans="1:256" ht="31.2" customHeight="1" x14ac:dyDescent="0.25">
      <c r="A12" s="58" t="s">
        <v>108</v>
      </c>
      <c r="B12" s="57" t="s">
        <v>109</v>
      </c>
      <c r="C12" s="42" t="s">
        <v>110</v>
      </c>
      <c r="D12" s="43" t="s">
        <v>111</v>
      </c>
      <c r="E12" s="57" t="s">
        <v>112</v>
      </c>
      <c r="F12" s="42" t="s">
        <v>113</v>
      </c>
      <c r="G12" s="43" t="s">
        <v>114</v>
      </c>
      <c r="H12" s="57" t="s">
        <v>115</v>
      </c>
      <c r="I12" s="42" t="s">
        <v>116</v>
      </c>
      <c r="J12" s="43" t="s">
        <v>117</v>
      </c>
      <c r="K12" s="57" t="s">
        <v>118</v>
      </c>
      <c r="L12" s="42" t="s">
        <v>119</v>
      </c>
      <c r="M12" s="43" t="s">
        <v>120</v>
      </c>
      <c r="N12" s="57" t="s">
        <v>121</v>
      </c>
      <c r="O12" s="42" t="s">
        <v>122</v>
      </c>
      <c r="P12" s="43" t="s">
        <v>123</v>
      </c>
      <c r="Q12" s="57" t="s">
        <v>124</v>
      </c>
      <c r="R12" s="42" t="s">
        <v>125</v>
      </c>
      <c r="S12" s="43" t="s">
        <v>126</v>
      </c>
      <c r="T12" s="57" t="s">
        <v>127</v>
      </c>
      <c r="U12" s="42" t="s">
        <v>128</v>
      </c>
      <c r="V12" s="43" t="s">
        <v>129</v>
      </c>
      <c r="W12" s="57" t="s">
        <v>130</v>
      </c>
      <c r="X12" s="42" t="s">
        <v>131</v>
      </c>
      <c r="Y12" s="43" t="s">
        <v>132</v>
      </c>
      <c r="Z12" s="57" t="s">
        <v>133</v>
      </c>
      <c r="AA12" s="42" t="s">
        <v>134</v>
      </c>
      <c r="AB12" s="43" t="s">
        <v>135</v>
      </c>
      <c r="AC12" s="57" t="s">
        <v>136</v>
      </c>
      <c r="AD12" s="42" t="s">
        <v>137</v>
      </c>
      <c r="AE12" s="43" t="s">
        <v>138</v>
      </c>
      <c r="AF12" s="42" t="s">
        <v>139</v>
      </c>
      <c r="AG12" s="42" t="s">
        <v>140</v>
      </c>
      <c r="AH12" s="43" t="s">
        <v>141</v>
      </c>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x14ac:dyDescent="0.25">
      <c r="A13" s="122" t="s">
        <v>142</v>
      </c>
      <c r="B13" s="232">
        <v>701</v>
      </c>
      <c r="C13" s="228" t="s">
        <v>179</v>
      </c>
      <c r="D13" s="219">
        <v>70</v>
      </c>
      <c r="E13" s="87">
        <v>715</v>
      </c>
      <c r="F13" s="47" t="s">
        <v>70</v>
      </c>
      <c r="G13" s="129">
        <v>78</v>
      </c>
      <c r="H13" s="87">
        <v>675</v>
      </c>
      <c r="I13" s="47" t="s">
        <v>70</v>
      </c>
      <c r="J13" s="129">
        <v>78</v>
      </c>
      <c r="K13" s="87">
        <v>716</v>
      </c>
      <c r="L13" s="49" t="s">
        <v>70</v>
      </c>
      <c r="M13" s="96">
        <v>74</v>
      </c>
      <c r="N13" s="87">
        <v>735</v>
      </c>
      <c r="O13" s="49" t="s">
        <v>70</v>
      </c>
      <c r="P13" s="96">
        <v>79</v>
      </c>
      <c r="Q13" s="87">
        <v>759</v>
      </c>
      <c r="R13" s="49" t="s">
        <v>70</v>
      </c>
      <c r="S13" s="96">
        <v>102</v>
      </c>
      <c r="T13" s="127">
        <v>746</v>
      </c>
      <c r="U13" s="49" t="s">
        <v>67</v>
      </c>
      <c r="V13" s="96">
        <v>53</v>
      </c>
      <c r="W13" s="127">
        <v>684</v>
      </c>
      <c r="X13" s="49" t="s">
        <v>67</v>
      </c>
      <c r="Y13" s="96">
        <v>50</v>
      </c>
      <c r="Z13" s="127">
        <v>706</v>
      </c>
      <c r="AA13" s="49" t="s">
        <v>67</v>
      </c>
      <c r="AB13" s="96">
        <v>54</v>
      </c>
      <c r="AC13" s="127">
        <v>733</v>
      </c>
      <c r="AD13" s="49" t="s">
        <v>67</v>
      </c>
      <c r="AE13" s="96">
        <v>57</v>
      </c>
      <c r="AF13" s="134">
        <v>665</v>
      </c>
      <c r="AG13" s="49" t="s">
        <v>67</v>
      </c>
      <c r="AH13" s="96">
        <v>48</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25">
      <c r="A14" s="123" t="s">
        <v>143</v>
      </c>
      <c r="B14" s="225">
        <v>349</v>
      </c>
      <c r="C14" s="229" t="s">
        <v>182</v>
      </c>
      <c r="D14" s="220">
        <v>32</v>
      </c>
      <c r="E14" s="88">
        <v>333</v>
      </c>
      <c r="F14" s="56" t="s">
        <v>70</v>
      </c>
      <c r="G14" s="130">
        <v>44</v>
      </c>
      <c r="H14" s="88">
        <v>306</v>
      </c>
      <c r="I14" s="56" t="s">
        <v>70</v>
      </c>
      <c r="J14" s="130">
        <v>38</v>
      </c>
      <c r="K14" s="55">
        <v>336</v>
      </c>
      <c r="L14" s="44" t="s">
        <v>67</v>
      </c>
      <c r="M14" s="94">
        <v>33</v>
      </c>
      <c r="N14" s="55">
        <v>340</v>
      </c>
      <c r="O14" s="44" t="s">
        <v>67</v>
      </c>
      <c r="P14" s="94">
        <v>33</v>
      </c>
      <c r="Q14" s="88">
        <v>358</v>
      </c>
      <c r="R14" s="44" t="s">
        <v>70</v>
      </c>
      <c r="S14" s="94">
        <v>42</v>
      </c>
      <c r="T14" s="55">
        <v>390</v>
      </c>
      <c r="U14" s="44" t="s">
        <v>67</v>
      </c>
      <c r="V14" s="94">
        <v>31</v>
      </c>
      <c r="W14" s="55">
        <v>375</v>
      </c>
      <c r="X14" s="44" t="s">
        <v>67</v>
      </c>
      <c r="Y14" s="94">
        <v>30</v>
      </c>
      <c r="Z14" s="55">
        <v>349</v>
      </c>
      <c r="AA14" s="44" t="s">
        <v>67</v>
      </c>
      <c r="AB14" s="94">
        <v>29</v>
      </c>
      <c r="AC14" s="55">
        <v>367</v>
      </c>
      <c r="AD14" s="44" t="s">
        <v>67</v>
      </c>
      <c r="AE14" s="94">
        <v>29</v>
      </c>
      <c r="AF14" s="120">
        <v>379</v>
      </c>
      <c r="AG14" s="44" t="s">
        <v>67</v>
      </c>
      <c r="AH14" s="94">
        <v>29</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25">
      <c r="A15" s="124" t="s">
        <v>144</v>
      </c>
      <c r="B15" s="233">
        <v>352</v>
      </c>
      <c r="C15" s="230" t="s">
        <v>179</v>
      </c>
      <c r="D15" s="222">
        <v>65</v>
      </c>
      <c r="E15" s="89">
        <v>382</v>
      </c>
      <c r="F15" s="45" t="s">
        <v>70</v>
      </c>
      <c r="G15" s="131">
        <v>71</v>
      </c>
      <c r="H15" s="89">
        <v>369</v>
      </c>
      <c r="I15" s="45" t="s">
        <v>70</v>
      </c>
      <c r="J15" s="131">
        <v>72</v>
      </c>
      <c r="K15" s="89">
        <v>380</v>
      </c>
      <c r="L15" s="46" t="s">
        <v>70</v>
      </c>
      <c r="M15" s="98">
        <v>74</v>
      </c>
      <c r="N15" s="92">
        <v>395</v>
      </c>
      <c r="O15" s="46" t="s">
        <v>73</v>
      </c>
      <c r="P15" s="98">
        <v>81</v>
      </c>
      <c r="Q15" s="92">
        <v>400</v>
      </c>
      <c r="R15" s="46" t="s">
        <v>73</v>
      </c>
      <c r="S15" s="98">
        <v>97</v>
      </c>
      <c r="T15" s="89">
        <v>356</v>
      </c>
      <c r="U15" s="46" t="s">
        <v>70</v>
      </c>
      <c r="V15" s="98">
        <v>45</v>
      </c>
      <c r="W15" s="89">
        <v>309</v>
      </c>
      <c r="X15" s="46" t="s">
        <v>70</v>
      </c>
      <c r="Y15" s="98">
        <v>43</v>
      </c>
      <c r="Z15" s="89">
        <v>357</v>
      </c>
      <c r="AA15" s="46" t="s">
        <v>70</v>
      </c>
      <c r="AB15" s="98">
        <v>48</v>
      </c>
      <c r="AC15" s="89">
        <v>366</v>
      </c>
      <c r="AD15" s="46" t="s">
        <v>70</v>
      </c>
      <c r="AE15" s="98">
        <v>51</v>
      </c>
      <c r="AF15" s="135">
        <v>285</v>
      </c>
      <c r="AG15" s="46" t="s">
        <v>70</v>
      </c>
      <c r="AH15" s="98">
        <v>41</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25">
      <c r="A16" s="125" t="s">
        <v>145</v>
      </c>
      <c r="B16" s="234">
        <v>57</v>
      </c>
      <c r="C16" s="231" t="s">
        <v>180</v>
      </c>
      <c r="D16" s="224">
        <v>15</v>
      </c>
      <c r="E16" s="93">
        <v>43</v>
      </c>
      <c r="F16" s="50" t="s">
        <v>76</v>
      </c>
      <c r="G16" s="132">
        <v>19</v>
      </c>
      <c r="H16" s="93">
        <v>61</v>
      </c>
      <c r="I16" s="50" t="s">
        <v>76</v>
      </c>
      <c r="J16" s="132">
        <v>25</v>
      </c>
      <c r="K16" s="90">
        <v>60</v>
      </c>
      <c r="L16" s="52" t="s">
        <v>73</v>
      </c>
      <c r="M16" s="95">
        <v>18</v>
      </c>
      <c r="N16" s="90">
        <v>70</v>
      </c>
      <c r="O16" s="52" t="s">
        <v>73</v>
      </c>
      <c r="P16" s="95">
        <v>24</v>
      </c>
      <c r="Q16" s="90">
        <v>59</v>
      </c>
      <c r="R16" s="52" t="s">
        <v>73</v>
      </c>
      <c r="S16" s="95">
        <v>20</v>
      </c>
      <c r="T16" s="90">
        <v>53</v>
      </c>
      <c r="U16" s="52" t="s">
        <v>73</v>
      </c>
      <c r="V16" s="95">
        <v>13</v>
      </c>
      <c r="W16" s="90">
        <v>62</v>
      </c>
      <c r="X16" s="52" t="s">
        <v>73</v>
      </c>
      <c r="Y16" s="95">
        <v>13</v>
      </c>
      <c r="Z16" s="90">
        <v>60</v>
      </c>
      <c r="AA16" s="52" t="s">
        <v>73</v>
      </c>
      <c r="AB16" s="95">
        <v>15</v>
      </c>
      <c r="AC16" s="126">
        <v>78</v>
      </c>
      <c r="AD16" s="52" t="s">
        <v>70</v>
      </c>
      <c r="AE16" s="95">
        <v>14</v>
      </c>
      <c r="AF16" s="136">
        <v>74</v>
      </c>
      <c r="AG16" s="52" t="s">
        <v>70</v>
      </c>
      <c r="AH16" s="95">
        <v>14</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25">
      <c r="A17" s="125" t="s">
        <v>146</v>
      </c>
      <c r="B17" s="227">
        <v>1571</v>
      </c>
      <c r="C17" s="231" t="s">
        <v>182</v>
      </c>
      <c r="D17" s="224">
        <v>45</v>
      </c>
      <c r="E17" s="119">
        <v>1588</v>
      </c>
      <c r="F17" s="50" t="s">
        <v>67</v>
      </c>
      <c r="G17" s="132">
        <v>47</v>
      </c>
      <c r="H17" s="119">
        <v>1621</v>
      </c>
      <c r="I17" s="50" t="s">
        <v>67</v>
      </c>
      <c r="J17" s="132">
        <v>66</v>
      </c>
      <c r="K17" s="51">
        <v>1575</v>
      </c>
      <c r="L17" s="52" t="s">
        <v>67</v>
      </c>
      <c r="M17" s="95">
        <v>50</v>
      </c>
      <c r="N17" s="51">
        <v>1533</v>
      </c>
      <c r="O17" s="52" t="s">
        <v>67</v>
      </c>
      <c r="P17" s="95">
        <v>50</v>
      </c>
      <c r="Q17" s="51">
        <v>1525</v>
      </c>
      <c r="R17" s="52" t="s">
        <v>67</v>
      </c>
      <c r="S17" s="95">
        <v>42</v>
      </c>
      <c r="T17" s="51">
        <v>1547</v>
      </c>
      <c r="U17" s="52" t="s">
        <v>67</v>
      </c>
      <c r="V17" s="95">
        <v>33</v>
      </c>
      <c r="W17" s="51">
        <v>1575</v>
      </c>
      <c r="X17" s="52" t="s">
        <v>67</v>
      </c>
      <c r="Y17" s="95">
        <v>34</v>
      </c>
      <c r="Z17" s="51">
        <v>1530</v>
      </c>
      <c r="AA17" s="52" t="s">
        <v>67</v>
      </c>
      <c r="AB17" s="95">
        <v>33</v>
      </c>
      <c r="AC17" s="51">
        <v>1499</v>
      </c>
      <c r="AD17" s="52" t="s">
        <v>67</v>
      </c>
      <c r="AE17" s="95">
        <v>32</v>
      </c>
      <c r="AF17" s="121">
        <v>1520</v>
      </c>
      <c r="AG17" s="52" t="s">
        <v>67</v>
      </c>
      <c r="AH17" s="95">
        <v>31</v>
      </c>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25">
      <c r="A18" s="122" t="s">
        <v>147</v>
      </c>
      <c r="B18" s="218">
        <v>1320</v>
      </c>
      <c r="C18" s="228" t="s">
        <v>182</v>
      </c>
      <c r="D18" s="219">
        <v>45</v>
      </c>
      <c r="E18" s="127">
        <v>1327</v>
      </c>
      <c r="F18" s="47" t="s">
        <v>67</v>
      </c>
      <c r="G18" s="129">
        <v>51</v>
      </c>
      <c r="H18" s="127">
        <v>1334</v>
      </c>
      <c r="I18" s="47" t="s">
        <v>67</v>
      </c>
      <c r="J18" s="129">
        <v>75</v>
      </c>
      <c r="K18" s="97">
        <v>1367</v>
      </c>
      <c r="L18" s="49" t="s">
        <v>67</v>
      </c>
      <c r="M18" s="96">
        <v>52</v>
      </c>
      <c r="N18" s="97">
        <v>1302</v>
      </c>
      <c r="O18" s="49" t="s">
        <v>67</v>
      </c>
      <c r="P18" s="96">
        <v>53</v>
      </c>
      <c r="Q18" s="97">
        <v>1290</v>
      </c>
      <c r="R18" s="49" t="s">
        <v>67</v>
      </c>
      <c r="S18" s="96">
        <v>45</v>
      </c>
      <c r="T18" s="97">
        <v>1322</v>
      </c>
      <c r="U18" s="49" t="s">
        <v>67</v>
      </c>
      <c r="V18" s="96">
        <v>36</v>
      </c>
      <c r="W18" s="97">
        <v>1353</v>
      </c>
      <c r="X18" s="49" t="s">
        <v>67</v>
      </c>
      <c r="Y18" s="96">
        <v>37</v>
      </c>
      <c r="Z18" s="97">
        <v>1305</v>
      </c>
      <c r="AA18" s="49" t="s">
        <v>67</v>
      </c>
      <c r="AB18" s="96">
        <v>34</v>
      </c>
      <c r="AC18" s="97">
        <v>1253</v>
      </c>
      <c r="AD18" s="49" t="s">
        <v>67</v>
      </c>
      <c r="AE18" s="96">
        <v>35</v>
      </c>
      <c r="AF18" s="137">
        <v>1273</v>
      </c>
      <c r="AG18" s="49" t="s">
        <v>67</v>
      </c>
      <c r="AH18" s="96">
        <v>33</v>
      </c>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25">
      <c r="A19" s="123" t="s">
        <v>148</v>
      </c>
      <c r="B19" s="225">
        <v>667</v>
      </c>
      <c r="C19" s="229" t="s">
        <v>182</v>
      </c>
      <c r="D19" s="220">
        <v>48</v>
      </c>
      <c r="E19" s="54">
        <v>699</v>
      </c>
      <c r="F19" s="56" t="s">
        <v>67</v>
      </c>
      <c r="G19" s="130">
        <v>61</v>
      </c>
      <c r="H19" s="88">
        <v>715</v>
      </c>
      <c r="I19" s="56" t="s">
        <v>70</v>
      </c>
      <c r="J19" s="130">
        <v>90</v>
      </c>
      <c r="K19" s="55">
        <v>747</v>
      </c>
      <c r="L19" s="44" t="s">
        <v>67</v>
      </c>
      <c r="M19" s="94">
        <v>61</v>
      </c>
      <c r="N19" s="55">
        <v>678</v>
      </c>
      <c r="O19" s="44" t="s">
        <v>67</v>
      </c>
      <c r="P19" s="94">
        <v>56</v>
      </c>
      <c r="Q19" s="55">
        <v>640</v>
      </c>
      <c r="R19" s="44" t="s">
        <v>67</v>
      </c>
      <c r="S19" s="94">
        <v>51</v>
      </c>
      <c r="T19" s="55">
        <v>702</v>
      </c>
      <c r="U19" s="44" t="s">
        <v>67</v>
      </c>
      <c r="V19" s="94">
        <v>42</v>
      </c>
      <c r="W19" s="55">
        <v>746</v>
      </c>
      <c r="X19" s="44" t="s">
        <v>67</v>
      </c>
      <c r="Y19" s="94">
        <v>44</v>
      </c>
      <c r="Z19" s="55">
        <v>646</v>
      </c>
      <c r="AA19" s="44" t="s">
        <v>67</v>
      </c>
      <c r="AB19" s="94">
        <v>38</v>
      </c>
      <c r="AC19" s="55">
        <v>655</v>
      </c>
      <c r="AD19" s="44" t="s">
        <v>67</v>
      </c>
      <c r="AE19" s="94">
        <v>38</v>
      </c>
      <c r="AF19" s="120">
        <v>652</v>
      </c>
      <c r="AG19" s="44" t="s">
        <v>67</v>
      </c>
      <c r="AH19" s="94">
        <v>37</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25">
      <c r="A20" s="123" t="s">
        <v>149</v>
      </c>
      <c r="B20" s="225">
        <v>407</v>
      </c>
      <c r="C20" s="229" t="s">
        <v>182</v>
      </c>
      <c r="D20" s="220">
        <v>35</v>
      </c>
      <c r="E20" s="54">
        <v>433</v>
      </c>
      <c r="F20" s="56" t="s">
        <v>67</v>
      </c>
      <c r="G20" s="130">
        <v>36</v>
      </c>
      <c r="H20" s="88">
        <v>415</v>
      </c>
      <c r="I20" s="56" t="s">
        <v>70</v>
      </c>
      <c r="J20" s="130">
        <v>45</v>
      </c>
      <c r="K20" s="55">
        <v>410</v>
      </c>
      <c r="L20" s="44" t="s">
        <v>67</v>
      </c>
      <c r="M20" s="94">
        <v>33</v>
      </c>
      <c r="N20" s="55">
        <v>398</v>
      </c>
      <c r="O20" s="44" t="s">
        <v>67</v>
      </c>
      <c r="P20" s="94">
        <v>33</v>
      </c>
      <c r="Q20" s="55">
        <v>429</v>
      </c>
      <c r="R20" s="44" t="s">
        <v>67</v>
      </c>
      <c r="S20" s="94">
        <v>33</v>
      </c>
      <c r="T20" s="55">
        <v>421</v>
      </c>
      <c r="U20" s="44" t="s">
        <v>67</v>
      </c>
      <c r="V20" s="94">
        <v>28</v>
      </c>
      <c r="W20" s="55">
        <v>383</v>
      </c>
      <c r="X20" s="44" t="s">
        <v>67</v>
      </c>
      <c r="Y20" s="94">
        <v>26</v>
      </c>
      <c r="Z20" s="55">
        <v>431</v>
      </c>
      <c r="AA20" s="44" t="s">
        <v>67</v>
      </c>
      <c r="AB20" s="94">
        <v>26</v>
      </c>
      <c r="AC20" s="55">
        <v>400</v>
      </c>
      <c r="AD20" s="44" t="s">
        <v>67</v>
      </c>
      <c r="AE20" s="94">
        <v>25</v>
      </c>
      <c r="AF20" s="120">
        <v>410</v>
      </c>
      <c r="AG20" s="44" t="s">
        <v>67</v>
      </c>
      <c r="AH20" s="94">
        <v>24</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25">
      <c r="A21" s="123" t="s">
        <v>150</v>
      </c>
      <c r="B21" s="235">
        <v>97</v>
      </c>
      <c r="C21" s="229" t="s">
        <v>179</v>
      </c>
      <c r="D21" s="220">
        <v>19</v>
      </c>
      <c r="E21" s="91">
        <v>68</v>
      </c>
      <c r="F21" s="56" t="s">
        <v>73</v>
      </c>
      <c r="G21" s="130">
        <v>18</v>
      </c>
      <c r="H21" s="91">
        <v>66</v>
      </c>
      <c r="I21" s="56" t="s">
        <v>73</v>
      </c>
      <c r="J21" s="130">
        <v>19</v>
      </c>
      <c r="K21" s="91">
        <v>80</v>
      </c>
      <c r="L21" s="44" t="s">
        <v>73</v>
      </c>
      <c r="M21" s="94">
        <v>19</v>
      </c>
      <c r="N21" s="91">
        <v>102</v>
      </c>
      <c r="O21" s="44" t="s">
        <v>73</v>
      </c>
      <c r="P21" s="94">
        <v>21</v>
      </c>
      <c r="Q21" s="91">
        <v>71</v>
      </c>
      <c r="R21" s="44" t="s">
        <v>73</v>
      </c>
      <c r="S21" s="94">
        <v>16</v>
      </c>
      <c r="T21" s="88">
        <v>72</v>
      </c>
      <c r="U21" s="44" t="s">
        <v>70</v>
      </c>
      <c r="V21" s="94">
        <v>12</v>
      </c>
      <c r="W21" s="88">
        <v>75</v>
      </c>
      <c r="X21" s="44" t="s">
        <v>70</v>
      </c>
      <c r="Y21" s="94">
        <v>12</v>
      </c>
      <c r="Z21" s="88">
        <v>85</v>
      </c>
      <c r="AA21" s="44" t="s">
        <v>70</v>
      </c>
      <c r="AB21" s="94">
        <v>12</v>
      </c>
      <c r="AC21" s="88">
        <v>65</v>
      </c>
      <c r="AD21" s="44" t="s">
        <v>70</v>
      </c>
      <c r="AE21" s="94">
        <v>10</v>
      </c>
      <c r="AF21" s="138">
        <v>74</v>
      </c>
      <c r="AG21" s="44" t="s">
        <v>70</v>
      </c>
      <c r="AH21" s="94">
        <v>11</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25">
      <c r="A22" s="124" t="s">
        <v>151</v>
      </c>
      <c r="B22" s="233">
        <v>149</v>
      </c>
      <c r="C22" s="230" t="s">
        <v>179</v>
      </c>
      <c r="D22" s="222">
        <v>21</v>
      </c>
      <c r="E22" s="92">
        <v>127</v>
      </c>
      <c r="F22" s="45" t="s">
        <v>73</v>
      </c>
      <c r="G22" s="131">
        <v>25</v>
      </c>
      <c r="H22" s="92">
        <v>137</v>
      </c>
      <c r="I22" s="45" t="s">
        <v>73</v>
      </c>
      <c r="J22" s="131">
        <v>29</v>
      </c>
      <c r="K22" s="89">
        <v>129</v>
      </c>
      <c r="L22" s="46" t="s">
        <v>70</v>
      </c>
      <c r="M22" s="98">
        <v>20</v>
      </c>
      <c r="N22" s="89">
        <v>123</v>
      </c>
      <c r="O22" s="46" t="s">
        <v>70</v>
      </c>
      <c r="P22" s="98">
        <v>18</v>
      </c>
      <c r="Q22" s="89">
        <v>150</v>
      </c>
      <c r="R22" s="46" t="s">
        <v>70</v>
      </c>
      <c r="S22" s="98">
        <v>24</v>
      </c>
      <c r="T22" s="89">
        <v>127</v>
      </c>
      <c r="U22" s="46" t="s">
        <v>70</v>
      </c>
      <c r="V22" s="98">
        <v>18</v>
      </c>
      <c r="W22" s="89">
        <v>149</v>
      </c>
      <c r="X22" s="46" t="s">
        <v>70</v>
      </c>
      <c r="Y22" s="98">
        <v>19</v>
      </c>
      <c r="Z22" s="89">
        <v>142</v>
      </c>
      <c r="AA22" s="46" t="s">
        <v>70</v>
      </c>
      <c r="AB22" s="98">
        <v>19</v>
      </c>
      <c r="AC22" s="89">
        <v>134</v>
      </c>
      <c r="AD22" s="46" t="s">
        <v>70</v>
      </c>
      <c r="AE22" s="98">
        <v>18</v>
      </c>
      <c r="AF22" s="135">
        <v>137</v>
      </c>
      <c r="AG22" s="46" t="s">
        <v>70</v>
      </c>
      <c r="AH22" s="98">
        <v>17</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25">
      <c r="A23" s="122" t="s">
        <v>152</v>
      </c>
      <c r="B23" s="232">
        <v>250</v>
      </c>
      <c r="C23" s="228" t="s">
        <v>179</v>
      </c>
      <c r="D23" s="219">
        <v>29</v>
      </c>
      <c r="E23" s="87">
        <v>261</v>
      </c>
      <c r="F23" s="47" t="s">
        <v>70</v>
      </c>
      <c r="G23" s="129">
        <v>31</v>
      </c>
      <c r="H23" s="87">
        <v>287</v>
      </c>
      <c r="I23" s="47" t="s">
        <v>70</v>
      </c>
      <c r="J23" s="129">
        <v>39</v>
      </c>
      <c r="K23" s="87">
        <v>209</v>
      </c>
      <c r="L23" s="49" t="s">
        <v>70</v>
      </c>
      <c r="M23" s="96">
        <v>27</v>
      </c>
      <c r="N23" s="87">
        <v>231</v>
      </c>
      <c r="O23" s="49" t="s">
        <v>70</v>
      </c>
      <c r="P23" s="96">
        <v>27</v>
      </c>
      <c r="Q23" s="87">
        <v>236</v>
      </c>
      <c r="R23" s="49" t="s">
        <v>70</v>
      </c>
      <c r="S23" s="96">
        <v>28</v>
      </c>
      <c r="T23" s="87">
        <v>225</v>
      </c>
      <c r="U23" s="49" t="s">
        <v>70</v>
      </c>
      <c r="V23" s="96">
        <v>22</v>
      </c>
      <c r="W23" s="87">
        <v>222</v>
      </c>
      <c r="X23" s="49" t="s">
        <v>70</v>
      </c>
      <c r="Y23" s="96">
        <v>22</v>
      </c>
      <c r="Z23" s="97">
        <v>225</v>
      </c>
      <c r="AA23" s="49" t="s">
        <v>67</v>
      </c>
      <c r="AB23" s="96">
        <v>22</v>
      </c>
      <c r="AC23" s="97">
        <v>246</v>
      </c>
      <c r="AD23" s="49" t="s">
        <v>67</v>
      </c>
      <c r="AE23" s="96">
        <v>22</v>
      </c>
      <c r="AF23" s="137">
        <v>247</v>
      </c>
      <c r="AG23" s="49" t="s">
        <v>67</v>
      </c>
      <c r="AH23" s="96">
        <v>22</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25">
      <c r="A24" s="123" t="s">
        <v>153</v>
      </c>
      <c r="B24" s="235">
        <v>169</v>
      </c>
      <c r="C24" s="229" t="s">
        <v>179</v>
      </c>
      <c r="D24" s="220">
        <v>24</v>
      </c>
      <c r="E24" s="88">
        <v>170</v>
      </c>
      <c r="F24" s="56" t="s">
        <v>70</v>
      </c>
      <c r="G24" s="130">
        <v>27</v>
      </c>
      <c r="H24" s="88">
        <v>202</v>
      </c>
      <c r="I24" s="56" t="s">
        <v>70</v>
      </c>
      <c r="J24" s="130">
        <v>32</v>
      </c>
      <c r="K24" s="88">
        <v>137</v>
      </c>
      <c r="L24" s="44" t="s">
        <v>70</v>
      </c>
      <c r="M24" s="94">
        <v>21</v>
      </c>
      <c r="N24" s="88">
        <v>139</v>
      </c>
      <c r="O24" s="44" t="s">
        <v>70</v>
      </c>
      <c r="P24" s="94">
        <v>20</v>
      </c>
      <c r="Q24" s="88">
        <v>153</v>
      </c>
      <c r="R24" s="44" t="s">
        <v>70</v>
      </c>
      <c r="S24" s="94">
        <v>24</v>
      </c>
      <c r="T24" s="88">
        <v>149</v>
      </c>
      <c r="U24" s="44" t="s">
        <v>70</v>
      </c>
      <c r="V24" s="94">
        <v>18</v>
      </c>
      <c r="W24" s="88">
        <v>156</v>
      </c>
      <c r="X24" s="44" t="s">
        <v>70</v>
      </c>
      <c r="Y24" s="94">
        <v>18</v>
      </c>
      <c r="Z24" s="88">
        <v>159</v>
      </c>
      <c r="AA24" s="44" t="s">
        <v>70</v>
      </c>
      <c r="AB24" s="94">
        <v>18</v>
      </c>
      <c r="AC24" s="88">
        <v>170</v>
      </c>
      <c r="AD24" s="44" t="s">
        <v>70</v>
      </c>
      <c r="AE24" s="94">
        <v>18</v>
      </c>
      <c r="AF24" s="138">
        <v>169</v>
      </c>
      <c r="AG24" s="44" t="s">
        <v>70</v>
      </c>
      <c r="AH24" s="94">
        <v>18</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25">
      <c r="A25" s="124" t="s">
        <v>151</v>
      </c>
      <c r="B25" s="236">
        <v>82</v>
      </c>
      <c r="C25" s="230" t="s">
        <v>180</v>
      </c>
      <c r="D25" s="222">
        <v>17</v>
      </c>
      <c r="E25" s="92">
        <v>91</v>
      </c>
      <c r="F25" s="45" t="s">
        <v>73</v>
      </c>
      <c r="G25" s="131">
        <v>22</v>
      </c>
      <c r="H25" s="92">
        <v>85</v>
      </c>
      <c r="I25" s="45" t="s">
        <v>73</v>
      </c>
      <c r="J25" s="131">
        <v>22</v>
      </c>
      <c r="K25" s="92">
        <v>71</v>
      </c>
      <c r="L25" s="46" t="s">
        <v>73</v>
      </c>
      <c r="M25" s="98">
        <v>16</v>
      </c>
      <c r="N25" s="92">
        <v>91</v>
      </c>
      <c r="O25" s="46" t="s">
        <v>73</v>
      </c>
      <c r="P25" s="98">
        <v>18</v>
      </c>
      <c r="Q25" s="92">
        <v>82</v>
      </c>
      <c r="R25" s="46" t="s">
        <v>73</v>
      </c>
      <c r="S25" s="98">
        <v>18</v>
      </c>
      <c r="T25" s="89">
        <v>76</v>
      </c>
      <c r="U25" s="46" t="s">
        <v>70</v>
      </c>
      <c r="V25" s="98">
        <v>14</v>
      </c>
      <c r="W25" s="92">
        <v>66</v>
      </c>
      <c r="X25" s="46" t="s">
        <v>73</v>
      </c>
      <c r="Y25" s="98">
        <v>13</v>
      </c>
      <c r="Z25" s="92">
        <v>66</v>
      </c>
      <c r="AA25" s="46" t="s">
        <v>73</v>
      </c>
      <c r="AB25" s="98">
        <v>13</v>
      </c>
      <c r="AC25" s="89">
        <v>76</v>
      </c>
      <c r="AD25" s="46" t="s">
        <v>70</v>
      </c>
      <c r="AE25" s="98">
        <v>14</v>
      </c>
      <c r="AF25" s="135">
        <v>78</v>
      </c>
      <c r="AG25" s="46" t="s">
        <v>70</v>
      </c>
      <c r="AH25" s="98">
        <v>14</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25">
      <c r="A26" s="125" t="s">
        <v>154</v>
      </c>
      <c r="B26" s="234">
        <v>27</v>
      </c>
      <c r="C26" s="231" t="s">
        <v>180</v>
      </c>
      <c r="D26" s="224">
        <v>9</v>
      </c>
      <c r="E26" s="93">
        <v>23</v>
      </c>
      <c r="F26" s="50" t="s">
        <v>76</v>
      </c>
      <c r="G26" s="132">
        <v>11</v>
      </c>
      <c r="H26" s="93">
        <v>18</v>
      </c>
      <c r="I26" s="50" t="s">
        <v>76</v>
      </c>
      <c r="J26" s="132">
        <v>12</v>
      </c>
      <c r="K26" s="93">
        <v>19</v>
      </c>
      <c r="L26" s="52" t="s">
        <v>76</v>
      </c>
      <c r="M26" s="95">
        <v>9</v>
      </c>
      <c r="N26" s="93">
        <v>20</v>
      </c>
      <c r="O26" s="52" t="s">
        <v>76</v>
      </c>
      <c r="P26" s="95">
        <v>8</v>
      </c>
      <c r="Q26" s="93">
        <v>19</v>
      </c>
      <c r="R26" s="52" t="s">
        <v>76</v>
      </c>
      <c r="S26" s="95">
        <v>9</v>
      </c>
      <c r="T26" s="93">
        <v>14</v>
      </c>
      <c r="U26" s="52" t="s">
        <v>76</v>
      </c>
      <c r="V26" s="95">
        <v>6</v>
      </c>
      <c r="W26" s="90">
        <v>17</v>
      </c>
      <c r="X26" s="52" t="s">
        <v>73</v>
      </c>
      <c r="Y26" s="95">
        <v>6</v>
      </c>
      <c r="Z26" s="90">
        <v>17</v>
      </c>
      <c r="AA26" s="52" t="s">
        <v>73</v>
      </c>
      <c r="AB26" s="95">
        <v>7</v>
      </c>
      <c r="AC26" s="90">
        <v>23</v>
      </c>
      <c r="AD26" s="52" t="s">
        <v>73</v>
      </c>
      <c r="AE26" s="95">
        <v>7</v>
      </c>
      <c r="AF26" s="139">
        <v>22</v>
      </c>
      <c r="AG26" s="52" t="s">
        <v>73</v>
      </c>
      <c r="AH26" s="95">
        <v>7</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25">
      <c r="A27" s="38" t="s">
        <v>155</v>
      </c>
      <c r="B27" s="237">
        <v>2356</v>
      </c>
      <c r="C27" s="230" t="s">
        <v>182</v>
      </c>
      <c r="D27" s="222">
        <v>65</v>
      </c>
      <c r="E27" s="128">
        <v>2369</v>
      </c>
      <c r="F27" s="45" t="s">
        <v>67</v>
      </c>
      <c r="G27" s="131">
        <v>78</v>
      </c>
      <c r="H27" s="133">
        <v>2375</v>
      </c>
      <c r="I27" s="45" t="s">
        <v>67</v>
      </c>
      <c r="J27" s="77">
        <v>70</v>
      </c>
      <c r="K27" s="78">
        <v>2370</v>
      </c>
      <c r="L27" s="46" t="s">
        <v>67</v>
      </c>
      <c r="M27" s="98">
        <v>67</v>
      </c>
      <c r="N27" s="53">
        <v>2358</v>
      </c>
      <c r="O27" s="46" t="s">
        <v>67</v>
      </c>
      <c r="P27" s="98">
        <v>67</v>
      </c>
      <c r="Q27" s="53">
        <v>2362</v>
      </c>
      <c r="R27" s="46" t="s">
        <v>67</v>
      </c>
      <c r="S27" s="98">
        <v>84</v>
      </c>
      <c r="T27" s="53">
        <v>2360</v>
      </c>
      <c r="U27" s="46" t="s">
        <v>67</v>
      </c>
      <c r="V27" s="98">
        <v>41</v>
      </c>
      <c r="W27" s="53">
        <v>2338</v>
      </c>
      <c r="X27" s="46" t="s">
        <v>67</v>
      </c>
      <c r="Y27" s="98">
        <v>39</v>
      </c>
      <c r="Z27" s="53">
        <v>2314</v>
      </c>
      <c r="AA27" s="46" t="s">
        <v>67</v>
      </c>
      <c r="AB27" s="98">
        <v>40</v>
      </c>
      <c r="AC27" s="53">
        <v>2333</v>
      </c>
      <c r="AD27" s="46" t="s">
        <v>67</v>
      </c>
      <c r="AE27" s="98">
        <v>43</v>
      </c>
      <c r="AF27" s="140">
        <v>2281</v>
      </c>
      <c r="AG27" s="46" t="s">
        <v>67</v>
      </c>
      <c r="AH27" s="98">
        <v>38</v>
      </c>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sheetData>
  <hyperlinks>
    <hyperlink ref="A9" r:id="rId1" xr:uid="{00000000-0004-0000-0600-000000000000}"/>
    <hyperlink ref="A10" r:id="rId2" xr:uid="{00000000-0004-0000-0600-000001000000}"/>
    <hyperlink ref="A11" r:id="rId3" xr:uid="{00000000-0004-0000-0600-000002000000}"/>
  </hyperlinks>
  <pageMargins left="0.7" right="0.7" top="0.75" bottom="0.75" header="0.3" footer="0.3"/>
  <pageSetup paperSize="9" orientation="portrait" horizontalDpi="300" verticalDpi="300"/>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HR27"/>
  <sheetViews>
    <sheetView showGridLines="0" zoomScaleNormal="10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26" ht="19.5" customHeight="1" x14ac:dyDescent="0.25">
      <c r="A1" s="196" t="s">
        <v>0</v>
      </c>
    </row>
    <row r="2" spans="1:226" ht="31.2" customHeight="1" x14ac:dyDescent="0.25">
      <c r="A2" s="197" t="s">
        <v>160</v>
      </c>
    </row>
    <row r="3" spans="1:226" ht="15.6" customHeight="1" x14ac:dyDescent="0.25">
      <c r="A3" s="38" t="s">
        <v>161</v>
      </c>
    </row>
    <row r="4" spans="1:226" ht="15.6" customHeight="1" x14ac:dyDescent="0.25">
      <c r="A4" s="38" t="s">
        <v>102</v>
      </c>
    </row>
    <row r="5" spans="1:226" ht="15.75" customHeight="1" x14ac:dyDescent="0.25">
      <c r="A5" s="38" t="s">
        <v>103</v>
      </c>
    </row>
    <row r="6" spans="1:226" ht="15.75" customHeight="1" x14ac:dyDescent="0.25">
      <c r="A6" s="38" t="s">
        <v>188</v>
      </c>
    </row>
    <row r="7" spans="1:226" ht="15.6" customHeight="1" x14ac:dyDescent="0.3">
      <c r="A7" s="38" t="s">
        <v>189</v>
      </c>
      <c r="B7" s="3"/>
      <c r="C7" s="3"/>
      <c r="D7" s="3"/>
      <c r="E7" s="3"/>
      <c r="F7" s="3"/>
      <c r="G7" s="3"/>
      <c r="H7" s="3"/>
      <c r="I7" s="3"/>
      <c r="J7" s="3"/>
      <c r="K7" s="3"/>
      <c r="L7" s="3"/>
      <c r="M7" s="3"/>
      <c r="N7" s="3"/>
      <c r="O7" s="3"/>
      <c r="P7" s="3"/>
      <c r="Q7" s="3"/>
      <c r="R7" s="3"/>
      <c r="S7" s="3"/>
      <c r="T7" s="3"/>
      <c r="U7" s="3"/>
      <c r="V7" s="3"/>
      <c r="W7" s="3"/>
      <c r="X7" s="3"/>
      <c r="Y7" s="3"/>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c r="CK7" s="100"/>
      <c r="CL7" s="100"/>
      <c r="CM7" s="100"/>
      <c r="CN7" s="100"/>
      <c r="CO7" s="100"/>
      <c r="CP7" s="100"/>
      <c r="CQ7" s="100"/>
      <c r="CR7" s="100"/>
      <c r="CS7" s="100"/>
      <c r="CT7" s="100"/>
      <c r="CU7" s="100"/>
      <c r="CV7" s="100"/>
      <c r="CW7" s="100"/>
      <c r="CX7" s="100"/>
      <c r="CY7" s="100"/>
      <c r="CZ7" s="100"/>
      <c r="DA7" s="100"/>
      <c r="DB7" s="100"/>
      <c r="DC7" s="100"/>
      <c r="DD7" s="100"/>
      <c r="DE7" s="100"/>
      <c r="DF7" s="100"/>
      <c r="DG7" s="100"/>
      <c r="DH7" s="100"/>
      <c r="DI7" s="100"/>
      <c r="DJ7" s="100"/>
      <c r="DK7" s="100"/>
      <c r="DL7" s="100"/>
      <c r="DM7" s="100"/>
      <c r="DN7" s="100"/>
      <c r="DO7" s="100"/>
      <c r="DP7" s="100"/>
      <c r="DQ7" s="100"/>
      <c r="DR7" s="100"/>
      <c r="DS7" s="100"/>
      <c r="DT7" s="100"/>
      <c r="DU7" s="100"/>
      <c r="DV7" s="100"/>
      <c r="DW7" s="100"/>
      <c r="DX7" s="100"/>
      <c r="DY7" s="100"/>
      <c r="DZ7" s="100"/>
      <c r="EA7" s="100"/>
      <c r="EB7" s="100"/>
      <c r="EC7" s="100"/>
      <c r="ED7" s="100"/>
      <c r="EE7" s="100"/>
      <c r="EF7" s="100"/>
      <c r="EG7" s="100"/>
      <c r="EH7" s="100"/>
      <c r="EI7" s="100"/>
      <c r="EJ7" s="100"/>
      <c r="EK7" s="100"/>
      <c r="EL7" s="100"/>
      <c r="EM7" s="100"/>
      <c r="EN7" s="100"/>
      <c r="EO7" s="100"/>
      <c r="EP7" s="100"/>
      <c r="EQ7" s="100"/>
      <c r="ER7" s="100"/>
      <c r="ES7" s="100"/>
      <c r="ET7" s="100"/>
      <c r="EU7" s="100"/>
      <c r="EV7" s="100"/>
      <c r="EW7" s="100"/>
      <c r="EX7" s="100"/>
      <c r="EY7" s="100"/>
      <c r="EZ7" s="100"/>
      <c r="FA7" s="100"/>
      <c r="FB7" s="100"/>
      <c r="FC7" s="100"/>
      <c r="FD7" s="100"/>
      <c r="FE7" s="100"/>
      <c r="FF7" s="100"/>
      <c r="FG7" s="100"/>
      <c r="FH7" s="100"/>
      <c r="FI7" s="100"/>
      <c r="FJ7" s="100"/>
      <c r="FK7" s="100"/>
      <c r="FL7" s="100"/>
      <c r="FM7" s="100"/>
      <c r="FN7" s="100"/>
      <c r="FO7" s="100"/>
      <c r="FP7" s="100"/>
      <c r="FQ7" s="100"/>
      <c r="FR7" s="100"/>
      <c r="FS7" s="100"/>
      <c r="FT7" s="100"/>
      <c r="FU7" s="100"/>
      <c r="FV7" s="100"/>
      <c r="FW7" s="100"/>
      <c r="FX7" s="100"/>
      <c r="FY7" s="100"/>
      <c r="FZ7" s="100"/>
      <c r="GA7" s="100"/>
      <c r="GB7" s="100"/>
      <c r="GC7" s="100"/>
      <c r="GD7" s="100"/>
      <c r="GE7" s="100"/>
      <c r="GF7" s="100"/>
      <c r="GG7" s="100"/>
      <c r="GH7" s="100"/>
      <c r="GI7" s="100"/>
      <c r="GJ7" s="100"/>
      <c r="GK7" s="100"/>
      <c r="GL7" s="100"/>
      <c r="GM7" s="100"/>
      <c r="GN7" s="100"/>
      <c r="GO7" s="100"/>
      <c r="GP7" s="100"/>
      <c r="GQ7" s="100"/>
      <c r="GR7" s="100"/>
      <c r="GS7" s="100"/>
      <c r="GT7" s="100"/>
      <c r="GU7" s="100"/>
      <c r="GV7" s="100"/>
      <c r="GW7" s="100"/>
      <c r="GX7" s="100"/>
      <c r="GY7" s="100"/>
      <c r="GZ7" s="100"/>
      <c r="HA7" s="100"/>
      <c r="HB7" s="100"/>
      <c r="HC7" s="100"/>
      <c r="HD7" s="100"/>
      <c r="HE7" s="100"/>
      <c r="HF7" s="100"/>
      <c r="HG7" s="100"/>
      <c r="HH7" s="100"/>
      <c r="HI7" s="100"/>
      <c r="HJ7" s="100"/>
      <c r="HK7" s="100"/>
      <c r="HL7" s="100"/>
      <c r="HM7" s="100"/>
      <c r="HN7" s="100"/>
      <c r="HO7" s="100"/>
      <c r="HP7" s="100"/>
      <c r="HQ7" s="100"/>
      <c r="HR7" s="100"/>
    </row>
    <row r="8" spans="1:226" ht="31.2" customHeight="1" x14ac:dyDescent="0.25">
      <c r="A8" s="48" t="s">
        <v>104</v>
      </c>
    </row>
    <row r="9" spans="1:226" x14ac:dyDescent="0.25">
      <c r="A9" s="185" t="s">
        <v>105</v>
      </c>
    </row>
    <row r="10" spans="1:226" ht="15.6" customHeight="1" x14ac:dyDescent="0.25">
      <c r="A10" s="185" t="s">
        <v>106</v>
      </c>
    </row>
    <row r="11" spans="1:226" ht="31.2" customHeight="1" x14ac:dyDescent="0.25">
      <c r="A11" s="195" t="s">
        <v>107</v>
      </c>
    </row>
    <row r="12" spans="1:226" ht="31.95" customHeight="1" x14ac:dyDescent="0.25">
      <c r="A12" s="109" t="s">
        <v>108</v>
      </c>
      <c r="B12" s="57" t="s">
        <v>109</v>
      </c>
      <c r="C12" s="42" t="s">
        <v>110</v>
      </c>
      <c r="D12" s="43" t="s">
        <v>111</v>
      </c>
      <c r="E12" s="142" t="s">
        <v>112</v>
      </c>
      <c r="F12" s="141" t="s">
        <v>113</v>
      </c>
      <c r="G12" s="143" t="s">
        <v>114</v>
      </c>
      <c r="H12" s="144" t="s">
        <v>115</v>
      </c>
      <c r="I12" s="145" t="s">
        <v>116</v>
      </c>
      <c r="J12" s="146" t="s">
        <v>117</v>
      </c>
      <c r="K12" s="144" t="s">
        <v>118</v>
      </c>
      <c r="L12" s="145" t="s">
        <v>119</v>
      </c>
      <c r="M12" s="146" t="s">
        <v>120</v>
      </c>
      <c r="N12" s="144" t="s">
        <v>121</v>
      </c>
      <c r="O12" s="145" t="s">
        <v>122</v>
      </c>
      <c r="P12" s="146" t="s">
        <v>123</v>
      </c>
      <c r="Q12" s="144" t="s">
        <v>124</v>
      </c>
      <c r="R12" s="145" t="s">
        <v>125</v>
      </c>
      <c r="S12" s="146" t="s">
        <v>126</v>
      </c>
      <c r="T12" s="144" t="s">
        <v>127</v>
      </c>
      <c r="U12" s="145" t="s">
        <v>128</v>
      </c>
      <c r="V12" s="146" t="s">
        <v>129</v>
      </c>
      <c r="W12" s="144" t="s">
        <v>130</v>
      </c>
      <c r="X12" s="145" t="s">
        <v>131</v>
      </c>
      <c r="Y12" s="146" t="s">
        <v>132</v>
      </c>
      <c r="Z12" s="144" t="s">
        <v>133</v>
      </c>
      <c r="AA12" s="145" t="s">
        <v>134</v>
      </c>
      <c r="AB12" s="146" t="s">
        <v>135</v>
      </c>
      <c r="AC12" s="144" t="s">
        <v>136</v>
      </c>
      <c r="AD12" s="145" t="s">
        <v>137</v>
      </c>
      <c r="AE12" s="146" t="s">
        <v>138</v>
      </c>
      <c r="AF12" s="144" t="s">
        <v>139</v>
      </c>
      <c r="AG12" s="145" t="s">
        <v>140</v>
      </c>
      <c r="AH12" s="146" t="s">
        <v>141</v>
      </c>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row>
    <row r="13" spans="1:226" ht="15" customHeight="1" x14ac:dyDescent="0.25">
      <c r="A13" s="38" t="s">
        <v>142</v>
      </c>
      <c r="B13" s="238">
        <v>610</v>
      </c>
      <c r="C13" s="105" t="s">
        <v>179</v>
      </c>
      <c r="D13" s="111">
        <v>61</v>
      </c>
      <c r="E13" s="87">
        <v>534</v>
      </c>
      <c r="F13" s="47" t="s">
        <v>70</v>
      </c>
      <c r="G13" s="129">
        <v>60</v>
      </c>
      <c r="H13" s="87">
        <v>564</v>
      </c>
      <c r="I13" s="47" t="s">
        <v>70</v>
      </c>
      <c r="J13" s="129">
        <v>67</v>
      </c>
      <c r="K13" s="87">
        <v>569</v>
      </c>
      <c r="L13" s="49" t="s">
        <v>70</v>
      </c>
      <c r="M13" s="96">
        <v>64</v>
      </c>
      <c r="N13" s="87">
        <v>601</v>
      </c>
      <c r="O13" s="49" t="s">
        <v>70</v>
      </c>
      <c r="P13" s="96">
        <v>67</v>
      </c>
      <c r="Q13" s="87">
        <v>525</v>
      </c>
      <c r="R13" s="49" t="s">
        <v>70</v>
      </c>
      <c r="S13" s="96">
        <v>68</v>
      </c>
      <c r="T13" s="127">
        <v>567</v>
      </c>
      <c r="U13" s="49" t="s">
        <v>67</v>
      </c>
      <c r="V13" s="96">
        <v>49</v>
      </c>
      <c r="W13" s="127">
        <v>609</v>
      </c>
      <c r="X13" s="49" t="s">
        <v>67</v>
      </c>
      <c r="Y13" s="96">
        <v>52</v>
      </c>
      <c r="Z13" s="127">
        <v>557</v>
      </c>
      <c r="AA13" s="49" t="s">
        <v>67</v>
      </c>
      <c r="AB13" s="96">
        <v>49</v>
      </c>
      <c r="AC13" s="127">
        <v>530</v>
      </c>
      <c r="AD13" s="49" t="s">
        <v>67</v>
      </c>
      <c r="AE13" s="96">
        <v>47</v>
      </c>
      <c r="AF13" s="127">
        <v>521</v>
      </c>
      <c r="AG13" s="49" t="s">
        <v>67</v>
      </c>
      <c r="AH13" s="96">
        <v>45</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row>
    <row r="14" spans="1:226" ht="15" customHeight="1" x14ac:dyDescent="0.25">
      <c r="A14" s="38" t="s">
        <v>143</v>
      </c>
      <c r="B14" s="239">
        <v>300</v>
      </c>
      <c r="C14" s="1" t="s">
        <v>179</v>
      </c>
      <c r="D14" s="112">
        <v>34</v>
      </c>
      <c r="E14" s="88">
        <v>265</v>
      </c>
      <c r="F14" s="56" t="s">
        <v>70</v>
      </c>
      <c r="G14" s="130">
        <v>35</v>
      </c>
      <c r="H14" s="88">
        <v>294</v>
      </c>
      <c r="I14" s="56" t="s">
        <v>70</v>
      </c>
      <c r="J14" s="130">
        <v>41</v>
      </c>
      <c r="K14" s="88">
        <v>278</v>
      </c>
      <c r="L14" s="44" t="s">
        <v>70</v>
      </c>
      <c r="M14" s="94">
        <v>34</v>
      </c>
      <c r="N14" s="88">
        <v>283</v>
      </c>
      <c r="O14" s="44" t="s">
        <v>70</v>
      </c>
      <c r="P14" s="94">
        <v>36</v>
      </c>
      <c r="Q14" s="88">
        <v>280</v>
      </c>
      <c r="R14" s="44" t="s">
        <v>70</v>
      </c>
      <c r="S14" s="94">
        <v>35</v>
      </c>
      <c r="T14" s="55">
        <v>294</v>
      </c>
      <c r="U14" s="44" t="s">
        <v>67</v>
      </c>
      <c r="V14" s="94">
        <v>29</v>
      </c>
      <c r="W14" s="55">
        <v>291</v>
      </c>
      <c r="X14" s="44" t="s">
        <v>67</v>
      </c>
      <c r="Y14" s="94">
        <v>27</v>
      </c>
      <c r="Z14" s="88">
        <v>271</v>
      </c>
      <c r="AA14" s="44" t="s">
        <v>70</v>
      </c>
      <c r="AB14" s="94">
        <v>27</v>
      </c>
      <c r="AC14" s="55">
        <v>271</v>
      </c>
      <c r="AD14" s="44" t="s">
        <v>67</v>
      </c>
      <c r="AE14" s="94">
        <v>26</v>
      </c>
      <c r="AF14" s="55">
        <v>270</v>
      </c>
      <c r="AG14" s="44" t="s">
        <v>67</v>
      </c>
      <c r="AH14" s="94">
        <v>24</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row>
    <row r="15" spans="1:226" ht="15" customHeight="1" x14ac:dyDescent="0.25">
      <c r="A15" s="38" t="s">
        <v>144</v>
      </c>
      <c r="B15" s="240">
        <v>310</v>
      </c>
      <c r="C15" s="104" t="s">
        <v>179</v>
      </c>
      <c r="D15" s="113">
        <v>55</v>
      </c>
      <c r="E15" s="89">
        <v>269</v>
      </c>
      <c r="F15" s="45" t="s">
        <v>70</v>
      </c>
      <c r="G15" s="131">
        <v>46</v>
      </c>
      <c r="H15" s="89">
        <v>270</v>
      </c>
      <c r="I15" s="45" t="s">
        <v>70</v>
      </c>
      <c r="J15" s="131">
        <v>51</v>
      </c>
      <c r="K15" s="89">
        <v>292</v>
      </c>
      <c r="L15" s="46" t="s">
        <v>70</v>
      </c>
      <c r="M15" s="98">
        <v>50</v>
      </c>
      <c r="N15" s="89">
        <v>318</v>
      </c>
      <c r="O15" s="46" t="s">
        <v>70</v>
      </c>
      <c r="P15" s="98">
        <v>55</v>
      </c>
      <c r="Q15" s="92">
        <v>245</v>
      </c>
      <c r="R15" s="46" t="s">
        <v>73</v>
      </c>
      <c r="S15" s="98">
        <v>60</v>
      </c>
      <c r="T15" s="89">
        <v>273</v>
      </c>
      <c r="U15" s="46" t="s">
        <v>70</v>
      </c>
      <c r="V15" s="98">
        <v>42</v>
      </c>
      <c r="W15" s="89">
        <v>318</v>
      </c>
      <c r="X15" s="46" t="s">
        <v>70</v>
      </c>
      <c r="Y15" s="98">
        <v>47</v>
      </c>
      <c r="Z15" s="89">
        <v>286</v>
      </c>
      <c r="AA15" s="46" t="s">
        <v>70</v>
      </c>
      <c r="AB15" s="98">
        <v>41</v>
      </c>
      <c r="AC15" s="89">
        <v>259</v>
      </c>
      <c r="AD15" s="46" t="s">
        <v>70</v>
      </c>
      <c r="AE15" s="98">
        <v>41</v>
      </c>
      <c r="AF15" s="89">
        <v>252</v>
      </c>
      <c r="AG15" s="46" t="s">
        <v>70</v>
      </c>
      <c r="AH15" s="98">
        <v>39</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row>
    <row r="16" spans="1:226" ht="15" customHeight="1" x14ac:dyDescent="0.25">
      <c r="A16" s="39" t="s">
        <v>145</v>
      </c>
      <c r="B16" s="241">
        <v>42</v>
      </c>
      <c r="C16" s="106" t="s">
        <v>180</v>
      </c>
      <c r="D16" s="114">
        <v>16</v>
      </c>
      <c r="E16" s="90">
        <v>56</v>
      </c>
      <c r="F16" s="50" t="s">
        <v>73</v>
      </c>
      <c r="G16" s="132">
        <v>21</v>
      </c>
      <c r="H16" s="90">
        <v>47</v>
      </c>
      <c r="I16" s="50" t="s">
        <v>73</v>
      </c>
      <c r="J16" s="132">
        <v>18</v>
      </c>
      <c r="K16" s="93">
        <v>44</v>
      </c>
      <c r="L16" s="52" t="s">
        <v>76</v>
      </c>
      <c r="M16" s="95">
        <v>18</v>
      </c>
      <c r="N16" s="90">
        <v>39</v>
      </c>
      <c r="O16" s="52" t="s">
        <v>73</v>
      </c>
      <c r="P16" s="95">
        <v>14</v>
      </c>
      <c r="Q16" s="90">
        <v>50</v>
      </c>
      <c r="R16" s="52" t="s">
        <v>73</v>
      </c>
      <c r="S16" s="95">
        <v>16</v>
      </c>
      <c r="T16" s="90">
        <v>56</v>
      </c>
      <c r="U16" s="52" t="s">
        <v>73</v>
      </c>
      <c r="V16" s="95">
        <v>13</v>
      </c>
      <c r="W16" s="90">
        <v>52</v>
      </c>
      <c r="X16" s="52" t="s">
        <v>73</v>
      </c>
      <c r="Y16" s="95">
        <v>12</v>
      </c>
      <c r="Z16" s="90">
        <v>56</v>
      </c>
      <c r="AA16" s="52" t="s">
        <v>73</v>
      </c>
      <c r="AB16" s="95">
        <v>13</v>
      </c>
      <c r="AC16" s="90">
        <v>52</v>
      </c>
      <c r="AD16" s="52" t="s">
        <v>73</v>
      </c>
      <c r="AE16" s="95">
        <v>12</v>
      </c>
      <c r="AF16" s="90">
        <v>49</v>
      </c>
      <c r="AG16" s="52" t="s">
        <v>73</v>
      </c>
      <c r="AH16" s="95">
        <v>11</v>
      </c>
    </row>
    <row r="17" spans="1:34" ht="15" customHeight="1" x14ac:dyDescent="0.25">
      <c r="A17" s="38" t="s">
        <v>146</v>
      </c>
      <c r="B17" s="108">
        <v>1447</v>
      </c>
      <c r="C17" s="105" t="s">
        <v>182</v>
      </c>
      <c r="D17" s="114">
        <v>41</v>
      </c>
      <c r="E17" s="119">
        <v>1444</v>
      </c>
      <c r="F17" s="50" t="s">
        <v>67</v>
      </c>
      <c r="G17" s="132">
        <v>45</v>
      </c>
      <c r="H17" s="119">
        <v>1372</v>
      </c>
      <c r="I17" s="50" t="s">
        <v>67</v>
      </c>
      <c r="J17" s="132">
        <v>43</v>
      </c>
      <c r="K17" s="51">
        <v>1400</v>
      </c>
      <c r="L17" s="52" t="s">
        <v>67</v>
      </c>
      <c r="M17" s="95">
        <v>45</v>
      </c>
      <c r="N17" s="51">
        <v>1370</v>
      </c>
      <c r="O17" s="52" t="s">
        <v>67</v>
      </c>
      <c r="P17" s="95">
        <v>40</v>
      </c>
      <c r="Q17" s="51">
        <v>1389</v>
      </c>
      <c r="R17" s="52" t="s">
        <v>67</v>
      </c>
      <c r="S17" s="95">
        <v>42</v>
      </c>
      <c r="T17" s="51">
        <v>1390</v>
      </c>
      <c r="U17" s="52" t="s">
        <v>67</v>
      </c>
      <c r="V17" s="95">
        <v>32</v>
      </c>
      <c r="W17" s="51">
        <v>1362</v>
      </c>
      <c r="X17" s="52" t="s">
        <v>67</v>
      </c>
      <c r="Y17" s="95">
        <v>32</v>
      </c>
      <c r="Z17" s="51">
        <v>1365</v>
      </c>
      <c r="AA17" s="52" t="s">
        <v>67</v>
      </c>
      <c r="AB17" s="95">
        <v>31</v>
      </c>
      <c r="AC17" s="51">
        <v>1353</v>
      </c>
      <c r="AD17" s="52" t="s">
        <v>67</v>
      </c>
      <c r="AE17" s="95">
        <v>31</v>
      </c>
      <c r="AF17" s="51">
        <v>1358</v>
      </c>
      <c r="AG17" s="52" t="s">
        <v>67</v>
      </c>
      <c r="AH17" s="95">
        <v>29</v>
      </c>
    </row>
    <row r="18" spans="1:34" ht="15" customHeight="1" x14ac:dyDescent="0.25">
      <c r="A18" s="40" t="s">
        <v>147</v>
      </c>
      <c r="B18" s="108">
        <v>1230</v>
      </c>
      <c r="C18" s="105" t="s">
        <v>182</v>
      </c>
      <c r="D18" s="111">
        <v>41</v>
      </c>
      <c r="E18" s="127">
        <v>1211</v>
      </c>
      <c r="F18" s="47" t="s">
        <v>67</v>
      </c>
      <c r="G18" s="129">
        <v>51</v>
      </c>
      <c r="H18" s="127">
        <v>1168</v>
      </c>
      <c r="I18" s="47" t="s">
        <v>67</v>
      </c>
      <c r="J18" s="129">
        <v>49</v>
      </c>
      <c r="K18" s="97">
        <v>1180</v>
      </c>
      <c r="L18" s="49" t="s">
        <v>67</v>
      </c>
      <c r="M18" s="96">
        <v>48</v>
      </c>
      <c r="N18" s="97">
        <v>1148</v>
      </c>
      <c r="O18" s="49" t="s">
        <v>67</v>
      </c>
      <c r="P18" s="96">
        <v>45</v>
      </c>
      <c r="Q18" s="97">
        <v>1216</v>
      </c>
      <c r="R18" s="49" t="s">
        <v>67</v>
      </c>
      <c r="S18" s="96">
        <v>43</v>
      </c>
      <c r="T18" s="97">
        <v>1192</v>
      </c>
      <c r="U18" s="49" t="s">
        <v>67</v>
      </c>
      <c r="V18" s="96">
        <v>34</v>
      </c>
      <c r="W18" s="97">
        <v>1186</v>
      </c>
      <c r="X18" s="49" t="s">
        <v>67</v>
      </c>
      <c r="Y18" s="96">
        <v>34</v>
      </c>
      <c r="Z18" s="97">
        <v>1178</v>
      </c>
      <c r="AA18" s="49" t="s">
        <v>67</v>
      </c>
      <c r="AB18" s="96">
        <v>33</v>
      </c>
      <c r="AC18" s="97">
        <v>1170</v>
      </c>
      <c r="AD18" s="49" t="s">
        <v>67</v>
      </c>
      <c r="AE18" s="96">
        <v>33</v>
      </c>
      <c r="AF18" s="97">
        <v>1180</v>
      </c>
      <c r="AG18" s="49" t="s">
        <v>67</v>
      </c>
      <c r="AH18" s="96">
        <v>31</v>
      </c>
    </row>
    <row r="19" spans="1:34" ht="15" customHeight="1" x14ac:dyDescent="0.25">
      <c r="A19" s="38" t="s">
        <v>148</v>
      </c>
      <c r="B19" s="103">
        <v>637</v>
      </c>
      <c r="C19" s="1" t="s">
        <v>182</v>
      </c>
      <c r="D19" s="112">
        <v>46</v>
      </c>
      <c r="E19" s="88">
        <v>614</v>
      </c>
      <c r="F19" s="56" t="s">
        <v>70</v>
      </c>
      <c r="G19" s="130">
        <v>62</v>
      </c>
      <c r="H19" s="88">
        <v>564</v>
      </c>
      <c r="I19" s="56" t="s">
        <v>70</v>
      </c>
      <c r="J19" s="130">
        <v>57</v>
      </c>
      <c r="K19" s="55">
        <v>595</v>
      </c>
      <c r="L19" s="44" t="s">
        <v>67</v>
      </c>
      <c r="M19" s="94">
        <v>50</v>
      </c>
      <c r="N19" s="55">
        <v>592</v>
      </c>
      <c r="O19" s="44" t="s">
        <v>67</v>
      </c>
      <c r="P19" s="94">
        <v>48</v>
      </c>
      <c r="Q19" s="55">
        <v>651</v>
      </c>
      <c r="R19" s="44" t="s">
        <v>67</v>
      </c>
      <c r="S19" s="94">
        <v>49</v>
      </c>
      <c r="T19" s="55">
        <v>629</v>
      </c>
      <c r="U19" s="44" t="s">
        <v>67</v>
      </c>
      <c r="V19" s="94">
        <v>40</v>
      </c>
      <c r="W19" s="55">
        <v>607</v>
      </c>
      <c r="X19" s="44" t="s">
        <v>67</v>
      </c>
      <c r="Y19" s="94">
        <v>38</v>
      </c>
      <c r="Z19" s="55">
        <v>632</v>
      </c>
      <c r="AA19" s="44" t="s">
        <v>67</v>
      </c>
      <c r="AB19" s="94">
        <v>38</v>
      </c>
      <c r="AC19" s="55">
        <v>609</v>
      </c>
      <c r="AD19" s="44" t="s">
        <v>67</v>
      </c>
      <c r="AE19" s="94">
        <v>38</v>
      </c>
      <c r="AF19" s="55">
        <v>638</v>
      </c>
      <c r="AG19" s="44" t="s">
        <v>67</v>
      </c>
      <c r="AH19" s="94">
        <v>37</v>
      </c>
    </row>
    <row r="20" spans="1:34" ht="15" customHeight="1" x14ac:dyDescent="0.25">
      <c r="A20" s="38" t="s">
        <v>149</v>
      </c>
      <c r="B20" s="103">
        <v>412</v>
      </c>
      <c r="C20" s="1" t="s">
        <v>182</v>
      </c>
      <c r="D20" s="112">
        <v>32</v>
      </c>
      <c r="E20" s="54">
        <v>411</v>
      </c>
      <c r="F20" s="56" t="s">
        <v>67</v>
      </c>
      <c r="G20" s="130">
        <v>36</v>
      </c>
      <c r="H20" s="54">
        <v>394</v>
      </c>
      <c r="I20" s="56" t="s">
        <v>67</v>
      </c>
      <c r="J20" s="130">
        <v>37</v>
      </c>
      <c r="K20" s="55">
        <v>378</v>
      </c>
      <c r="L20" s="44" t="s">
        <v>67</v>
      </c>
      <c r="M20" s="94">
        <v>31</v>
      </c>
      <c r="N20" s="55">
        <v>363</v>
      </c>
      <c r="O20" s="44" t="s">
        <v>67</v>
      </c>
      <c r="P20" s="94">
        <v>27</v>
      </c>
      <c r="Q20" s="55">
        <v>392</v>
      </c>
      <c r="R20" s="44" t="s">
        <v>67</v>
      </c>
      <c r="S20" s="94">
        <v>34</v>
      </c>
      <c r="T20" s="55">
        <v>364</v>
      </c>
      <c r="U20" s="44" t="s">
        <v>67</v>
      </c>
      <c r="V20" s="94">
        <v>26</v>
      </c>
      <c r="W20" s="55">
        <v>405</v>
      </c>
      <c r="X20" s="44" t="s">
        <v>67</v>
      </c>
      <c r="Y20" s="94">
        <v>25</v>
      </c>
      <c r="Z20" s="55">
        <v>353</v>
      </c>
      <c r="AA20" s="44" t="s">
        <v>67</v>
      </c>
      <c r="AB20" s="94">
        <v>25</v>
      </c>
      <c r="AC20" s="55">
        <v>366</v>
      </c>
      <c r="AD20" s="44" t="s">
        <v>67</v>
      </c>
      <c r="AE20" s="94">
        <v>24</v>
      </c>
      <c r="AF20" s="55">
        <v>359</v>
      </c>
      <c r="AG20" s="44" t="s">
        <v>67</v>
      </c>
      <c r="AH20" s="94">
        <v>24</v>
      </c>
    </row>
    <row r="21" spans="1:34" ht="15" customHeight="1" x14ac:dyDescent="0.25">
      <c r="A21" s="38" t="s">
        <v>150</v>
      </c>
      <c r="B21" s="242">
        <v>44</v>
      </c>
      <c r="C21" s="1" t="s">
        <v>180</v>
      </c>
      <c r="D21" s="112">
        <v>13</v>
      </c>
      <c r="E21" s="91">
        <v>58</v>
      </c>
      <c r="F21" s="56" t="s">
        <v>73</v>
      </c>
      <c r="G21" s="130">
        <v>18</v>
      </c>
      <c r="H21" s="91">
        <v>72</v>
      </c>
      <c r="I21" s="56" t="s">
        <v>73</v>
      </c>
      <c r="J21" s="130">
        <v>20</v>
      </c>
      <c r="K21" s="91">
        <v>76</v>
      </c>
      <c r="L21" s="44" t="s">
        <v>73</v>
      </c>
      <c r="M21" s="94">
        <v>17</v>
      </c>
      <c r="N21" s="91">
        <v>64</v>
      </c>
      <c r="O21" s="44" t="s">
        <v>73</v>
      </c>
      <c r="P21" s="94">
        <v>15</v>
      </c>
      <c r="Q21" s="91">
        <v>62</v>
      </c>
      <c r="R21" s="44" t="s">
        <v>73</v>
      </c>
      <c r="S21" s="94">
        <v>16</v>
      </c>
      <c r="T21" s="88">
        <v>66</v>
      </c>
      <c r="U21" s="44" t="s">
        <v>70</v>
      </c>
      <c r="V21" s="94">
        <v>12</v>
      </c>
      <c r="W21" s="91">
        <v>52</v>
      </c>
      <c r="X21" s="44" t="s">
        <v>73</v>
      </c>
      <c r="Y21" s="94">
        <v>10</v>
      </c>
      <c r="Z21" s="88">
        <v>66</v>
      </c>
      <c r="AA21" s="44" t="s">
        <v>70</v>
      </c>
      <c r="AB21" s="94">
        <v>11</v>
      </c>
      <c r="AC21" s="88">
        <v>65</v>
      </c>
      <c r="AD21" s="44" t="s">
        <v>70</v>
      </c>
      <c r="AE21" s="94">
        <v>11</v>
      </c>
      <c r="AF21" s="88">
        <v>65</v>
      </c>
      <c r="AG21" s="44" t="s">
        <v>70</v>
      </c>
      <c r="AH21" s="94">
        <v>11</v>
      </c>
    </row>
    <row r="22" spans="1:34" ht="15" customHeight="1" x14ac:dyDescent="0.25">
      <c r="A22" s="41" t="s">
        <v>151</v>
      </c>
      <c r="B22" s="240">
        <v>136</v>
      </c>
      <c r="C22" s="104" t="s">
        <v>179</v>
      </c>
      <c r="D22" s="113">
        <v>19</v>
      </c>
      <c r="E22" s="89">
        <v>128</v>
      </c>
      <c r="F22" s="45" t="s">
        <v>70</v>
      </c>
      <c r="G22" s="131">
        <v>23</v>
      </c>
      <c r="H22" s="89">
        <v>137</v>
      </c>
      <c r="I22" s="45" t="s">
        <v>70</v>
      </c>
      <c r="J22" s="131">
        <v>23</v>
      </c>
      <c r="K22" s="89">
        <v>131</v>
      </c>
      <c r="L22" s="46" t="s">
        <v>70</v>
      </c>
      <c r="M22" s="98">
        <v>21</v>
      </c>
      <c r="N22" s="89">
        <v>129</v>
      </c>
      <c r="O22" s="46" t="s">
        <v>70</v>
      </c>
      <c r="P22" s="98">
        <v>19</v>
      </c>
      <c r="Q22" s="89">
        <v>111</v>
      </c>
      <c r="R22" s="46" t="s">
        <v>70</v>
      </c>
      <c r="S22" s="98">
        <v>20</v>
      </c>
      <c r="T22" s="89">
        <v>133</v>
      </c>
      <c r="U22" s="46" t="s">
        <v>70</v>
      </c>
      <c r="V22" s="98">
        <v>19</v>
      </c>
      <c r="W22" s="89">
        <v>123</v>
      </c>
      <c r="X22" s="46" t="s">
        <v>70</v>
      </c>
      <c r="Y22" s="98">
        <v>17</v>
      </c>
      <c r="Z22" s="89">
        <v>127</v>
      </c>
      <c r="AA22" s="46" t="s">
        <v>70</v>
      </c>
      <c r="AB22" s="98">
        <v>18</v>
      </c>
      <c r="AC22" s="89">
        <v>131</v>
      </c>
      <c r="AD22" s="46" t="s">
        <v>70</v>
      </c>
      <c r="AE22" s="98">
        <v>17</v>
      </c>
      <c r="AF22" s="89">
        <v>117</v>
      </c>
      <c r="AG22" s="46" t="s">
        <v>70</v>
      </c>
      <c r="AH22" s="98">
        <v>16</v>
      </c>
    </row>
    <row r="23" spans="1:34" ht="15" customHeight="1" x14ac:dyDescent="0.25">
      <c r="A23" s="38" t="s">
        <v>152</v>
      </c>
      <c r="B23" s="238">
        <v>217</v>
      </c>
      <c r="C23" s="105" t="s">
        <v>179</v>
      </c>
      <c r="D23" s="111">
        <v>28</v>
      </c>
      <c r="E23" s="87">
        <v>233</v>
      </c>
      <c r="F23" s="47" t="s">
        <v>70</v>
      </c>
      <c r="G23" s="129">
        <v>34</v>
      </c>
      <c r="H23" s="87">
        <v>204</v>
      </c>
      <c r="I23" s="47" t="s">
        <v>70</v>
      </c>
      <c r="J23" s="129">
        <v>33</v>
      </c>
      <c r="K23" s="87">
        <v>220</v>
      </c>
      <c r="L23" s="49" t="s">
        <v>70</v>
      </c>
      <c r="M23" s="96">
        <v>30</v>
      </c>
      <c r="N23" s="87">
        <v>222</v>
      </c>
      <c r="O23" s="49" t="s">
        <v>70</v>
      </c>
      <c r="P23" s="96">
        <v>28</v>
      </c>
      <c r="Q23" s="87">
        <v>173</v>
      </c>
      <c r="R23" s="49" t="s">
        <v>70</v>
      </c>
      <c r="S23" s="96">
        <v>22</v>
      </c>
      <c r="T23" s="87">
        <v>197</v>
      </c>
      <c r="U23" s="49" t="s">
        <v>70</v>
      </c>
      <c r="V23" s="96">
        <v>22</v>
      </c>
      <c r="W23" s="87">
        <v>176</v>
      </c>
      <c r="X23" s="49" t="s">
        <v>70</v>
      </c>
      <c r="Y23" s="96">
        <v>20</v>
      </c>
      <c r="Z23" s="87">
        <v>187</v>
      </c>
      <c r="AA23" s="49" t="s">
        <v>70</v>
      </c>
      <c r="AB23" s="96">
        <v>20</v>
      </c>
      <c r="AC23" s="88">
        <v>183</v>
      </c>
      <c r="AD23" s="44" t="s">
        <v>70</v>
      </c>
      <c r="AE23" s="94">
        <v>20</v>
      </c>
      <c r="AF23" s="88">
        <v>178</v>
      </c>
      <c r="AG23" s="44" t="s">
        <v>70</v>
      </c>
      <c r="AH23" s="94">
        <v>20</v>
      </c>
    </row>
    <row r="24" spans="1:34" ht="15" customHeight="1" x14ac:dyDescent="0.25">
      <c r="A24" s="38" t="s">
        <v>153</v>
      </c>
      <c r="B24" s="239">
        <v>135</v>
      </c>
      <c r="C24" s="1" t="s">
        <v>179</v>
      </c>
      <c r="D24" s="112">
        <v>22</v>
      </c>
      <c r="E24" s="88">
        <v>150</v>
      </c>
      <c r="F24" s="56" t="s">
        <v>70</v>
      </c>
      <c r="G24" s="130">
        <v>27</v>
      </c>
      <c r="H24" s="91">
        <v>135</v>
      </c>
      <c r="I24" s="56" t="s">
        <v>73</v>
      </c>
      <c r="J24" s="130">
        <v>27</v>
      </c>
      <c r="K24" s="88">
        <v>127</v>
      </c>
      <c r="L24" s="44" t="s">
        <v>70</v>
      </c>
      <c r="M24" s="94">
        <v>24</v>
      </c>
      <c r="N24" s="88">
        <v>145</v>
      </c>
      <c r="O24" s="44" t="s">
        <v>70</v>
      </c>
      <c r="P24" s="94">
        <v>23</v>
      </c>
      <c r="Q24" s="88">
        <v>106</v>
      </c>
      <c r="R24" s="44" t="s">
        <v>70</v>
      </c>
      <c r="S24" s="94">
        <v>18</v>
      </c>
      <c r="T24" s="88">
        <v>121</v>
      </c>
      <c r="U24" s="44" t="s">
        <v>70</v>
      </c>
      <c r="V24" s="94">
        <v>17</v>
      </c>
      <c r="W24" s="88">
        <v>112</v>
      </c>
      <c r="X24" s="44" t="s">
        <v>70</v>
      </c>
      <c r="Y24" s="94">
        <v>16</v>
      </c>
      <c r="Z24" s="88">
        <v>123</v>
      </c>
      <c r="AA24" s="44" t="s">
        <v>70</v>
      </c>
      <c r="AB24" s="94">
        <v>16</v>
      </c>
      <c r="AC24" s="88">
        <v>123</v>
      </c>
      <c r="AD24" s="44" t="s">
        <v>70</v>
      </c>
      <c r="AE24" s="94">
        <v>16</v>
      </c>
      <c r="AF24" s="88">
        <v>118</v>
      </c>
      <c r="AG24" s="44" t="s">
        <v>70</v>
      </c>
      <c r="AH24" s="94">
        <v>15</v>
      </c>
    </row>
    <row r="25" spans="1:34" ht="15" customHeight="1" x14ac:dyDescent="0.25">
      <c r="A25" s="38" t="s">
        <v>151</v>
      </c>
      <c r="B25" s="243">
        <v>82</v>
      </c>
      <c r="C25" s="104" t="s">
        <v>180</v>
      </c>
      <c r="D25" s="113">
        <v>20</v>
      </c>
      <c r="E25" s="91">
        <v>82</v>
      </c>
      <c r="F25" s="56" t="s">
        <v>73</v>
      </c>
      <c r="G25" s="130">
        <v>23</v>
      </c>
      <c r="H25" s="91">
        <v>69</v>
      </c>
      <c r="I25" s="56" t="s">
        <v>73</v>
      </c>
      <c r="J25" s="130">
        <v>17</v>
      </c>
      <c r="K25" s="91">
        <v>93</v>
      </c>
      <c r="L25" s="44" t="s">
        <v>73</v>
      </c>
      <c r="M25" s="94">
        <v>22</v>
      </c>
      <c r="N25" s="91">
        <v>77</v>
      </c>
      <c r="O25" s="44" t="s">
        <v>73</v>
      </c>
      <c r="P25" s="94">
        <v>18</v>
      </c>
      <c r="Q25" s="91">
        <v>67</v>
      </c>
      <c r="R25" s="44" t="s">
        <v>73</v>
      </c>
      <c r="S25" s="94">
        <v>14</v>
      </c>
      <c r="T25" s="88">
        <v>76</v>
      </c>
      <c r="U25" s="44" t="s">
        <v>70</v>
      </c>
      <c r="V25" s="94">
        <v>15</v>
      </c>
      <c r="W25" s="91">
        <v>64</v>
      </c>
      <c r="X25" s="44" t="s">
        <v>73</v>
      </c>
      <c r="Y25" s="94">
        <v>13</v>
      </c>
      <c r="Z25" s="91">
        <v>64</v>
      </c>
      <c r="AA25" s="44" t="s">
        <v>73</v>
      </c>
      <c r="AB25" s="94">
        <v>13</v>
      </c>
      <c r="AC25" s="91">
        <v>60</v>
      </c>
      <c r="AD25" s="44" t="s">
        <v>73</v>
      </c>
      <c r="AE25" s="94">
        <v>12</v>
      </c>
      <c r="AF25" s="91">
        <v>60</v>
      </c>
      <c r="AG25" s="44" t="s">
        <v>73</v>
      </c>
      <c r="AH25" s="94">
        <v>12</v>
      </c>
    </row>
    <row r="26" spans="1:34" ht="15" customHeight="1" x14ac:dyDescent="0.25">
      <c r="A26" s="39" t="s">
        <v>154</v>
      </c>
      <c r="B26" s="241">
        <v>30</v>
      </c>
      <c r="C26" s="106" t="s">
        <v>180</v>
      </c>
      <c r="D26" s="114">
        <v>11</v>
      </c>
      <c r="E26" s="93">
        <v>16</v>
      </c>
      <c r="F26" s="50" t="s">
        <v>76</v>
      </c>
      <c r="G26" s="132">
        <v>9</v>
      </c>
      <c r="H26" s="93">
        <v>21</v>
      </c>
      <c r="I26" s="50" t="s">
        <v>76</v>
      </c>
      <c r="J26" s="132">
        <v>10</v>
      </c>
      <c r="K26" s="93">
        <v>20</v>
      </c>
      <c r="L26" s="52" t="s">
        <v>76</v>
      </c>
      <c r="M26" s="95">
        <v>10</v>
      </c>
      <c r="N26" s="90">
        <v>28</v>
      </c>
      <c r="O26" s="52" t="s">
        <v>73</v>
      </c>
      <c r="P26" s="95">
        <v>11</v>
      </c>
      <c r="Q26" s="93">
        <v>30</v>
      </c>
      <c r="R26" s="52" t="s">
        <v>76</v>
      </c>
      <c r="S26" s="95">
        <v>12</v>
      </c>
      <c r="T26" s="93">
        <v>18</v>
      </c>
      <c r="U26" s="52" t="s">
        <v>76</v>
      </c>
      <c r="V26" s="95">
        <v>7</v>
      </c>
      <c r="W26" s="90">
        <v>21</v>
      </c>
      <c r="X26" s="52" t="s">
        <v>73</v>
      </c>
      <c r="Y26" s="95">
        <v>8</v>
      </c>
      <c r="Z26" s="90">
        <v>28</v>
      </c>
      <c r="AA26" s="52" t="s">
        <v>73</v>
      </c>
      <c r="AB26" s="95">
        <v>9</v>
      </c>
      <c r="AC26" s="90">
        <v>26</v>
      </c>
      <c r="AD26" s="52" t="s">
        <v>73</v>
      </c>
      <c r="AE26" s="95">
        <v>8</v>
      </c>
      <c r="AF26" s="90">
        <v>18</v>
      </c>
      <c r="AG26" s="52" t="s">
        <v>73</v>
      </c>
      <c r="AH26" s="95">
        <v>6</v>
      </c>
    </row>
    <row r="27" spans="1:34" ht="15" customHeight="1" x14ac:dyDescent="0.25">
      <c r="A27" s="40" t="s">
        <v>155</v>
      </c>
      <c r="B27" s="107">
        <v>2129</v>
      </c>
      <c r="C27" s="106" t="s">
        <v>182</v>
      </c>
      <c r="D27" s="114">
        <v>61</v>
      </c>
      <c r="E27" s="119">
        <v>2049</v>
      </c>
      <c r="F27" s="50" t="s">
        <v>67</v>
      </c>
      <c r="G27" s="132">
        <v>67</v>
      </c>
      <c r="H27" s="119">
        <v>2004</v>
      </c>
      <c r="I27" s="50" t="s">
        <v>67</v>
      </c>
      <c r="J27" s="132">
        <v>66</v>
      </c>
      <c r="K27" s="51">
        <v>2033</v>
      </c>
      <c r="L27" s="52" t="s">
        <v>67</v>
      </c>
      <c r="M27" s="95">
        <v>62</v>
      </c>
      <c r="N27" s="51">
        <v>2038</v>
      </c>
      <c r="O27" s="52" t="s">
        <v>67</v>
      </c>
      <c r="P27" s="95">
        <v>62</v>
      </c>
      <c r="Q27" s="51">
        <v>1994</v>
      </c>
      <c r="R27" s="52" t="s">
        <v>67</v>
      </c>
      <c r="S27" s="95">
        <v>60</v>
      </c>
      <c r="T27" s="51">
        <v>2031</v>
      </c>
      <c r="U27" s="52" t="s">
        <v>67</v>
      </c>
      <c r="V27" s="95">
        <v>39</v>
      </c>
      <c r="W27" s="51">
        <v>2045</v>
      </c>
      <c r="X27" s="52" t="s">
        <v>67</v>
      </c>
      <c r="Y27" s="95">
        <v>39</v>
      </c>
      <c r="Z27" s="51">
        <v>2005</v>
      </c>
      <c r="AA27" s="52" t="s">
        <v>67</v>
      </c>
      <c r="AB27" s="95">
        <v>37</v>
      </c>
      <c r="AC27" s="51">
        <v>1961</v>
      </c>
      <c r="AD27" s="52" t="s">
        <v>67</v>
      </c>
      <c r="AE27" s="95">
        <v>36</v>
      </c>
      <c r="AF27" s="51">
        <v>1946</v>
      </c>
      <c r="AG27" s="52" t="s">
        <v>67</v>
      </c>
      <c r="AH27" s="95">
        <v>35</v>
      </c>
    </row>
  </sheetData>
  <hyperlinks>
    <hyperlink ref="A9" r:id="rId1" xr:uid="{00000000-0004-0000-0700-000000000000}"/>
    <hyperlink ref="A10" r:id="rId2" xr:uid="{00000000-0004-0000-0700-000001000000}"/>
    <hyperlink ref="A11" r:id="rId3" xr:uid="{00000000-0004-0000-0700-000002000000}"/>
  </hyperlinks>
  <pageMargins left="0.7" right="0.7" top="0.75" bottom="0.75" header="0.3" footer="0.3"/>
  <pageSetup paperSize="9" orientation="portrait"/>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IV27"/>
  <sheetViews>
    <sheetView showGridLines="0" zoomScaleNormal="10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56" ht="19.5" customHeight="1" x14ac:dyDescent="0.25">
      <c r="A1" s="186" t="s">
        <v>0</v>
      </c>
    </row>
    <row r="2" spans="1:256" ht="31.2" customHeight="1" x14ac:dyDescent="0.25">
      <c r="A2" s="194" t="s">
        <v>162</v>
      </c>
    </row>
    <row r="3" spans="1:256" ht="15.6" customHeight="1" x14ac:dyDescent="0.25">
      <c r="A3" s="4" t="s">
        <v>163</v>
      </c>
    </row>
    <row r="4" spans="1:256" ht="15.6" customHeight="1" x14ac:dyDescent="0.25">
      <c r="A4" s="4" t="s">
        <v>102</v>
      </c>
    </row>
    <row r="5" spans="1:256" ht="15.75" customHeight="1" x14ac:dyDescent="0.25">
      <c r="A5" s="4" t="s">
        <v>103</v>
      </c>
    </row>
    <row r="6" spans="1:256" ht="15.75" customHeight="1" x14ac:dyDescent="0.25">
      <c r="A6" s="4" t="s">
        <v>188</v>
      </c>
    </row>
    <row r="7" spans="1:256" ht="15.6" customHeight="1" x14ac:dyDescent="0.3">
      <c r="A7" s="4" t="s">
        <v>189</v>
      </c>
      <c r="B7" s="3"/>
      <c r="C7" s="3"/>
      <c r="D7" s="3"/>
      <c r="E7" s="100"/>
      <c r="F7" s="100"/>
      <c r="G7" s="100"/>
      <c r="H7" s="100"/>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c r="CK7" s="100"/>
      <c r="CL7" s="100"/>
      <c r="CM7" s="100"/>
      <c r="CN7" s="100"/>
      <c r="CO7" s="100"/>
      <c r="CP7" s="100"/>
      <c r="CQ7" s="100"/>
      <c r="CR7" s="100"/>
      <c r="CS7" s="100"/>
      <c r="CT7" s="100"/>
      <c r="CU7" s="100"/>
      <c r="CV7" s="100"/>
      <c r="CW7" s="100"/>
      <c r="CX7" s="100"/>
      <c r="CY7" s="100"/>
      <c r="CZ7" s="100"/>
      <c r="DA7" s="100"/>
      <c r="DB7" s="100"/>
      <c r="DC7" s="100"/>
      <c r="DD7" s="100"/>
      <c r="DE7" s="100"/>
      <c r="DF7" s="100"/>
      <c r="DG7" s="100"/>
      <c r="DH7" s="100"/>
      <c r="DI7" s="100"/>
      <c r="DJ7" s="100"/>
      <c r="DK7" s="100"/>
      <c r="DL7" s="100"/>
      <c r="DM7" s="100"/>
      <c r="DN7" s="100"/>
      <c r="DO7" s="100"/>
      <c r="DP7" s="100"/>
      <c r="DQ7" s="100"/>
      <c r="DR7" s="100"/>
      <c r="DS7" s="100"/>
      <c r="DT7" s="100"/>
      <c r="DU7" s="100"/>
      <c r="DV7" s="100"/>
      <c r="DW7" s="100"/>
      <c r="DX7" s="100"/>
      <c r="DY7" s="100"/>
      <c r="DZ7" s="100"/>
      <c r="EA7" s="100"/>
      <c r="EB7" s="100"/>
      <c r="EC7" s="100"/>
      <c r="ED7" s="100"/>
      <c r="EE7" s="100"/>
      <c r="EF7" s="100"/>
      <c r="EG7" s="100"/>
      <c r="EH7" s="100"/>
      <c r="EI7" s="100"/>
      <c r="EJ7" s="100"/>
      <c r="EK7" s="100"/>
      <c r="EL7" s="100"/>
      <c r="EM7" s="100"/>
      <c r="EN7" s="100"/>
      <c r="EO7" s="100"/>
      <c r="EP7" s="100"/>
      <c r="EQ7" s="100"/>
      <c r="ER7" s="100"/>
      <c r="ES7" s="100"/>
      <c r="ET7" s="100"/>
      <c r="EU7" s="100"/>
      <c r="EV7" s="100"/>
      <c r="EW7" s="100"/>
      <c r="EX7" s="100"/>
      <c r="EY7" s="100"/>
      <c r="EZ7" s="100"/>
      <c r="FA7" s="100"/>
      <c r="FB7" s="100"/>
      <c r="FC7" s="100"/>
      <c r="FD7" s="100"/>
      <c r="FE7" s="100"/>
      <c r="FF7" s="100"/>
      <c r="FG7" s="100"/>
      <c r="FH7" s="100"/>
      <c r="FI7" s="100"/>
      <c r="FJ7" s="100"/>
      <c r="FK7" s="100"/>
      <c r="FL7" s="100"/>
      <c r="FM7" s="100"/>
      <c r="FN7" s="100"/>
      <c r="FO7" s="100"/>
      <c r="FP7" s="100"/>
      <c r="FQ7" s="100"/>
      <c r="FR7" s="100"/>
      <c r="FS7" s="100"/>
      <c r="FT7" s="100"/>
      <c r="FU7" s="100"/>
      <c r="FV7" s="100"/>
      <c r="FW7" s="100"/>
      <c r="FX7" s="100"/>
      <c r="FY7" s="100"/>
      <c r="FZ7" s="100"/>
      <c r="GA7" s="100"/>
      <c r="GB7" s="100"/>
      <c r="GC7" s="100"/>
      <c r="GD7" s="100"/>
      <c r="GE7" s="100"/>
      <c r="GF7" s="100"/>
      <c r="GG7" s="100"/>
      <c r="GH7" s="100"/>
      <c r="GI7" s="100"/>
      <c r="GJ7" s="100"/>
      <c r="GK7" s="100"/>
      <c r="GL7" s="100"/>
      <c r="GM7" s="100"/>
      <c r="GN7" s="100"/>
    </row>
    <row r="8" spans="1:256" ht="31.2" customHeight="1" x14ac:dyDescent="0.25">
      <c r="A8" s="48" t="s">
        <v>104</v>
      </c>
    </row>
    <row r="9" spans="1:256" x14ac:dyDescent="0.25">
      <c r="A9" s="185" t="s">
        <v>105</v>
      </c>
    </row>
    <row r="10" spans="1:256" ht="15.6" customHeight="1" x14ac:dyDescent="0.25">
      <c r="A10" s="185" t="s">
        <v>106</v>
      </c>
    </row>
    <row r="11" spans="1:256" ht="31.2" customHeight="1" x14ac:dyDescent="0.25">
      <c r="A11" s="195" t="s">
        <v>107</v>
      </c>
    </row>
    <row r="12" spans="1:256" ht="31.95" customHeight="1" x14ac:dyDescent="0.25">
      <c r="A12" s="147" t="s">
        <v>108</v>
      </c>
      <c r="B12" s="57" t="s">
        <v>109</v>
      </c>
      <c r="C12" s="42" t="s">
        <v>110</v>
      </c>
      <c r="D12" s="43" t="s">
        <v>111</v>
      </c>
      <c r="E12" s="57" t="s">
        <v>112</v>
      </c>
      <c r="F12" s="42" t="s">
        <v>113</v>
      </c>
      <c r="G12" s="43" t="s">
        <v>114</v>
      </c>
      <c r="H12" s="57" t="s">
        <v>115</v>
      </c>
      <c r="I12" s="42" t="s">
        <v>116</v>
      </c>
      <c r="J12" s="43" t="s">
        <v>117</v>
      </c>
      <c r="K12" s="57" t="s">
        <v>118</v>
      </c>
      <c r="L12" s="42" t="s">
        <v>119</v>
      </c>
      <c r="M12" s="43" t="s">
        <v>120</v>
      </c>
      <c r="N12" s="57" t="s">
        <v>121</v>
      </c>
      <c r="O12" s="42" t="s">
        <v>122</v>
      </c>
      <c r="P12" s="43" t="s">
        <v>123</v>
      </c>
      <c r="Q12" s="57" t="s">
        <v>124</v>
      </c>
      <c r="R12" s="42" t="s">
        <v>125</v>
      </c>
      <c r="S12" s="43" t="s">
        <v>126</v>
      </c>
      <c r="T12" s="57" t="s">
        <v>127</v>
      </c>
      <c r="U12" s="42" t="s">
        <v>128</v>
      </c>
      <c r="V12" s="43" t="s">
        <v>129</v>
      </c>
      <c r="W12" s="57" t="s">
        <v>130</v>
      </c>
      <c r="X12" s="42" t="s">
        <v>131</v>
      </c>
      <c r="Y12" s="43" t="s">
        <v>132</v>
      </c>
      <c r="Z12" s="57" t="s">
        <v>133</v>
      </c>
      <c r="AA12" s="42" t="s">
        <v>134</v>
      </c>
      <c r="AB12" s="43" t="s">
        <v>135</v>
      </c>
      <c r="AC12" s="57" t="s">
        <v>136</v>
      </c>
      <c r="AD12" s="42" t="s">
        <v>137</v>
      </c>
      <c r="AE12" s="43" t="s">
        <v>138</v>
      </c>
      <c r="AF12" s="57" t="s">
        <v>139</v>
      </c>
      <c r="AG12" s="42" t="s">
        <v>140</v>
      </c>
      <c r="AH12" s="43" t="s">
        <v>141</v>
      </c>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x14ac:dyDescent="0.25">
      <c r="A13" s="122" t="s">
        <v>142</v>
      </c>
      <c r="B13" s="244">
        <v>725</v>
      </c>
      <c r="C13" s="228" t="s">
        <v>179</v>
      </c>
      <c r="D13" s="245">
        <v>75</v>
      </c>
      <c r="E13" s="87">
        <v>682</v>
      </c>
      <c r="F13" s="105" t="s">
        <v>70</v>
      </c>
      <c r="G13" s="111">
        <v>74</v>
      </c>
      <c r="H13" s="87">
        <v>732</v>
      </c>
      <c r="I13" s="105" t="s">
        <v>70</v>
      </c>
      <c r="J13" s="111">
        <v>85</v>
      </c>
      <c r="K13" s="87">
        <v>698</v>
      </c>
      <c r="L13" s="105" t="s">
        <v>70</v>
      </c>
      <c r="M13" s="111">
        <v>77</v>
      </c>
      <c r="N13" s="87">
        <v>680</v>
      </c>
      <c r="O13" s="105" t="s">
        <v>70</v>
      </c>
      <c r="P13" s="111">
        <v>73</v>
      </c>
      <c r="Q13" s="87">
        <v>730</v>
      </c>
      <c r="R13" s="105" t="s">
        <v>70</v>
      </c>
      <c r="S13" s="111">
        <v>113</v>
      </c>
      <c r="T13" s="108">
        <v>720</v>
      </c>
      <c r="U13" s="105" t="s">
        <v>67</v>
      </c>
      <c r="V13" s="111">
        <v>55</v>
      </c>
      <c r="W13" s="108">
        <v>635</v>
      </c>
      <c r="X13" s="105" t="s">
        <v>67</v>
      </c>
      <c r="Y13" s="111">
        <v>53</v>
      </c>
      <c r="Z13" s="108">
        <v>628</v>
      </c>
      <c r="AA13" s="105" t="s">
        <v>67</v>
      </c>
      <c r="AB13" s="111">
        <v>52</v>
      </c>
      <c r="AC13" s="108">
        <v>641</v>
      </c>
      <c r="AD13" s="105" t="s">
        <v>67</v>
      </c>
      <c r="AE13" s="111">
        <v>51</v>
      </c>
      <c r="AF13" s="108">
        <v>680</v>
      </c>
      <c r="AG13" s="105" t="s">
        <v>67</v>
      </c>
      <c r="AH13" s="111">
        <v>53</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25">
      <c r="A14" s="123" t="s">
        <v>143</v>
      </c>
      <c r="B14" s="246">
        <v>372</v>
      </c>
      <c r="C14" s="229" t="s">
        <v>179</v>
      </c>
      <c r="D14" s="247">
        <v>42</v>
      </c>
      <c r="E14" s="88">
        <v>343</v>
      </c>
      <c r="F14" s="1" t="s">
        <v>70</v>
      </c>
      <c r="G14" s="112">
        <v>45</v>
      </c>
      <c r="H14" s="88">
        <v>332</v>
      </c>
      <c r="I14" s="1" t="s">
        <v>70</v>
      </c>
      <c r="J14" s="112">
        <v>44</v>
      </c>
      <c r="K14" s="88">
        <v>336</v>
      </c>
      <c r="L14" s="1" t="s">
        <v>70</v>
      </c>
      <c r="M14" s="112">
        <v>41</v>
      </c>
      <c r="N14" s="88">
        <v>333</v>
      </c>
      <c r="O14" s="1" t="s">
        <v>70</v>
      </c>
      <c r="P14" s="112">
        <v>37</v>
      </c>
      <c r="Q14" s="88">
        <v>339</v>
      </c>
      <c r="R14" s="1" t="s">
        <v>70</v>
      </c>
      <c r="S14" s="112">
        <v>36</v>
      </c>
      <c r="T14" s="103">
        <v>326</v>
      </c>
      <c r="U14" s="1" t="s">
        <v>67</v>
      </c>
      <c r="V14" s="112">
        <v>29</v>
      </c>
      <c r="W14" s="103">
        <v>316</v>
      </c>
      <c r="X14" s="1" t="s">
        <v>67</v>
      </c>
      <c r="Y14" s="112">
        <v>31</v>
      </c>
      <c r="Z14" s="103">
        <v>291</v>
      </c>
      <c r="AA14" s="1" t="s">
        <v>67</v>
      </c>
      <c r="AB14" s="112">
        <v>27</v>
      </c>
      <c r="AC14" s="103">
        <v>332</v>
      </c>
      <c r="AD14" s="1" t="s">
        <v>67</v>
      </c>
      <c r="AE14" s="112">
        <v>29</v>
      </c>
      <c r="AF14" s="103">
        <v>327</v>
      </c>
      <c r="AG14" s="1" t="s">
        <v>67</v>
      </c>
      <c r="AH14" s="112">
        <v>29</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25">
      <c r="A15" s="124" t="s">
        <v>144</v>
      </c>
      <c r="B15" s="248">
        <v>353</v>
      </c>
      <c r="C15" s="230" t="s">
        <v>179</v>
      </c>
      <c r="D15" s="249">
        <v>65</v>
      </c>
      <c r="E15" s="89">
        <v>338</v>
      </c>
      <c r="F15" s="104" t="s">
        <v>70</v>
      </c>
      <c r="G15" s="113">
        <v>57</v>
      </c>
      <c r="H15" s="89">
        <v>400</v>
      </c>
      <c r="I15" s="104" t="s">
        <v>70</v>
      </c>
      <c r="J15" s="113">
        <v>73</v>
      </c>
      <c r="K15" s="89">
        <v>362</v>
      </c>
      <c r="L15" s="104" t="s">
        <v>70</v>
      </c>
      <c r="M15" s="113">
        <v>64</v>
      </c>
      <c r="N15" s="89">
        <v>347</v>
      </c>
      <c r="O15" s="104" t="s">
        <v>70</v>
      </c>
      <c r="P15" s="113">
        <v>62</v>
      </c>
      <c r="Q15" s="92">
        <v>390</v>
      </c>
      <c r="R15" s="104" t="s">
        <v>73</v>
      </c>
      <c r="S15" s="113">
        <v>105</v>
      </c>
      <c r="T15" s="89">
        <v>394</v>
      </c>
      <c r="U15" s="104" t="s">
        <v>70</v>
      </c>
      <c r="V15" s="113">
        <v>49</v>
      </c>
      <c r="W15" s="89">
        <v>319</v>
      </c>
      <c r="X15" s="104" t="s">
        <v>70</v>
      </c>
      <c r="Y15" s="113">
        <v>44</v>
      </c>
      <c r="Z15" s="89">
        <v>337</v>
      </c>
      <c r="AA15" s="104" t="s">
        <v>70</v>
      </c>
      <c r="AB15" s="113">
        <v>47</v>
      </c>
      <c r="AC15" s="89">
        <v>309</v>
      </c>
      <c r="AD15" s="104" t="s">
        <v>70</v>
      </c>
      <c r="AE15" s="113">
        <v>45</v>
      </c>
      <c r="AF15" s="89">
        <v>353</v>
      </c>
      <c r="AG15" s="104" t="s">
        <v>70</v>
      </c>
      <c r="AH15" s="113">
        <v>46</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25">
      <c r="A16" s="125" t="s">
        <v>145</v>
      </c>
      <c r="B16" s="250">
        <v>44</v>
      </c>
      <c r="C16" s="230" t="s">
        <v>180</v>
      </c>
      <c r="D16" s="249">
        <v>13</v>
      </c>
      <c r="E16" s="93">
        <v>42</v>
      </c>
      <c r="F16" s="106" t="s">
        <v>76</v>
      </c>
      <c r="G16" s="114">
        <v>19</v>
      </c>
      <c r="H16" s="90">
        <v>57</v>
      </c>
      <c r="I16" s="106" t="s">
        <v>73</v>
      </c>
      <c r="J16" s="114">
        <v>21</v>
      </c>
      <c r="K16" s="90">
        <v>84</v>
      </c>
      <c r="L16" s="106" t="s">
        <v>73</v>
      </c>
      <c r="M16" s="114">
        <v>26</v>
      </c>
      <c r="N16" s="90">
        <v>74</v>
      </c>
      <c r="O16" s="106" t="s">
        <v>73</v>
      </c>
      <c r="P16" s="114">
        <v>20</v>
      </c>
      <c r="Q16" s="90">
        <v>62</v>
      </c>
      <c r="R16" s="106" t="s">
        <v>73</v>
      </c>
      <c r="S16" s="114">
        <v>18</v>
      </c>
      <c r="T16" s="148">
        <v>55</v>
      </c>
      <c r="U16" s="106" t="s">
        <v>73</v>
      </c>
      <c r="V16" s="114">
        <v>14</v>
      </c>
      <c r="W16" s="90">
        <v>61</v>
      </c>
      <c r="X16" s="106" t="s">
        <v>73</v>
      </c>
      <c r="Y16" s="114">
        <v>15</v>
      </c>
      <c r="Z16" s="90">
        <v>60</v>
      </c>
      <c r="AA16" s="106" t="s">
        <v>73</v>
      </c>
      <c r="AB16" s="114">
        <v>15</v>
      </c>
      <c r="AC16" s="90">
        <v>69</v>
      </c>
      <c r="AD16" s="106" t="s">
        <v>73</v>
      </c>
      <c r="AE16" s="114">
        <v>16</v>
      </c>
      <c r="AF16" s="90">
        <v>53</v>
      </c>
      <c r="AG16" s="106" t="s">
        <v>73</v>
      </c>
      <c r="AH16" s="114">
        <v>12</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25">
      <c r="A17" s="125" t="s">
        <v>146</v>
      </c>
      <c r="B17" s="251">
        <v>1721</v>
      </c>
      <c r="C17" s="231" t="s">
        <v>182</v>
      </c>
      <c r="D17" s="253">
        <v>46</v>
      </c>
      <c r="E17" s="107">
        <v>1684</v>
      </c>
      <c r="F17" s="106" t="s">
        <v>67</v>
      </c>
      <c r="G17" s="114">
        <v>56</v>
      </c>
      <c r="H17" s="107">
        <v>1675</v>
      </c>
      <c r="I17" s="106" t="s">
        <v>67</v>
      </c>
      <c r="J17" s="114">
        <v>63</v>
      </c>
      <c r="K17" s="107">
        <v>1592</v>
      </c>
      <c r="L17" s="106" t="s">
        <v>67</v>
      </c>
      <c r="M17" s="114">
        <v>58</v>
      </c>
      <c r="N17" s="107">
        <v>1684</v>
      </c>
      <c r="O17" s="106" t="s">
        <v>67</v>
      </c>
      <c r="P17" s="114">
        <v>43</v>
      </c>
      <c r="Q17" s="107">
        <v>1635</v>
      </c>
      <c r="R17" s="106" t="s">
        <v>67</v>
      </c>
      <c r="S17" s="114">
        <v>54</v>
      </c>
      <c r="T17" s="51">
        <v>1620</v>
      </c>
      <c r="U17" s="106" t="s">
        <v>67</v>
      </c>
      <c r="V17" s="114">
        <v>36</v>
      </c>
      <c r="W17" s="107">
        <v>1616</v>
      </c>
      <c r="X17" s="106" t="s">
        <v>67</v>
      </c>
      <c r="Y17" s="114">
        <v>36</v>
      </c>
      <c r="Z17" s="107">
        <v>1615</v>
      </c>
      <c r="AA17" s="106" t="s">
        <v>67</v>
      </c>
      <c r="AB17" s="114">
        <v>33</v>
      </c>
      <c r="AC17" s="51">
        <v>1622</v>
      </c>
      <c r="AD17" s="106" t="s">
        <v>67</v>
      </c>
      <c r="AE17" s="114">
        <v>35</v>
      </c>
      <c r="AF17" s="107">
        <v>1624</v>
      </c>
      <c r="AG17" s="106" t="s">
        <v>67</v>
      </c>
      <c r="AH17" s="114">
        <v>35</v>
      </c>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25">
      <c r="A18" s="122" t="s">
        <v>147</v>
      </c>
      <c r="B18" s="254">
        <v>1449</v>
      </c>
      <c r="C18" s="228" t="s">
        <v>182</v>
      </c>
      <c r="D18" s="245">
        <v>45</v>
      </c>
      <c r="E18" s="108">
        <v>1402</v>
      </c>
      <c r="F18" s="105" t="s">
        <v>67</v>
      </c>
      <c r="G18" s="111">
        <v>58</v>
      </c>
      <c r="H18" s="108">
        <v>1418</v>
      </c>
      <c r="I18" s="105" t="s">
        <v>67</v>
      </c>
      <c r="J18" s="111">
        <v>70</v>
      </c>
      <c r="K18" s="108">
        <v>1330</v>
      </c>
      <c r="L18" s="105" t="s">
        <v>67</v>
      </c>
      <c r="M18" s="111">
        <v>58</v>
      </c>
      <c r="N18" s="108">
        <v>1424</v>
      </c>
      <c r="O18" s="105" t="s">
        <v>67</v>
      </c>
      <c r="P18" s="111">
        <v>50</v>
      </c>
      <c r="Q18" s="108">
        <v>1402</v>
      </c>
      <c r="R18" s="105" t="s">
        <v>67</v>
      </c>
      <c r="S18" s="111">
        <v>56</v>
      </c>
      <c r="T18" s="108">
        <v>1363</v>
      </c>
      <c r="U18" s="105" t="s">
        <v>67</v>
      </c>
      <c r="V18" s="111">
        <v>39</v>
      </c>
      <c r="W18" s="108">
        <v>1376</v>
      </c>
      <c r="X18" s="105" t="s">
        <v>67</v>
      </c>
      <c r="Y18" s="111">
        <v>38</v>
      </c>
      <c r="Z18" s="108">
        <v>1366</v>
      </c>
      <c r="AA18" s="105" t="s">
        <v>67</v>
      </c>
      <c r="AB18" s="111">
        <v>37</v>
      </c>
      <c r="AC18" s="108">
        <v>1370</v>
      </c>
      <c r="AD18" s="105" t="s">
        <v>67</v>
      </c>
      <c r="AE18" s="111">
        <v>37</v>
      </c>
      <c r="AF18" s="108">
        <v>1379</v>
      </c>
      <c r="AG18" s="105" t="s">
        <v>67</v>
      </c>
      <c r="AH18" s="111">
        <v>38</v>
      </c>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25">
      <c r="A19" s="123" t="s">
        <v>148</v>
      </c>
      <c r="B19" s="255">
        <v>688</v>
      </c>
      <c r="C19" s="229" t="s">
        <v>182</v>
      </c>
      <c r="D19" s="247">
        <v>51</v>
      </c>
      <c r="E19" s="103">
        <v>702</v>
      </c>
      <c r="F19" s="1" t="s">
        <v>67</v>
      </c>
      <c r="G19" s="112">
        <v>65</v>
      </c>
      <c r="H19" s="88">
        <v>736</v>
      </c>
      <c r="I19" s="1" t="s">
        <v>70</v>
      </c>
      <c r="J19" s="112">
        <v>75</v>
      </c>
      <c r="K19" s="103">
        <v>631</v>
      </c>
      <c r="L19" s="1" t="s">
        <v>67</v>
      </c>
      <c r="M19" s="112">
        <v>58</v>
      </c>
      <c r="N19" s="103">
        <v>708</v>
      </c>
      <c r="O19" s="1" t="s">
        <v>67</v>
      </c>
      <c r="P19" s="112">
        <v>54</v>
      </c>
      <c r="Q19" s="103">
        <v>685</v>
      </c>
      <c r="R19" s="1" t="s">
        <v>67</v>
      </c>
      <c r="S19" s="112">
        <v>60</v>
      </c>
      <c r="T19" s="103">
        <v>682</v>
      </c>
      <c r="U19" s="1" t="s">
        <v>67</v>
      </c>
      <c r="V19" s="112">
        <v>42</v>
      </c>
      <c r="W19" s="103">
        <v>683</v>
      </c>
      <c r="X19" s="1" t="s">
        <v>67</v>
      </c>
      <c r="Y19" s="112">
        <v>41</v>
      </c>
      <c r="Z19" s="103">
        <v>653</v>
      </c>
      <c r="AA19" s="1" t="s">
        <v>67</v>
      </c>
      <c r="AB19" s="112">
        <v>40</v>
      </c>
      <c r="AC19" s="103">
        <v>685</v>
      </c>
      <c r="AD19" s="1" t="s">
        <v>67</v>
      </c>
      <c r="AE19" s="112">
        <v>42</v>
      </c>
      <c r="AF19" s="103">
        <v>698</v>
      </c>
      <c r="AG19" s="1" t="s">
        <v>67</v>
      </c>
      <c r="AH19" s="112">
        <v>43</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25">
      <c r="A20" s="123" t="s">
        <v>149</v>
      </c>
      <c r="B20" s="255">
        <v>453</v>
      </c>
      <c r="C20" s="229" t="s">
        <v>182</v>
      </c>
      <c r="D20" s="247">
        <v>36</v>
      </c>
      <c r="E20" s="103">
        <v>461</v>
      </c>
      <c r="F20" s="1" t="s">
        <v>67</v>
      </c>
      <c r="G20" s="112">
        <v>44</v>
      </c>
      <c r="H20" s="88">
        <v>468</v>
      </c>
      <c r="I20" s="1" t="s">
        <v>70</v>
      </c>
      <c r="J20" s="112">
        <v>48</v>
      </c>
      <c r="K20" s="103">
        <v>422</v>
      </c>
      <c r="L20" s="1" t="s">
        <v>67</v>
      </c>
      <c r="M20" s="112">
        <v>40</v>
      </c>
      <c r="N20" s="103">
        <v>463</v>
      </c>
      <c r="O20" s="1" t="s">
        <v>67</v>
      </c>
      <c r="P20" s="112">
        <v>38</v>
      </c>
      <c r="Q20" s="103">
        <v>459</v>
      </c>
      <c r="R20" s="1" t="s">
        <v>67</v>
      </c>
      <c r="S20" s="112">
        <v>36</v>
      </c>
      <c r="T20" s="103">
        <v>427</v>
      </c>
      <c r="U20" s="1" t="s">
        <v>67</v>
      </c>
      <c r="V20" s="112">
        <v>29</v>
      </c>
      <c r="W20" s="103">
        <v>443</v>
      </c>
      <c r="X20" s="1" t="s">
        <v>67</v>
      </c>
      <c r="Y20" s="112">
        <v>29</v>
      </c>
      <c r="Z20" s="103">
        <v>439</v>
      </c>
      <c r="AA20" s="1" t="s">
        <v>67</v>
      </c>
      <c r="AB20" s="112">
        <v>29</v>
      </c>
      <c r="AC20" s="103">
        <v>428</v>
      </c>
      <c r="AD20" s="1" t="s">
        <v>67</v>
      </c>
      <c r="AE20" s="112">
        <v>27</v>
      </c>
      <c r="AF20" s="103">
        <v>434</v>
      </c>
      <c r="AG20" s="1" t="s">
        <v>67</v>
      </c>
      <c r="AH20" s="112">
        <v>28</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25">
      <c r="A21" s="123" t="s">
        <v>150</v>
      </c>
      <c r="B21" s="250">
        <v>122</v>
      </c>
      <c r="C21" s="229" t="s">
        <v>180</v>
      </c>
      <c r="D21" s="247">
        <v>26</v>
      </c>
      <c r="E21" s="91">
        <v>101</v>
      </c>
      <c r="F21" s="1" t="s">
        <v>73</v>
      </c>
      <c r="G21" s="112">
        <v>22</v>
      </c>
      <c r="H21" s="91">
        <v>80</v>
      </c>
      <c r="I21" s="1" t="s">
        <v>73</v>
      </c>
      <c r="J21" s="112">
        <v>24</v>
      </c>
      <c r="K21" s="91">
        <v>121</v>
      </c>
      <c r="L21" s="1" t="s">
        <v>73</v>
      </c>
      <c r="M21" s="112">
        <v>26</v>
      </c>
      <c r="N21" s="91">
        <v>78</v>
      </c>
      <c r="O21" s="1" t="s">
        <v>73</v>
      </c>
      <c r="P21" s="112">
        <v>19</v>
      </c>
      <c r="Q21" s="88">
        <v>91</v>
      </c>
      <c r="R21" s="1" t="s">
        <v>70</v>
      </c>
      <c r="S21" s="112">
        <v>18</v>
      </c>
      <c r="T21" s="88">
        <v>91</v>
      </c>
      <c r="U21" s="1" t="s">
        <v>70</v>
      </c>
      <c r="V21" s="112">
        <v>14</v>
      </c>
      <c r="W21" s="88">
        <v>92</v>
      </c>
      <c r="X21" s="1" t="s">
        <v>70</v>
      </c>
      <c r="Y21" s="112">
        <v>15</v>
      </c>
      <c r="Z21" s="88">
        <v>101</v>
      </c>
      <c r="AA21" s="1" t="s">
        <v>70</v>
      </c>
      <c r="AB21" s="112">
        <v>14</v>
      </c>
      <c r="AC21" s="88">
        <v>89</v>
      </c>
      <c r="AD21" s="1" t="s">
        <v>70</v>
      </c>
      <c r="AE21" s="112">
        <v>12</v>
      </c>
      <c r="AF21" s="88">
        <v>84</v>
      </c>
      <c r="AG21" s="1" t="s">
        <v>70</v>
      </c>
      <c r="AH21" s="112">
        <v>13</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25">
      <c r="A22" s="124" t="s">
        <v>151</v>
      </c>
      <c r="B22" s="248">
        <v>185</v>
      </c>
      <c r="C22" s="230" t="s">
        <v>179</v>
      </c>
      <c r="D22" s="249">
        <v>25</v>
      </c>
      <c r="E22" s="89">
        <v>138</v>
      </c>
      <c r="F22" s="104" t="s">
        <v>70</v>
      </c>
      <c r="G22" s="113">
        <v>23</v>
      </c>
      <c r="H22" s="92">
        <v>135</v>
      </c>
      <c r="I22" s="104" t="s">
        <v>73</v>
      </c>
      <c r="J22" s="113">
        <v>28</v>
      </c>
      <c r="K22" s="89">
        <v>157</v>
      </c>
      <c r="L22" s="104" t="s">
        <v>70</v>
      </c>
      <c r="M22" s="113">
        <v>23</v>
      </c>
      <c r="N22" s="89">
        <v>176</v>
      </c>
      <c r="O22" s="104" t="s">
        <v>70</v>
      </c>
      <c r="P22" s="113">
        <v>24</v>
      </c>
      <c r="Q22" s="89">
        <v>167</v>
      </c>
      <c r="R22" s="104" t="s">
        <v>70</v>
      </c>
      <c r="S22" s="113">
        <v>25</v>
      </c>
      <c r="T22" s="89">
        <v>163</v>
      </c>
      <c r="U22" s="104" t="s">
        <v>70</v>
      </c>
      <c r="V22" s="113">
        <v>21</v>
      </c>
      <c r="W22" s="89">
        <v>157</v>
      </c>
      <c r="X22" s="104" t="s">
        <v>70</v>
      </c>
      <c r="Y22" s="113">
        <v>21</v>
      </c>
      <c r="Z22" s="89">
        <v>173</v>
      </c>
      <c r="AA22" s="104" t="s">
        <v>70</v>
      </c>
      <c r="AB22" s="113">
        <v>21</v>
      </c>
      <c r="AC22" s="89">
        <v>168</v>
      </c>
      <c r="AD22" s="104" t="s">
        <v>70</v>
      </c>
      <c r="AE22" s="113">
        <v>20</v>
      </c>
      <c r="AF22" s="89">
        <v>163</v>
      </c>
      <c r="AG22" s="104" t="s">
        <v>70</v>
      </c>
      <c r="AH22" s="113">
        <v>20</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25">
      <c r="A23" s="122" t="s">
        <v>152</v>
      </c>
      <c r="B23" s="244">
        <v>272</v>
      </c>
      <c r="C23" s="228" t="s">
        <v>179</v>
      </c>
      <c r="D23" s="245">
        <v>31</v>
      </c>
      <c r="E23" s="87">
        <v>282</v>
      </c>
      <c r="F23" s="105" t="s">
        <v>70</v>
      </c>
      <c r="G23" s="111">
        <v>43</v>
      </c>
      <c r="H23" s="87">
        <v>257</v>
      </c>
      <c r="I23" s="105" t="s">
        <v>70</v>
      </c>
      <c r="J23" s="111">
        <v>41</v>
      </c>
      <c r="K23" s="87">
        <v>262</v>
      </c>
      <c r="L23" s="105" t="s">
        <v>70</v>
      </c>
      <c r="M23" s="111">
        <v>39</v>
      </c>
      <c r="N23" s="87">
        <v>260</v>
      </c>
      <c r="O23" s="105" t="s">
        <v>70</v>
      </c>
      <c r="P23" s="111">
        <v>29</v>
      </c>
      <c r="Q23" s="87">
        <v>234</v>
      </c>
      <c r="R23" s="105" t="s">
        <v>70</v>
      </c>
      <c r="S23" s="111">
        <v>28</v>
      </c>
      <c r="T23" s="87">
        <v>256</v>
      </c>
      <c r="U23" s="105" t="s">
        <v>70</v>
      </c>
      <c r="V23" s="111">
        <v>25</v>
      </c>
      <c r="W23" s="87">
        <v>241</v>
      </c>
      <c r="X23" s="105" t="s">
        <v>70</v>
      </c>
      <c r="Y23" s="111">
        <v>24</v>
      </c>
      <c r="Z23" s="87">
        <v>249</v>
      </c>
      <c r="AA23" s="105" t="s">
        <v>70</v>
      </c>
      <c r="AB23" s="111">
        <v>25</v>
      </c>
      <c r="AC23" s="108">
        <v>252</v>
      </c>
      <c r="AD23" s="105" t="s">
        <v>67</v>
      </c>
      <c r="AE23" s="111">
        <v>24</v>
      </c>
      <c r="AF23" s="108">
        <v>245</v>
      </c>
      <c r="AG23" s="105" t="s">
        <v>67</v>
      </c>
      <c r="AH23" s="111">
        <v>24</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25">
      <c r="A24" s="123" t="s">
        <v>153</v>
      </c>
      <c r="B24" s="246">
        <v>170</v>
      </c>
      <c r="C24" s="229" t="s">
        <v>179</v>
      </c>
      <c r="D24" s="247">
        <v>26</v>
      </c>
      <c r="E24" s="88">
        <v>182</v>
      </c>
      <c r="F24" s="1" t="s">
        <v>70</v>
      </c>
      <c r="G24" s="112">
        <v>33</v>
      </c>
      <c r="H24" s="91">
        <v>161</v>
      </c>
      <c r="I24" s="1" t="s">
        <v>73</v>
      </c>
      <c r="J24" s="112">
        <v>32</v>
      </c>
      <c r="K24" s="88">
        <v>176</v>
      </c>
      <c r="L24" s="1" t="s">
        <v>70</v>
      </c>
      <c r="M24" s="112">
        <v>32</v>
      </c>
      <c r="N24" s="88">
        <v>151</v>
      </c>
      <c r="O24" s="1" t="s">
        <v>70</v>
      </c>
      <c r="P24" s="112">
        <v>25</v>
      </c>
      <c r="Q24" s="88">
        <v>138</v>
      </c>
      <c r="R24" s="1" t="s">
        <v>70</v>
      </c>
      <c r="S24" s="112">
        <v>20</v>
      </c>
      <c r="T24" s="88">
        <v>153</v>
      </c>
      <c r="U24" s="1" t="s">
        <v>70</v>
      </c>
      <c r="V24" s="112">
        <v>19</v>
      </c>
      <c r="W24" s="88">
        <v>160</v>
      </c>
      <c r="X24" s="1" t="s">
        <v>70</v>
      </c>
      <c r="Y24" s="112">
        <v>19</v>
      </c>
      <c r="Z24" s="88">
        <v>152</v>
      </c>
      <c r="AA24" s="1" t="s">
        <v>70</v>
      </c>
      <c r="AB24" s="112">
        <v>19</v>
      </c>
      <c r="AC24" s="88">
        <v>161</v>
      </c>
      <c r="AD24" s="1" t="s">
        <v>70</v>
      </c>
      <c r="AE24" s="112">
        <v>19</v>
      </c>
      <c r="AF24" s="88">
        <v>153</v>
      </c>
      <c r="AG24" s="1" t="s">
        <v>70</v>
      </c>
      <c r="AH24" s="112">
        <v>18</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25">
      <c r="A25" s="124" t="s">
        <v>151</v>
      </c>
      <c r="B25" s="248">
        <v>101</v>
      </c>
      <c r="C25" s="230" t="s">
        <v>179</v>
      </c>
      <c r="D25" s="249">
        <v>19</v>
      </c>
      <c r="E25" s="92">
        <v>100</v>
      </c>
      <c r="F25" s="104" t="s">
        <v>73</v>
      </c>
      <c r="G25" s="113">
        <v>24</v>
      </c>
      <c r="H25" s="92">
        <v>96</v>
      </c>
      <c r="I25" s="104" t="s">
        <v>73</v>
      </c>
      <c r="J25" s="113">
        <v>24</v>
      </c>
      <c r="K25" s="92">
        <v>86</v>
      </c>
      <c r="L25" s="104" t="s">
        <v>73</v>
      </c>
      <c r="M25" s="113">
        <v>20</v>
      </c>
      <c r="N25" s="89">
        <v>109</v>
      </c>
      <c r="O25" s="104" t="s">
        <v>70</v>
      </c>
      <c r="P25" s="113">
        <v>19</v>
      </c>
      <c r="Q25" s="92">
        <v>95</v>
      </c>
      <c r="R25" s="104" t="s">
        <v>73</v>
      </c>
      <c r="S25" s="113">
        <v>21</v>
      </c>
      <c r="T25" s="89">
        <v>104</v>
      </c>
      <c r="U25" s="104" t="s">
        <v>70</v>
      </c>
      <c r="V25" s="113">
        <v>17</v>
      </c>
      <c r="W25" s="89">
        <v>81</v>
      </c>
      <c r="X25" s="104" t="s">
        <v>70</v>
      </c>
      <c r="Y25" s="113">
        <v>16</v>
      </c>
      <c r="Z25" s="89">
        <v>97</v>
      </c>
      <c r="AA25" s="104" t="s">
        <v>70</v>
      </c>
      <c r="AB25" s="113">
        <v>17</v>
      </c>
      <c r="AC25" s="89">
        <v>92</v>
      </c>
      <c r="AD25" s="104" t="s">
        <v>70</v>
      </c>
      <c r="AE25" s="113">
        <v>15</v>
      </c>
      <c r="AF25" s="89">
        <v>92</v>
      </c>
      <c r="AG25" s="104" t="s">
        <v>70</v>
      </c>
      <c r="AH25" s="113">
        <v>16</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25">
      <c r="A26" s="125" t="s">
        <v>154</v>
      </c>
      <c r="B26" s="256">
        <v>28</v>
      </c>
      <c r="C26" s="231" t="s">
        <v>180</v>
      </c>
      <c r="D26" s="253">
        <v>11</v>
      </c>
      <c r="E26" s="93">
        <v>32</v>
      </c>
      <c r="F26" s="106" t="s">
        <v>76</v>
      </c>
      <c r="G26" s="114">
        <v>14</v>
      </c>
      <c r="H26" s="93">
        <v>34</v>
      </c>
      <c r="I26" s="106" t="s">
        <v>76</v>
      </c>
      <c r="J26" s="114">
        <v>20</v>
      </c>
      <c r="K26" s="93">
        <v>28</v>
      </c>
      <c r="L26" s="106" t="s">
        <v>76</v>
      </c>
      <c r="M26" s="114">
        <v>11</v>
      </c>
      <c r="N26" s="90">
        <v>29</v>
      </c>
      <c r="O26" s="106" t="s">
        <v>73</v>
      </c>
      <c r="P26" s="114">
        <v>9</v>
      </c>
      <c r="Q26" s="93">
        <v>28</v>
      </c>
      <c r="R26" s="106" t="s">
        <v>76</v>
      </c>
      <c r="S26" s="114">
        <v>12</v>
      </c>
      <c r="T26" s="90">
        <v>32</v>
      </c>
      <c r="U26" s="106" t="s">
        <v>73</v>
      </c>
      <c r="V26" s="114">
        <v>10</v>
      </c>
      <c r="W26" s="90">
        <v>44</v>
      </c>
      <c r="X26" s="106" t="s">
        <v>73</v>
      </c>
      <c r="Y26" s="114">
        <v>11</v>
      </c>
      <c r="Z26" s="90">
        <v>28</v>
      </c>
      <c r="AA26" s="106" t="s">
        <v>73</v>
      </c>
      <c r="AB26" s="114">
        <v>9</v>
      </c>
      <c r="AC26" s="90">
        <v>31</v>
      </c>
      <c r="AD26" s="106" t="s">
        <v>73</v>
      </c>
      <c r="AE26" s="114">
        <v>9</v>
      </c>
      <c r="AF26" s="90">
        <v>28</v>
      </c>
      <c r="AG26" s="106" t="s">
        <v>73</v>
      </c>
      <c r="AH26" s="114">
        <v>9</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25">
      <c r="A27" s="125" t="s">
        <v>155</v>
      </c>
      <c r="B27" s="251">
        <v>2518</v>
      </c>
      <c r="C27" s="231" t="s">
        <v>182</v>
      </c>
      <c r="D27" s="253">
        <v>67</v>
      </c>
      <c r="E27" s="107">
        <v>2439</v>
      </c>
      <c r="F27" s="106" t="s">
        <v>67</v>
      </c>
      <c r="G27" s="114">
        <v>80</v>
      </c>
      <c r="H27" s="107">
        <v>2499</v>
      </c>
      <c r="I27" s="106" t="s">
        <v>67</v>
      </c>
      <c r="J27" s="114">
        <v>89</v>
      </c>
      <c r="K27" s="107">
        <v>2402</v>
      </c>
      <c r="L27" s="106" t="s">
        <v>67</v>
      </c>
      <c r="M27" s="114">
        <v>78</v>
      </c>
      <c r="N27" s="107">
        <v>2467</v>
      </c>
      <c r="O27" s="106" t="s">
        <v>67</v>
      </c>
      <c r="P27" s="114">
        <v>68</v>
      </c>
      <c r="Q27" s="107">
        <v>2455</v>
      </c>
      <c r="R27" s="106" t="s">
        <v>67</v>
      </c>
      <c r="S27" s="114">
        <v>89</v>
      </c>
      <c r="T27" s="107">
        <v>2426</v>
      </c>
      <c r="U27" s="106" t="s">
        <v>67</v>
      </c>
      <c r="V27" s="114">
        <v>43</v>
      </c>
      <c r="W27" s="107">
        <v>2356</v>
      </c>
      <c r="X27" s="106" t="s">
        <v>67</v>
      </c>
      <c r="Y27" s="114">
        <v>42</v>
      </c>
      <c r="Z27" s="107">
        <v>2331</v>
      </c>
      <c r="AA27" s="106" t="s">
        <v>67</v>
      </c>
      <c r="AB27" s="114">
        <v>42</v>
      </c>
      <c r="AC27" s="51">
        <v>2363</v>
      </c>
      <c r="AD27" s="106" t="s">
        <v>67</v>
      </c>
      <c r="AE27" s="114">
        <v>40</v>
      </c>
      <c r="AF27" s="107">
        <v>2384</v>
      </c>
      <c r="AG27" s="106" t="s">
        <v>67</v>
      </c>
      <c r="AH27" s="114">
        <v>42</v>
      </c>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sheetData>
  <hyperlinks>
    <hyperlink ref="A9" r:id="rId1" xr:uid="{00000000-0004-0000-0800-000000000000}"/>
    <hyperlink ref="A10" r:id="rId2" xr:uid="{00000000-0004-0000-0800-000001000000}"/>
    <hyperlink ref="A11" r:id="rId3" xr:uid="{00000000-0004-0000-0800-000002000000}"/>
  </hyperlinks>
  <pageMargins left="0.7" right="0.7" top="0.75" bottom="0.75" header="0.3" footer="0.3"/>
  <pageSetup paperSize="9" orientation="portrait"/>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IV28"/>
  <sheetViews>
    <sheetView showGridLines="0" zoomScaleNormal="10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56" ht="19.5" customHeight="1" x14ac:dyDescent="0.25">
      <c r="A1" s="196" t="s">
        <v>0</v>
      </c>
    </row>
    <row r="2" spans="1:256" ht="31.2" customHeight="1" x14ac:dyDescent="0.25">
      <c r="A2" s="197" t="s">
        <v>164</v>
      </c>
    </row>
    <row r="3" spans="1:256" ht="15.6" customHeight="1" x14ac:dyDescent="0.25">
      <c r="A3" s="38" t="s">
        <v>165</v>
      </c>
    </row>
    <row r="4" spans="1:256" ht="15.6" customHeight="1" x14ac:dyDescent="0.25">
      <c r="A4" s="38" t="s">
        <v>102</v>
      </c>
    </row>
    <row r="5" spans="1:256" ht="15.75" customHeight="1" x14ac:dyDescent="0.25">
      <c r="A5" s="38" t="s">
        <v>103</v>
      </c>
    </row>
    <row r="6" spans="1:256" ht="15.75" customHeight="1" x14ac:dyDescent="0.25">
      <c r="A6" s="38" t="s">
        <v>188</v>
      </c>
    </row>
    <row r="7" spans="1:256" ht="15.6" customHeight="1" x14ac:dyDescent="0.3">
      <c r="A7" s="38" t="s">
        <v>189</v>
      </c>
      <c r="B7" s="150"/>
      <c r="C7" s="150"/>
      <c r="D7" s="150"/>
      <c r="E7" s="150"/>
      <c r="F7" s="150"/>
      <c r="G7" s="150"/>
      <c r="H7" s="150"/>
      <c r="I7" s="150"/>
      <c r="J7" s="150"/>
      <c r="K7" s="150"/>
      <c r="L7" s="150"/>
      <c r="M7" s="150"/>
      <c r="N7" s="150"/>
      <c r="O7" s="150"/>
      <c r="P7" s="150"/>
      <c r="Q7" s="150"/>
      <c r="R7" s="150"/>
      <c r="S7" s="150"/>
      <c r="T7" s="150"/>
      <c r="U7" s="150"/>
      <c r="V7" s="150"/>
      <c r="W7" s="150"/>
      <c r="X7" s="150"/>
      <c r="Y7" s="150"/>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49"/>
      <c r="CH7" s="149"/>
      <c r="CI7" s="149"/>
      <c r="CJ7" s="149"/>
      <c r="CK7" s="149"/>
      <c r="CL7" s="149"/>
      <c r="CM7" s="149"/>
      <c r="CN7" s="149"/>
      <c r="CO7" s="149"/>
      <c r="CP7" s="149"/>
      <c r="CQ7" s="149"/>
      <c r="CR7" s="149"/>
      <c r="CS7" s="149"/>
      <c r="CT7" s="149"/>
      <c r="CU7" s="149"/>
      <c r="CV7" s="149"/>
      <c r="CW7" s="149"/>
      <c r="CX7" s="149"/>
      <c r="CY7" s="149"/>
      <c r="CZ7" s="149"/>
      <c r="DA7" s="149"/>
      <c r="DB7" s="149"/>
      <c r="DC7" s="149"/>
      <c r="DD7" s="149"/>
      <c r="DE7" s="149"/>
      <c r="DF7" s="149"/>
      <c r="DG7" s="149"/>
      <c r="DH7" s="149"/>
      <c r="DI7" s="149"/>
      <c r="DJ7" s="149"/>
      <c r="DK7" s="149"/>
      <c r="DL7" s="149"/>
      <c r="DM7" s="149"/>
      <c r="DN7" s="149"/>
      <c r="DO7" s="149"/>
      <c r="DP7" s="149"/>
      <c r="DQ7" s="149"/>
      <c r="DR7" s="149"/>
      <c r="DS7" s="149"/>
      <c r="DT7" s="149"/>
      <c r="DU7" s="149"/>
      <c r="DV7" s="149"/>
      <c r="DW7" s="149"/>
      <c r="DX7" s="149"/>
      <c r="DY7" s="149"/>
      <c r="DZ7" s="149"/>
      <c r="EA7" s="149"/>
      <c r="EB7" s="149"/>
      <c r="EC7" s="149"/>
      <c r="ED7" s="149"/>
      <c r="EE7" s="149"/>
      <c r="EF7" s="149"/>
      <c r="EG7" s="149"/>
      <c r="EH7" s="149"/>
      <c r="EI7" s="149"/>
      <c r="EJ7" s="149"/>
      <c r="EK7" s="149"/>
      <c r="EL7" s="149"/>
      <c r="EM7" s="149"/>
      <c r="EN7" s="149"/>
      <c r="EO7" s="149"/>
      <c r="EP7" s="149"/>
      <c r="EQ7" s="149"/>
      <c r="ER7" s="149"/>
      <c r="ES7" s="149"/>
      <c r="ET7" s="149"/>
      <c r="EU7" s="149"/>
      <c r="EV7" s="149"/>
      <c r="EW7" s="149"/>
      <c r="EX7" s="149"/>
      <c r="EY7" s="149"/>
      <c r="EZ7" s="149"/>
      <c r="FA7" s="149"/>
      <c r="FB7" s="149"/>
      <c r="FC7" s="149"/>
      <c r="FD7" s="149"/>
      <c r="FE7" s="149"/>
      <c r="FF7" s="149"/>
      <c r="FG7" s="149"/>
      <c r="FH7" s="149"/>
      <c r="FI7" s="149"/>
      <c r="FJ7" s="149"/>
      <c r="FK7" s="149"/>
      <c r="FL7" s="149"/>
      <c r="FM7" s="149"/>
      <c r="FN7" s="149"/>
      <c r="FO7" s="149"/>
      <c r="FP7" s="149"/>
      <c r="FQ7" s="149"/>
      <c r="FR7" s="149"/>
      <c r="FS7" s="149"/>
      <c r="FT7" s="149"/>
      <c r="FU7" s="149"/>
      <c r="FV7" s="149"/>
      <c r="FW7" s="149"/>
      <c r="FX7" s="149"/>
      <c r="FY7" s="149"/>
      <c r="FZ7" s="149"/>
      <c r="GA7" s="149"/>
      <c r="GB7" s="149"/>
      <c r="GC7" s="149"/>
      <c r="GD7" s="149"/>
      <c r="GE7" s="149"/>
      <c r="GF7" s="149"/>
      <c r="GG7" s="149"/>
      <c r="GH7" s="149"/>
      <c r="GI7" s="149"/>
      <c r="GJ7" s="149"/>
      <c r="GK7" s="149"/>
      <c r="GL7" s="149"/>
      <c r="GM7" s="149"/>
      <c r="GN7" s="149"/>
      <c r="GO7" s="149"/>
      <c r="GP7" s="149"/>
      <c r="GQ7" s="149"/>
      <c r="GR7" s="149"/>
      <c r="GS7" s="149"/>
      <c r="GT7" s="149"/>
      <c r="GU7" s="149"/>
      <c r="GV7" s="149"/>
      <c r="GW7" s="149"/>
      <c r="GX7" s="149"/>
      <c r="GY7" s="149"/>
      <c r="GZ7" s="149"/>
      <c r="HA7" s="149"/>
      <c r="HB7" s="149"/>
      <c r="HC7" s="149"/>
      <c r="HD7" s="149"/>
      <c r="HE7" s="149"/>
      <c r="HF7" s="149"/>
      <c r="HG7" s="149"/>
      <c r="HH7" s="149"/>
      <c r="HI7" s="149"/>
      <c r="HJ7" s="149"/>
      <c r="HK7" s="149"/>
      <c r="HL7" s="149"/>
      <c r="HM7" s="149"/>
      <c r="HN7" s="149"/>
      <c r="HO7" s="149"/>
      <c r="HP7" s="149"/>
      <c r="HQ7" s="149"/>
      <c r="HR7" s="149"/>
    </row>
    <row r="8" spans="1:256" ht="31.2" customHeight="1" x14ac:dyDescent="0.25">
      <c r="A8" s="48" t="s">
        <v>104</v>
      </c>
    </row>
    <row r="9" spans="1:256" x14ac:dyDescent="0.25">
      <c r="A9" s="185" t="s">
        <v>105</v>
      </c>
    </row>
    <row r="10" spans="1:256" ht="15.6" customHeight="1" x14ac:dyDescent="0.25">
      <c r="A10" s="185" t="s">
        <v>106</v>
      </c>
    </row>
    <row r="11" spans="1:256" ht="31.2" customHeight="1" x14ac:dyDescent="0.25">
      <c r="A11" s="195" t="s">
        <v>107</v>
      </c>
    </row>
    <row r="12" spans="1:256" ht="31.2" customHeight="1" x14ac:dyDescent="0.25">
      <c r="A12" s="147" t="s">
        <v>108</v>
      </c>
      <c r="B12" s="57" t="s">
        <v>109</v>
      </c>
      <c r="C12" s="42" t="s">
        <v>110</v>
      </c>
      <c r="D12" s="43" t="s">
        <v>111</v>
      </c>
      <c r="E12" s="57" t="s">
        <v>112</v>
      </c>
      <c r="F12" s="42" t="s">
        <v>113</v>
      </c>
      <c r="G12" s="62" t="s">
        <v>114</v>
      </c>
      <c r="H12" s="59" t="s">
        <v>115</v>
      </c>
      <c r="I12" s="42" t="s">
        <v>116</v>
      </c>
      <c r="J12" s="62" t="s">
        <v>117</v>
      </c>
      <c r="K12" s="59" t="s">
        <v>118</v>
      </c>
      <c r="L12" s="42" t="s">
        <v>119</v>
      </c>
      <c r="M12" s="62" t="s">
        <v>120</v>
      </c>
      <c r="N12" s="59" t="s">
        <v>121</v>
      </c>
      <c r="O12" s="42" t="s">
        <v>122</v>
      </c>
      <c r="P12" s="62" t="s">
        <v>123</v>
      </c>
      <c r="Q12" s="59" t="s">
        <v>124</v>
      </c>
      <c r="R12" s="42" t="s">
        <v>125</v>
      </c>
      <c r="S12" s="43" t="s">
        <v>126</v>
      </c>
      <c r="T12" s="57" t="s">
        <v>127</v>
      </c>
      <c r="U12" s="42" t="s">
        <v>128</v>
      </c>
      <c r="V12" s="43" t="s">
        <v>129</v>
      </c>
      <c r="W12" s="57" t="s">
        <v>130</v>
      </c>
      <c r="X12" s="42" t="s">
        <v>131</v>
      </c>
      <c r="Y12" s="62" t="s">
        <v>132</v>
      </c>
      <c r="Z12" s="59" t="s">
        <v>133</v>
      </c>
      <c r="AA12" s="42" t="s">
        <v>134</v>
      </c>
      <c r="AB12" s="62" t="s">
        <v>135</v>
      </c>
      <c r="AC12" s="59" t="s">
        <v>136</v>
      </c>
      <c r="AD12" s="42" t="s">
        <v>137</v>
      </c>
      <c r="AE12" s="43" t="s">
        <v>138</v>
      </c>
      <c r="AF12" s="42" t="s">
        <v>139</v>
      </c>
      <c r="AG12" s="42" t="s">
        <v>140</v>
      </c>
      <c r="AH12" s="43" t="s">
        <v>141</v>
      </c>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x14ac:dyDescent="0.25">
      <c r="A13" s="38" t="s">
        <v>142</v>
      </c>
      <c r="B13" s="232">
        <v>731</v>
      </c>
      <c r="C13" s="228" t="s">
        <v>179</v>
      </c>
      <c r="D13" s="219">
        <v>75</v>
      </c>
      <c r="E13" s="88">
        <v>742</v>
      </c>
      <c r="F13" s="1" t="s">
        <v>70</v>
      </c>
      <c r="G13" s="112">
        <v>80</v>
      </c>
      <c r="H13" s="88">
        <v>801</v>
      </c>
      <c r="I13" s="1" t="s">
        <v>70</v>
      </c>
      <c r="J13" s="112">
        <v>83</v>
      </c>
      <c r="K13" s="103">
        <v>803</v>
      </c>
      <c r="L13" s="1" t="s">
        <v>67</v>
      </c>
      <c r="M13" s="112">
        <v>73</v>
      </c>
      <c r="N13" s="103">
        <v>684</v>
      </c>
      <c r="O13" s="1" t="s">
        <v>67</v>
      </c>
      <c r="P13" s="112">
        <v>61</v>
      </c>
      <c r="Q13" s="88">
        <v>718</v>
      </c>
      <c r="R13" s="1" t="s">
        <v>70</v>
      </c>
      <c r="S13" s="112">
        <v>71</v>
      </c>
      <c r="T13" s="103">
        <v>791</v>
      </c>
      <c r="U13" s="1" t="s">
        <v>67</v>
      </c>
      <c r="V13" s="112">
        <v>62</v>
      </c>
      <c r="W13" s="103">
        <v>726</v>
      </c>
      <c r="X13" s="1" t="s">
        <v>67</v>
      </c>
      <c r="Y13" s="112">
        <v>55</v>
      </c>
      <c r="Z13" s="103">
        <v>726</v>
      </c>
      <c r="AA13" s="1" t="s">
        <v>67</v>
      </c>
      <c r="AB13" s="112">
        <v>56</v>
      </c>
      <c r="AC13" s="103">
        <v>672</v>
      </c>
      <c r="AD13" s="1" t="s">
        <v>67</v>
      </c>
      <c r="AE13" s="112">
        <v>55</v>
      </c>
      <c r="AF13" s="152">
        <v>701</v>
      </c>
      <c r="AG13" s="1" t="s">
        <v>67</v>
      </c>
      <c r="AH13" s="112">
        <v>53</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25">
      <c r="A14" s="38" t="s">
        <v>143</v>
      </c>
      <c r="B14" s="235">
        <v>310</v>
      </c>
      <c r="C14" s="229" t="s">
        <v>179</v>
      </c>
      <c r="D14" s="220">
        <v>35</v>
      </c>
      <c r="E14" s="88">
        <v>343</v>
      </c>
      <c r="F14" s="1" t="s">
        <v>70</v>
      </c>
      <c r="G14" s="112">
        <v>42</v>
      </c>
      <c r="H14" s="88">
        <v>353</v>
      </c>
      <c r="I14" s="1" t="s">
        <v>70</v>
      </c>
      <c r="J14" s="112">
        <v>48</v>
      </c>
      <c r="K14" s="88">
        <v>341</v>
      </c>
      <c r="L14" s="1" t="s">
        <v>70</v>
      </c>
      <c r="M14" s="112">
        <v>38</v>
      </c>
      <c r="N14" s="88">
        <v>321</v>
      </c>
      <c r="O14" s="1" t="s">
        <v>70</v>
      </c>
      <c r="P14" s="112">
        <v>35</v>
      </c>
      <c r="Q14" s="88">
        <v>354</v>
      </c>
      <c r="R14" s="1" t="s">
        <v>70</v>
      </c>
      <c r="S14" s="112">
        <v>36</v>
      </c>
      <c r="T14" s="103">
        <v>368</v>
      </c>
      <c r="U14" s="1" t="s">
        <v>67</v>
      </c>
      <c r="V14" s="112">
        <v>32</v>
      </c>
      <c r="W14" s="103">
        <v>367</v>
      </c>
      <c r="X14" s="1" t="s">
        <v>67</v>
      </c>
      <c r="Y14" s="112">
        <v>30</v>
      </c>
      <c r="Z14" s="103">
        <v>344</v>
      </c>
      <c r="AA14" s="1" t="s">
        <v>67</v>
      </c>
      <c r="AB14" s="112">
        <v>30</v>
      </c>
      <c r="AC14" s="103">
        <v>312</v>
      </c>
      <c r="AD14" s="1" t="s">
        <v>67</v>
      </c>
      <c r="AE14" s="112">
        <v>27</v>
      </c>
      <c r="AF14" s="152">
        <v>341</v>
      </c>
      <c r="AG14" s="1" t="s">
        <v>67</v>
      </c>
      <c r="AH14" s="112">
        <v>27</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25">
      <c r="A15" s="38" t="s">
        <v>144</v>
      </c>
      <c r="B15" s="233">
        <v>420</v>
      </c>
      <c r="C15" s="230" t="s">
        <v>179</v>
      </c>
      <c r="D15" s="222">
        <v>64</v>
      </c>
      <c r="E15" s="88">
        <v>398</v>
      </c>
      <c r="F15" s="1" t="s">
        <v>70</v>
      </c>
      <c r="G15" s="112">
        <v>63</v>
      </c>
      <c r="H15" s="88">
        <v>448</v>
      </c>
      <c r="I15" s="1" t="s">
        <v>70</v>
      </c>
      <c r="J15" s="112">
        <v>67</v>
      </c>
      <c r="K15" s="88">
        <v>462</v>
      </c>
      <c r="L15" s="1" t="s">
        <v>70</v>
      </c>
      <c r="M15" s="112">
        <v>65</v>
      </c>
      <c r="N15" s="88">
        <v>364</v>
      </c>
      <c r="O15" s="1" t="s">
        <v>70</v>
      </c>
      <c r="P15" s="112">
        <v>48</v>
      </c>
      <c r="Q15" s="88">
        <v>364</v>
      </c>
      <c r="R15" s="1" t="s">
        <v>70</v>
      </c>
      <c r="S15" s="112">
        <v>61</v>
      </c>
      <c r="T15" s="88">
        <v>423</v>
      </c>
      <c r="U15" s="1" t="s">
        <v>70</v>
      </c>
      <c r="V15" s="112">
        <v>55</v>
      </c>
      <c r="W15" s="88">
        <v>359</v>
      </c>
      <c r="X15" s="1" t="s">
        <v>70</v>
      </c>
      <c r="Y15" s="112">
        <v>47</v>
      </c>
      <c r="Z15" s="88">
        <v>382</v>
      </c>
      <c r="AA15" s="1" t="s">
        <v>70</v>
      </c>
      <c r="AB15" s="112">
        <v>49</v>
      </c>
      <c r="AC15" s="88">
        <v>360</v>
      </c>
      <c r="AD15" s="1" t="s">
        <v>70</v>
      </c>
      <c r="AE15" s="112">
        <v>48</v>
      </c>
      <c r="AF15" s="138">
        <v>360</v>
      </c>
      <c r="AG15" s="1" t="s">
        <v>70</v>
      </c>
      <c r="AH15" s="112">
        <v>48</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25">
      <c r="A16" s="39" t="s">
        <v>145</v>
      </c>
      <c r="B16" s="257">
        <v>51</v>
      </c>
      <c r="C16" s="231" t="s">
        <v>181</v>
      </c>
      <c r="D16" s="224">
        <v>22</v>
      </c>
      <c r="E16" s="93">
        <v>38</v>
      </c>
      <c r="F16" s="106" t="s">
        <v>76</v>
      </c>
      <c r="G16" s="114">
        <v>15</v>
      </c>
      <c r="H16" s="90">
        <v>46</v>
      </c>
      <c r="I16" s="106" t="s">
        <v>73</v>
      </c>
      <c r="J16" s="114">
        <v>15</v>
      </c>
      <c r="K16" s="90">
        <v>55</v>
      </c>
      <c r="L16" s="106" t="s">
        <v>73</v>
      </c>
      <c r="M16" s="114">
        <v>17</v>
      </c>
      <c r="N16" s="90">
        <v>56</v>
      </c>
      <c r="O16" s="106" t="s">
        <v>73</v>
      </c>
      <c r="P16" s="114">
        <v>16</v>
      </c>
      <c r="Q16" s="90">
        <v>47</v>
      </c>
      <c r="R16" s="106" t="s">
        <v>73</v>
      </c>
      <c r="S16" s="114">
        <v>16</v>
      </c>
      <c r="T16" s="90">
        <v>59</v>
      </c>
      <c r="U16" s="106" t="s">
        <v>73</v>
      </c>
      <c r="V16" s="114">
        <v>14</v>
      </c>
      <c r="W16" s="90">
        <v>58</v>
      </c>
      <c r="X16" s="106" t="s">
        <v>73</v>
      </c>
      <c r="Y16" s="114">
        <v>16</v>
      </c>
      <c r="Z16" s="148">
        <v>59</v>
      </c>
      <c r="AA16" s="106" t="s">
        <v>73</v>
      </c>
      <c r="AB16" s="114">
        <v>15</v>
      </c>
      <c r="AC16" s="90">
        <v>50</v>
      </c>
      <c r="AD16" s="106" t="s">
        <v>73</v>
      </c>
      <c r="AE16" s="114">
        <v>12</v>
      </c>
      <c r="AF16" s="139">
        <v>53</v>
      </c>
      <c r="AG16" s="106" t="s">
        <v>73</v>
      </c>
      <c r="AH16" s="114">
        <v>12</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25">
      <c r="A17" s="38" t="s">
        <v>146</v>
      </c>
      <c r="B17" s="218">
        <v>1893</v>
      </c>
      <c r="C17" s="228" t="s">
        <v>182</v>
      </c>
      <c r="D17" s="224">
        <v>48</v>
      </c>
      <c r="E17" s="107">
        <v>1859</v>
      </c>
      <c r="F17" s="106" t="s">
        <v>67</v>
      </c>
      <c r="G17" s="114">
        <v>47</v>
      </c>
      <c r="H17" s="107">
        <v>1788</v>
      </c>
      <c r="I17" s="106" t="s">
        <v>67</v>
      </c>
      <c r="J17" s="114">
        <v>53</v>
      </c>
      <c r="K17" s="107">
        <v>1810</v>
      </c>
      <c r="L17" s="106" t="s">
        <v>67</v>
      </c>
      <c r="M17" s="114">
        <v>42</v>
      </c>
      <c r="N17" s="107">
        <v>1826</v>
      </c>
      <c r="O17" s="106" t="s">
        <v>67</v>
      </c>
      <c r="P17" s="114">
        <v>39</v>
      </c>
      <c r="Q17" s="107">
        <v>1784</v>
      </c>
      <c r="R17" s="106" t="s">
        <v>67</v>
      </c>
      <c r="S17" s="114">
        <v>44</v>
      </c>
      <c r="T17" s="51">
        <v>1755</v>
      </c>
      <c r="U17" s="106" t="s">
        <v>67</v>
      </c>
      <c r="V17" s="114">
        <v>36</v>
      </c>
      <c r="W17" s="107">
        <v>1755</v>
      </c>
      <c r="X17" s="106" t="s">
        <v>67</v>
      </c>
      <c r="Y17" s="114">
        <v>38</v>
      </c>
      <c r="Z17" s="51">
        <v>1758</v>
      </c>
      <c r="AA17" s="106" t="s">
        <v>67</v>
      </c>
      <c r="AB17" s="114">
        <v>35</v>
      </c>
      <c r="AC17" s="107">
        <v>1788</v>
      </c>
      <c r="AD17" s="106" t="s">
        <v>67</v>
      </c>
      <c r="AE17" s="114">
        <v>35</v>
      </c>
      <c r="AF17" s="153">
        <v>1757</v>
      </c>
      <c r="AG17" s="106" t="s">
        <v>67</v>
      </c>
      <c r="AH17" s="114">
        <v>33</v>
      </c>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25">
      <c r="A18" s="40" t="s">
        <v>147</v>
      </c>
      <c r="B18" s="218">
        <v>1628</v>
      </c>
      <c r="C18" s="228" t="s">
        <v>182</v>
      </c>
      <c r="D18" s="219">
        <v>53</v>
      </c>
      <c r="E18" s="103">
        <v>1588</v>
      </c>
      <c r="F18" s="1" t="s">
        <v>67</v>
      </c>
      <c r="G18" s="112">
        <v>58</v>
      </c>
      <c r="H18" s="103">
        <v>1548</v>
      </c>
      <c r="I18" s="1" t="s">
        <v>67</v>
      </c>
      <c r="J18" s="112">
        <v>59</v>
      </c>
      <c r="K18" s="103">
        <v>1566</v>
      </c>
      <c r="L18" s="1" t="s">
        <v>67</v>
      </c>
      <c r="M18" s="112">
        <v>51</v>
      </c>
      <c r="N18" s="103">
        <v>1568</v>
      </c>
      <c r="O18" s="1" t="s">
        <v>67</v>
      </c>
      <c r="P18" s="112">
        <v>46</v>
      </c>
      <c r="Q18" s="103">
        <v>1555</v>
      </c>
      <c r="R18" s="1" t="s">
        <v>67</v>
      </c>
      <c r="S18" s="112">
        <v>49</v>
      </c>
      <c r="T18" s="103">
        <v>1536</v>
      </c>
      <c r="U18" s="1" t="s">
        <v>67</v>
      </c>
      <c r="V18" s="112">
        <v>38</v>
      </c>
      <c r="W18" s="103">
        <v>1536</v>
      </c>
      <c r="X18" s="1" t="s">
        <v>67</v>
      </c>
      <c r="Y18" s="112">
        <v>40</v>
      </c>
      <c r="Z18" s="55">
        <v>1536</v>
      </c>
      <c r="AA18" s="1" t="s">
        <v>67</v>
      </c>
      <c r="AB18" s="112">
        <v>37</v>
      </c>
      <c r="AC18" s="103">
        <v>1547</v>
      </c>
      <c r="AD18" s="1" t="s">
        <v>67</v>
      </c>
      <c r="AE18" s="112">
        <v>38</v>
      </c>
      <c r="AF18" s="152">
        <v>1521</v>
      </c>
      <c r="AG18" s="1" t="s">
        <v>67</v>
      </c>
      <c r="AH18" s="112">
        <v>35</v>
      </c>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25">
      <c r="A19" s="38" t="s">
        <v>148</v>
      </c>
      <c r="B19" s="225">
        <v>785</v>
      </c>
      <c r="C19" s="229" t="s">
        <v>182</v>
      </c>
      <c r="D19" s="220">
        <v>54</v>
      </c>
      <c r="E19" s="103">
        <v>775</v>
      </c>
      <c r="F19" s="1" t="s">
        <v>67</v>
      </c>
      <c r="G19" s="112">
        <v>66</v>
      </c>
      <c r="H19" s="103">
        <v>794</v>
      </c>
      <c r="I19" s="1" t="s">
        <v>67</v>
      </c>
      <c r="J19" s="112">
        <v>68</v>
      </c>
      <c r="K19" s="103">
        <v>795</v>
      </c>
      <c r="L19" s="1" t="s">
        <v>67</v>
      </c>
      <c r="M19" s="112">
        <v>57</v>
      </c>
      <c r="N19" s="103">
        <v>765</v>
      </c>
      <c r="O19" s="1" t="s">
        <v>67</v>
      </c>
      <c r="P19" s="112">
        <v>52</v>
      </c>
      <c r="Q19" s="103">
        <v>773</v>
      </c>
      <c r="R19" s="1" t="s">
        <v>67</v>
      </c>
      <c r="S19" s="112">
        <v>55</v>
      </c>
      <c r="T19" s="103">
        <v>759</v>
      </c>
      <c r="U19" s="1" t="s">
        <v>67</v>
      </c>
      <c r="V19" s="112">
        <v>44</v>
      </c>
      <c r="W19" s="103">
        <v>784</v>
      </c>
      <c r="X19" s="1" t="s">
        <v>67</v>
      </c>
      <c r="Y19" s="112">
        <v>44</v>
      </c>
      <c r="Z19" s="55">
        <v>765</v>
      </c>
      <c r="AA19" s="1" t="s">
        <v>67</v>
      </c>
      <c r="AB19" s="112">
        <v>43</v>
      </c>
      <c r="AC19" s="103">
        <v>815</v>
      </c>
      <c r="AD19" s="1" t="s">
        <v>67</v>
      </c>
      <c r="AE19" s="112">
        <v>45</v>
      </c>
      <c r="AF19" s="152">
        <v>778</v>
      </c>
      <c r="AG19" s="1" t="s">
        <v>67</v>
      </c>
      <c r="AH19" s="112">
        <v>41</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25">
      <c r="A20" s="38" t="s">
        <v>149</v>
      </c>
      <c r="B20" s="225">
        <v>590</v>
      </c>
      <c r="C20" s="229" t="s">
        <v>182</v>
      </c>
      <c r="D20" s="220">
        <v>40</v>
      </c>
      <c r="E20" s="103">
        <v>526</v>
      </c>
      <c r="F20" s="1" t="s">
        <v>67</v>
      </c>
      <c r="G20" s="112">
        <v>45</v>
      </c>
      <c r="H20" s="103">
        <v>470</v>
      </c>
      <c r="I20" s="1" t="s">
        <v>67</v>
      </c>
      <c r="J20" s="112">
        <v>41</v>
      </c>
      <c r="K20" s="103">
        <v>523</v>
      </c>
      <c r="L20" s="1" t="s">
        <v>67</v>
      </c>
      <c r="M20" s="112">
        <v>36</v>
      </c>
      <c r="N20" s="103">
        <v>534</v>
      </c>
      <c r="O20" s="1" t="s">
        <v>67</v>
      </c>
      <c r="P20" s="112">
        <v>37</v>
      </c>
      <c r="Q20" s="103">
        <v>510</v>
      </c>
      <c r="R20" s="1" t="s">
        <v>67</v>
      </c>
      <c r="S20" s="112">
        <v>34</v>
      </c>
      <c r="T20" s="103">
        <v>516</v>
      </c>
      <c r="U20" s="1" t="s">
        <v>67</v>
      </c>
      <c r="V20" s="112">
        <v>30</v>
      </c>
      <c r="W20" s="103">
        <v>494</v>
      </c>
      <c r="X20" s="1" t="s">
        <v>67</v>
      </c>
      <c r="Y20" s="112">
        <v>29</v>
      </c>
      <c r="Z20" s="103">
        <v>519</v>
      </c>
      <c r="AA20" s="1" t="s">
        <v>67</v>
      </c>
      <c r="AB20" s="112">
        <v>29</v>
      </c>
      <c r="AC20" s="103">
        <v>478</v>
      </c>
      <c r="AD20" s="1" t="s">
        <v>67</v>
      </c>
      <c r="AE20" s="112">
        <v>28</v>
      </c>
      <c r="AF20" s="152">
        <v>474</v>
      </c>
      <c r="AG20" s="1" t="s">
        <v>67</v>
      </c>
      <c r="AH20" s="112">
        <v>27</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25">
      <c r="A21" s="38" t="s">
        <v>150</v>
      </c>
      <c r="B21" s="258">
        <v>82</v>
      </c>
      <c r="C21" s="229" t="s">
        <v>180</v>
      </c>
      <c r="D21" s="220">
        <v>18</v>
      </c>
      <c r="E21" s="91">
        <v>98</v>
      </c>
      <c r="F21" s="1" t="s">
        <v>73</v>
      </c>
      <c r="G21" s="112">
        <v>23</v>
      </c>
      <c r="H21" s="91">
        <v>105</v>
      </c>
      <c r="I21" s="1" t="s">
        <v>73</v>
      </c>
      <c r="J21" s="112">
        <v>25</v>
      </c>
      <c r="K21" s="91">
        <v>81</v>
      </c>
      <c r="L21" s="1" t="s">
        <v>73</v>
      </c>
      <c r="M21" s="112">
        <v>17</v>
      </c>
      <c r="N21" s="91">
        <v>93</v>
      </c>
      <c r="O21" s="1" t="s">
        <v>73</v>
      </c>
      <c r="P21" s="112">
        <v>19</v>
      </c>
      <c r="Q21" s="88">
        <v>87</v>
      </c>
      <c r="R21" s="1" t="s">
        <v>70</v>
      </c>
      <c r="S21" s="112">
        <v>16</v>
      </c>
      <c r="T21" s="88">
        <v>88</v>
      </c>
      <c r="U21" s="1" t="s">
        <v>70</v>
      </c>
      <c r="V21" s="112">
        <v>14</v>
      </c>
      <c r="W21" s="88">
        <v>96</v>
      </c>
      <c r="X21" s="1" t="s">
        <v>70</v>
      </c>
      <c r="Y21" s="112">
        <v>15</v>
      </c>
      <c r="Z21" s="88">
        <v>94</v>
      </c>
      <c r="AA21" s="1" t="s">
        <v>70</v>
      </c>
      <c r="AB21" s="112">
        <v>13</v>
      </c>
      <c r="AC21" s="88">
        <v>88</v>
      </c>
      <c r="AD21" s="1" t="s">
        <v>70</v>
      </c>
      <c r="AE21" s="112">
        <v>13</v>
      </c>
      <c r="AF21" s="138">
        <v>93</v>
      </c>
      <c r="AG21" s="1" t="s">
        <v>70</v>
      </c>
      <c r="AH21" s="112">
        <v>13</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25">
      <c r="A22" s="41" t="s">
        <v>151</v>
      </c>
      <c r="B22" s="233">
        <v>171</v>
      </c>
      <c r="C22" s="230" t="s">
        <v>179</v>
      </c>
      <c r="D22" s="222">
        <v>26</v>
      </c>
      <c r="E22" s="88">
        <v>189</v>
      </c>
      <c r="F22" s="1" t="s">
        <v>70</v>
      </c>
      <c r="G22" s="112">
        <v>30</v>
      </c>
      <c r="H22" s="88">
        <v>178</v>
      </c>
      <c r="I22" s="1" t="s">
        <v>70</v>
      </c>
      <c r="J22" s="112">
        <v>31</v>
      </c>
      <c r="K22" s="88">
        <v>167</v>
      </c>
      <c r="L22" s="1" t="s">
        <v>70</v>
      </c>
      <c r="M22" s="112">
        <v>23</v>
      </c>
      <c r="N22" s="88">
        <v>175</v>
      </c>
      <c r="O22" s="1" t="s">
        <v>70</v>
      </c>
      <c r="P22" s="112">
        <v>22</v>
      </c>
      <c r="Q22" s="88">
        <v>185</v>
      </c>
      <c r="R22" s="1" t="s">
        <v>70</v>
      </c>
      <c r="S22" s="112">
        <v>26</v>
      </c>
      <c r="T22" s="88">
        <v>173</v>
      </c>
      <c r="U22" s="1" t="s">
        <v>70</v>
      </c>
      <c r="V22" s="112">
        <v>21</v>
      </c>
      <c r="W22" s="88">
        <v>163</v>
      </c>
      <c r="X22" s="1" t="s">
        <v>70</v>
      </c>
      <c r="Y22" s="112">
        <v>21</v>
      </c>
      <c r="Z22" s="88">
        <v>159</v>
      </c>
      <c r="AA22" s="1" t="s">
        <v>70</v>
      </c>
      <c r="AB22" s="112">
        <v>20</v>
      </c>
      <c r="AC22" s="88">
        <v>166</v>
      </c>
      <c r="AD22" s="1" t="s">
        <v>70</v>
      </c>
      <c r="AE22" s="112">
        <v>20</v>
      </c>
      <c r="AF22" s="138">
        <v>175</v>
      </c>
      <c r="AG22" s="1" t="s">
        <v>70</v>
      </c>
      <c r="AH22" s="112">
        <v>19</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25">
      <c r="A23" s="38" t="s">
        <v>152</v>
      </c>
      <c r="B23" s="232">
        <v>265</v>
      </c>
      <c r="C23" s="228" t="s">
        <v>179</v>
      </c>
      <c r="D23" s="219">
        <v>37</v>
      </c>
      <c r="E23" s="87">
        <v>271</v>
      </c>
      <c r="F23" s="105" t="s">
        <v>70</v>
      </c>
      <c r="G23" s="111">
        <v>39</v>
      </c>
      <c r="H23" s="87">
        <v>240</v>
      </c>
      <c r="I23" s="105" t="s">
        <v>70</v>
      </c>
      <c r="J23" s="111">
        <v>34</v>
      </c>
      <c r="K23" s="87">
        <v>244</v>
      </c>
      <c r="L23" s="105" t="s">
        <v>70</v>
      </c>
      <c r="M23" s="111">
        <v>31</v>
      </c>
      <c r="N23" s="87">
        <v>259</v>
      </c>
      <c r="O23" s="105" t="s">
        <v>70</v>
      </c>
      <c r="P23" s="111">
        <v>31</v>
      </c>
      <c r="Q23" s="87">
        <v>229</v>
      </c>
      <c r="R23" s="105" t="s">
        <v>70</v>
      </c>
      <c r="S23" s="111">
        <v>29</v>
      </c>
      <c r="T23" s="87">
        <v>219</v>
      </c>
      <c r="U23" s="105" t="s">
        <v>70</v>
      </c>
      <c r="V23" s="111">
        <v>23</v>
      </c>
      <c r="W23" s="87">
        <v>219</v>
      </c>
      <c r="X23" s="105" t="s">
        <v>70</v>
      </c>
      <c r="Y23" s="111">
        <v>23</v>
      </c>
      <c r="Z23" s="87">
        <v>222</v>
      </c>
      <c r="AA23" s="105" t="s">
        <v>70</v>
      </c>
      <c r="AB23" s="111">
        <v>22</v>
      </c>
      <c r="AC23" s="108">
        <v>241</v>
      </c>
      <c r="AD23" s="105" t="s">
        <v>67</v>
      </c>
      <c r="AE23" s="111">
        <v>23</v>
      </c>
      <c r="AF23" s="154">
        <v>236</v>
      </c>
      <c r="AG23" s="105" t="s">
        <v>67</v>
      </c>
      <c r="AH23" s="111">
        <v>22</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25">
      <c r="A24" s="38" t="s">
        <v>153</v>
      </c>
      <c r="B24" s="235">
        <v>166</v>
      </c>
      <c r="C24" s="229" t="s">
        <v>179</v>
      </c>
      <c r="D24" s="220">
        <v>31</v>
      </c>
      <c r="E24" s="88">
        <v>165</v>
      </c>
      <c r="F24" s="1" t="s">
        <v>70</v>
      </c>
      <c r="G24" s="112">
        <v>30</v>
      </c>
      <c r="H24" s="88">
        <v>151</v>
      </c>
      <c r="I24" s="1" t="s">
        <v>70</v>
      </c>
      <c r="J24" s="112">
        <v>27</v>
      </c>
      <c r="K24" s="88">
        <v>155</v>
      </c>
      <c r="L24" s="1" t="s">
        <v>70</v>
      </c>
      <c r="M24" s="112">
        <v>24</v>
      </c>
      <c r="N24" s="88">
        <v>161</v>
      </c>
      <c r="O24" s="1" t="s">
        <v>70</v>
      </c>
      <c r="P24" s="112">
        <v>26</v>
      </c>
      <c r="Q24" s="88">
        <v>155</v>
      </c>
      <c r="R24" s="1" t="s">
        <v>70</v>
      </c>
      <c r="S24" s="112">
        <v>24</v>
      </c>
      <c r="T24" s="88">
        <v>134</v>
      </c>
      <c r="U24" s="1" t="s">
        <v>70</v>
      </c>
      <c r="V24" s="112">
        <v>17</v>
      </c>
      <c r="W24" s="88">
        <v>144</v>
      </c>
      <c r="X24" s="1" t="s">
        <v>70</v>
      </c>
      <c r="Y24" s="112">
        <v>18</v>
      </c>
      <c r="Z24" s="88">
        <v>140</v>
      </c>
      <c r="AA24" s="1" t="s">
        <v>70</v>
      </c>
      <c r="AB24" s="112">
        <v>17</v>
      </c>
      <c r="AC24" s="88">
        <v>157</v>
      </c>
      <c r="AD24" s="1" t="s">
        <v>70</v>
      </c>
      <c r="AE24" s="112">
        <v>18</v>
      </c>
      <c r="AF24" s="138">
        <v>159</v>
      </c>
      <c r="AG24" s="1" t="s">
        <v>70</v>
      </c>
      <c r="AH24" s="112">
        <v>18</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25">
      <c r="A25" s="38" t="s">
        <v>151</v>
      </c>
      <c r="B25" s="233">
        <v>99</v>
      </c>
      <c r="C25" s="230" t="s">
        <v>179</v>
      </c>
      <c r="D25" s="222">
        <v>19</v>
      </c>
      <c r="E25" s="92">
        <v>106</v>
      </c>
      <c r="F25" s="104" t="s">
        <v>73</v>
      </c>
      <c r="G25" s="113">
        <v>25</v>
      </c>
      <c r="H25" s="92">
        <v>90</v>
      </c>
      <c r="I25" s="104" t="s">
        <v>73</v>
      </c>
      <c r="J25" s="113">
        <v>22</v>
      </c>
      <c r="K25" s="92">
        <v>89</v>
      </c>
      <c r="L25" s="104" t="s">
        <v>73</v>
      </c>
      <c r="M25" s="113">
        <v>19</v>
      </c>
      <c r="N25" s="89">
        <v>97</v>
      </c>
      <c r="O25" s="104" t="s">
        <v>70</v>
      </c>
      <c r="P25" s="113">
        <v>18</v>
      </c>
      <c r="Q25" s="92">
        <v>75</v>
      </c>
      <c r="R25" s="104" t="s">
        <v>73</v>
      </c>
      <c r="S25" s="113">
        <v>16</v>
      </c>
      <c r="T25" s="89">
        <v>85</v>
      </c>
      <c r="U25" s="104" t="s">
        <v>70</v>
      </c>
      <c r="V25" s="113">
        <v>16</v>
      </c>
      <c r="W25" s="89">
        <v>75</v>
      </c>
      <c r="X25" s="104" t="s">
        <v>70</v>
      </c>
      <c r="Y25" s="113">
        <v>15</v>
      </c>
      <c r="Z25" s="89">
        <v>82</v>
      </c>
      <c r="AA25" s="104" t="s">
        <v>70</v>
      </c>
      <c r="AB25" s="113">
        <v>15</v>
      </c>
      <c r="AC25" s="89">
        <v>84</v>
      </c>
      <c r="AD25" s="104" t="s">
        <v>70</v>
      </c>
      <c r="AE25" s="113">
        <v>15</v>
      </c>
      <c r="AF25" s="135">
        <v>77</v>
      </c>
      <c r="AG25" s="104" t="s">
        <v>70</v>
      </c>
      <c r="AH25" s="113">
        <v>14</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25">
      <c r="A26" s="39" t="s">
        <v>154</v>
      </c>
      <c r="B26" s="257">
        <v>16</v>
      </c>
      <c r="C26" s="231" t="s">
        <v>181</v>
      </c>
      <c r="D26" s="224">
        <v>8</v>
      </c>
      <c r="E26" s="110">
        <v>27</v>
      </c>
      <c r="F26" s="1" t="s">
        <v>76</v>
      </c>
      <c r="G26" s="113">
        <v>14</v>
      </c>
      <c r="H26" s="110">
        <v>23</v>
      </c>
      <c r="I26" s="1" t="s">
        <v>76</v>
      </c>
      <c r="J26" s="113">
        <v>12</v>
      </c>
      <c r="K26" s="110">
        <v>24</v>
      </c>
      <c r="L26" s="1" t="s">
        <v>76</v>
      </c>
      <c r="M26" s="113">
        <v>10</v>
      </c>
      <c r="N26" s="92">
        <v>24</v>
      </c>
      <c r="O26" s="1" t="s">
        <v>73</v>
      </c>
      <c r="P26" s="113">
        <v>8</v>
      </c>
      <c r="Q26" s="110">
        <v>27</v>
      </c>
      <c r="R26" s="1" t="s">
        <v>76</v>
      </c>
      <c r="S26" s="113">
        <v>11</v>
      </c>
      <c r="T26" s="92">
        <v>22</v>
      </c>
      <c r="U26" s="1" t="s">
        <v>73</v>
      </c>
      <c r="V26" s="113">
        <v>8</v>
      </c>
      <c r="W26" s="92">
        <v>30</v>
      </c>
      <c r="X26" s="1" t="s">
        <v>73</v>
      </c>
      <c r="Y26" s="113">
        <v>9</v>
      </c>
      <c r="Z26" s="92">
        <v>25</v>
      </c>
      <c r="AA26" s="1" t="s">
        <v>73</v>
      </c>
      <c r="AB26" s="113">
        <v>8</v>
      </c>
      <c r="AC26" s="92">
        <v>22</v>
      </c>
      <c r="AD26" s="1" t="s">
        <v>73</v>
      </c>
      <c r="AE26" s="113">
        <v>8</v>
      </c>
      <c r="AF26" s="155">
        <v>28</v>
      </c>
      <c r="AG26" s="1" t="s">
        <v>73</v>
      </c>
      <c r="AH26" s="113">
        <v>8</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25">
      <c r="A27" s="40" t="s">
        <v>155</v>
      </c>
      <c r="B27" s="227">
        <v>2691</v>
      </c>
      <c r="C27" s="231" t="s">
        <v>182</v>
      </c>
      <c r="D27" s="224">
        <v>67</v>
      </c>
      <c r="E27" s="107">
        <v>2665</v>
      </c>
      <c r="F27" s="106" t="s">
        <v>67</v>
      </c>
      <c r="G27" s="114">
        <v>77</v>
      </c>
      <c r="H27" s="107">
        <v>2659</v>
      </c>
      <c r="I27" s="106" t="s">
        <v>67</v>
      </c>
      <c r="J27" s="114">
        <v>84</v>
      </c>
      <c r="K27" s="107">
        <v>2692</v>
      </c>
      <c r="L27" s="106" t="s">
        <v>67</v>
      </c>
      <c r="M27" s="114">
        <v>68</v>
      </c>
      <c r="N27" s="107">
        <v>2591</v>
      </c>
      <c r="O27" s="106" t="s">
        <v>67</v>
      </c>
      <c r="P27" s="114">
        <v>60</v>
      </c>
      <c r="Q27" s="107">
        <v>2575</v>
      </c>
      <c r="R27" s="106" t="s">
        <v>67</v>
      </c>
      <c r="S27" s="114">
        <v>61</v>
      </c>
      <c r="T27" s="107">
        <v>2626</v>
      </c>
      <c r="U27" s="106" t="s">
        <v>67</v>
      </c>
      <c r="V27" s="114">
        <v>47</v>
      </c>
      <c r="W27" s="107">
        <v>2569</v>
      </c>
      <c r="X27" s="106" t="s">
        <v>67</v>
      </c>
      <c r="Y27" s="114">
        <v>43</v>
      </c>
      <c r="Z27" s="107">
        <v>2568</v>
      </c>
      <c r="AA27" s="106" t="s">
        <v>67</v>
      </c>
      <c r="AB27" s="114">
        <v>42</v>
      </c>
      <c r="AC27" s="107">
        <v>2532</v>
      </c>
      <c r="AD27" s="106" t="s">
        <v>67</v>
      </c>
      <c r="AE27" s="114">
        <v>41</v>
      </c>
      <c r="AF27" s="153">
        <v>2538</v>
      </c>
      <c r="AG27" s="106" t="s">
        <v>67</v>
      </c>
      <c r="AH27" s="114">
        <v>40</v>
      </c>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row r="28" spans="1:256" ht="1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151"/>
      <c r="AF28" s="151"/>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row>
  </sheetData>
  <hyperlinks>
    <hyperlink ref="A9" r:id="rId1" xr:uid="{00000000-0004-0000-0900-000000000000}"/>
    <hyperlink ref="A10" r:id="rId2" xr:uid="{00000000-0004-0000-0900-000001000000}"/>
    <hyperlink ref="A11" r:id="rId3" xr:uid="{00000000-0004-0000-0900-000002000000}"/>
  </hyperlinks>
  <pageMargins left="0.7" right="0.7" top="0.75" bottom="0.75" header="0.3" footer="0.3"/>
  <pageSetup paperSize="9" orientation="portrait"/>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IV27"/>
  <sheetViews>
    <sheetView showGridLines="0" zoomScaleNormal="10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56" ht="19.5" customHeight="1" x14ac:dyDescent="0.25">
      <c r="A1" s="186" t="s">
        <v>0</v>
      </c>
    </row>
    <row r="2" spans="1:256" ht="31.2" customHeight="1" x14ac:dyDescent="0.25">
      <c r="A2" s="194" t="s">
        <v>166</v>
      </c>
    </row>
    <row r="3" spans="1:256" ht="15.6" customHeight="1" x14ac:dyDescent="0.25">
      <c r="A3" s="4" t="s">
        <v>167</v>
      </c>
    </row>
    <row r="4" spans="1:256" ht="15.6" customHeight="1" x14ac:dyDescent="0.25">
      <c r="A4" s="4" t="s">
        <v>102</v>
      </c>
    </row>
    <row r="5" spans="1:256" ht="15.75" customHeight="1" x14ac:dyDescent="0.25">
      <c r="A5" s="4" t="s">
        <v>103</v>
      </c>
    </row>
    <row r="6" spans="1:256" ht="15.75" customHeight="1" x14ac:dyDescent="0.25">
      <c r="A6" s="4" t="s">
        <v>188</v>
      </c>
    </row>
    <row r="7" spans="1:256" ht="15.6" customHeight="1" x14ac:dyDescent="0.3">
      <c r="A7" s="4" t="s">
        <v>189</v>
      </c>
      <c r="B7" s="150"/>
      <c r="C7" s="150"/>
      <c r="D7" s="150"/>
      <c r="E7" s="150"/>
      <c r="F7" s="150"/>
      <c r="G7" s="150"/>
      <c r="H7" s="150"/>
      <c r="I7" s="150"/>
      <c r="J7" s="150"/>
      <c r="K7" s="150"/>
      <c r="L7" s="150"/>
      <c r="M7" s="150"/>
      <c r="N7" s="150"/>
      <c r="O7" s="150"/>
      <c r="P7" s="150"/>
      <c r="Q7" s="150"/>
      <c r="R7" s="150"/>
      <c r="S7" s="150"/>
      <c r="T7" s="150"/>
      <c r="U7" s="150"/>
      <c r="V7" s="150"/>
      <c r="W7" s="150"/>
      <c r="X7" s="150"/>
      <c r="Y7" s="150"/>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49"/>
      <c r="CH7" s="149"/>
      <c r="CI7" s="149"/>
      <c r="CJ7" s="149"/>
      <c r="CK7" s="149"/>
      <c r="CL7" s="149"/>
      <c r="CM7" s="149"/>
      <c r="CN7" s="149"/>
      <c r="CO7" s="149"/>
      <c r="CP7" s="149"/>
      <c r="CQ7" s="149"/>
      <c r="CR7" s="149"/>
      <c r="CS7" s="149"/>
      <c r="CT7" s="149"/>
      <c r="CU7" s="149"/>
      <c r="CV7" s="149"/>
      <c r="CW7" s="149"/>
      <c r="CX7" s="149"/>
      <c r="CY7" s="149"/>
      <c r="CZ7" s="149"/>
      <c r="DA7" s="149"/>
      <c r="DB7" s="149"/>
      <c r="DC7" s="149"/>
      <c r="DD7" s="149"/>
      <c r="DE7" s="149"/>
      <c r="DF7" s="149"/>
      <c r="DG7" s="149"/>
      <c r="DH7" s="149"/>
      <c r="DI7" s="149"/>
      <c r="DJ7" s="149"/>
      <c r="DK7" s="149"/>
      <c r="DL7" s="149"/>
      <c r="DM7" s="149"/>
      <c r="DN7" s="149"/>
      <c r="DO7" s="149"/>
      <c r="DP7" s="149"/>
      <c r="DQ7" s="149"/>
      <c r="DR7" s="149"/>
      <c r="DS7" s="149"/>
      <c r="DT7" s="149"/>
      <c r="DU7" s="149"/>
      <c r="DV7" s="149"/>
      <c r="DW7" s="149"/>
      <c r="DX7" s="149"/>
      <c r="DY7" s="149"/>
      <c r="DZ7" s="149"/>
      <c r="EA7" s="149"/>
      <c r="EB7" s="149"/>
      <c r="EC7" s="149"/>
      <c r="ED7" s="149"/>
      <c r="EE7" s="149"/>
      <c r="EF7" s="149"/>
      <c r="EG7" s="149"/>
      <c r="EH7" s="149"/>
      <c r="EI7" s="149"/>
      <c r="EJ7" s="149"/>
      <c r="EK7" s="149"/>
      <c r="EL7" s="149"/>
      <c r="EM7" s="149"/>
      <c r="EN7" s="149"/>
      <c r="EO7" s="149"/>
      <c r="EP7" s="149"/>
      <c r="EQ7" s="149"/>
      <c r="ER7" s="149"/>
      <c r="ES7" s="149"/>
      <c r="ET7" s="149"/>
      <c r="EU7" s="149"/>
      <c r="EV7" s="149"/>
      <c r="EW7" s="149"/>
      <c r="EX7" s="149"/>
      <c r="EY7" s="149"/>
      <c r="EZ7" s="149"/>
      <c r="FA7" s="149"/>
      <c r="FB7" s="149"/>
      <c r="FC7" s="149"/>
      <c r="FD7" s="149"/>
      <c r="FE7" s="149"/>
      <c r="FF7" s="149"/>
      <c r="FG7" s="149"/>
      <c r="FH7" s="149"/>
      <c r="FI7" s="149"/>
      <c r="FJ7" s="149"/>
      <c r="FK7" s="149"/>
      <c r="FL7" s="149"/>
      <c r="FM7" s="149"/>
      <c r="FN7" s="149"/>
      <c r="FO7" s="149"/>
      <c r="FP7" s="149"/>
      <c r="FQ7" s="149"/>
      <c r="FR7" s="149"/>
      <c r="FS7" s="149"/>
      <c r="FT7" s="149"/>
      <c r="FU7" s="149"/>
      <c r="FV7" s="149"/>
      <c r="FW7" s="149"/>
      <c r="FX7" s="149"/>
      <c r="FY7" s="149"/>
      <c r="FZ7" s="149"/>
      <c r="GA7" s="149"/>
      <c r="GB7" s="149"/>
      <c r="GC7" s="149"/>
      <c r="GD7" s="149"/>
      <c r="GE7" s="149"/>
      <c r="GF7" s="149"/>
      <c r="GG7" s="149"/>
      <c r="GH7" s="149"/>
      <c r="GI7" s="149"/>
      <c r="GJ7" s="149"/>
      <c r="GK7" s="149"/>
      <c r="GL7" s="149"/>
      <c r="GM7" s="149"/>
      <c r="GN7" s="149"/>
      <c r="GO7" s="149"/>
      <c r="GP7" s="149"/>
      <c r="GQ7" s="149"/>
      <c r="GR7" s="149"/>
      <c r="GS7" s="149"/>
      <c r="GT7" s="149"/>
      <c r="GU7" s="149"/>
      <c r="GV7" s="149"/>
      <c r="GW7" s="149"/>
      <c r="GX7" s="149"/>
      <c r="GY7" s="149"/>
      <c r="GZ7" s="149"/>
      <c r="HA7" s="149"/>
      <c r="HB7" s="149"/>
      <c r="HC7" s="149"/>
      <c r="HD7" s="149"/>
      <c r="HE7" s="149"/>
      <c r="HF7" s="149"/>
      <c r="HG7" s="149"/>
      <c r="HH7" s="149"/>
      <c r="HI7" s="149"/>
      <c r="HJ7" s="149"/>
      <c r="HK7" s="149"/>
      <c r="HL7" s="149"/>
      <c r="HM7" s="149"/>
      <c r="HN7" s="149"/>
      <c r="HO7" s="149"/>
      <c r="HP7" s="149"/>
      <c r="HQ7" s="149"/>
      <c r="HR7" s="149"/>
    </row>
    <row r="8" spans="1:256" ht="31.2" customHeight="1" x14ac:dyDescent="0.25">
      <c r="A8" s="48" t="s">
        <v>104</v>
      </c>
    </row>
    <row r="9" spans="1:256" x14ac:dyDescent="0.25">
      <c r="A9" s="185" t="s">
        <v>105</v>
      </c>
    </row>
    <row r="10" spans="1:256" ht="15.6" customHeight="1" x14ac:dyDescent="0.25">
      <c r="A10" s="185" t="s">
        <v>106</v>
      </c>
    </row>
    <row r="11" spans="1:256" ht="31.2" customHeight="1" x14ac:dyDescent="0.25">
      <c r="A11" s="195" t="s">
        <v>107</v>
      </c>
    </row>
    <row r="12" spans="1:256" ht="31.2" customHeight="1" x14ac:dyDescent="0.25">
      <c r="A12" s="157" t="s">
        <v>108</v>
      </c>
      <c r="B12" s="57" t="s">
        <v>109</v>
      </c>
      <c r="C12" s="42" t="s">
        <v>110</v>
      </c>
      <c r="D12" s="42" t="s">
        <v>111</v>
      </c>
      <c r="E12" s="57" t="s">
        <v>112</v>
      </c>
      <c r="F12" s="42" t="s">
        <v>113</v>
      </c>
      <c r="G12" s="42" t="s">
        <v>114</v>
      </c>
      <c r="H12" s="57" t="s">
        <v>115</v>
      </c>
      <c r="I12" s="42" t="s">
        <v>116</v>
      </c>
      <c r="J12" s="43" t="s">
        <v>117</v>
      </c>
      <c r="K12" s="57" t="s">
        <v>118</v>
      </c>
      <c r="L12" s="42" t="s">
        <v>119</v>
      </c>
      <c r="M12" s="62" t="s">
        <v>120</v>
      </c>
      <c r="N12" s="59" t="s">
        <v>121</v>
      </c>
      <c r="O12" s="42" t="s">
        <v>122</v>
      </c>
      <c r="P12" s="62" t="s">
        <v>123</v>
      </c>
      <c r="Q12" s="59" t="s">
        <v>124</v>
      </c>
      <c r="R12" s="42" t="s">
        <v>125</v>
      </c>
      <c r="S12" s="62" t="s">
        <v>126</v>
      </c>
      <c r="T12" s="59" t="s">
        <v>127</v>
      </c>
      <c r="U12" s="42" t="s">
        <v>128</v>
      </c>
      <c r="V12" s="62" t="s">
        <v>129</v>
      </c>
      <c r="W12" s="59" t="s">
        <v>130</v>
      </c>
      <c r="X12" s="42" t="s">
        <v>131</v>
      </c>
      <c r="Y12" s="62" t="s">
        <v>132</v>
      </c>
      <c r="Z12" s="59" t="s">
        <v>133</v>
      </c>
      <c r="AA12" s="42" t="s">
        <v>134</v>
      </c>
      <c r="AB12" s="62" t="s">
        <v>135</v>
      </c>
      <c r="AC12" s="59" t="s">
        <v>136</v>
      </c>
      <c r="AD12" s="42" t="s">
        <v>137</v>
      </c>
      <c r="AE12" s="43" t="s">
        <v>138</v>
      </c>
      <c r="AF12" s="42" t="s">
        <v>139</v>
      </c>
      <c r="AG12" s="42" t="s">
        <v>140</v>
      </c>
      <c r="AH12" s="43" t="s">
        <v>141</v>
      </c>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x14ac:dyDescent="0.25">
      <c r="A13" s="38" t="s">
        <v>142</v>
      </c>
      <c r="B13" s="254">
        <v>1076</v>
      </c>
      <c r="C13" s="228" t="s">
        <v>182</v>
      </c>
      <c r="D13" s="245">
        <v>99</v>
      </c>
      <c r="E13" s="138">
        <v>915</v>
      </c>
      <c r="F13" s="1" t="s">
        <v>70</v>
      </c>
      <c r="G13" s="152">
        <v>110</v>
      </c>
      <c r="H13" s="88">
        <v>985</v>
      </c>
      <c r="I13" s="1" t="s">
        <v>70</v>
      </c>
      <c r="J13" s="112">
        <v>140</v>
      </c>
      <c r="K13" s="103">
        <v>909</v>
      </c>
      <c r="L13" s="1" t="s">
        <v>67</v>
      </c>
      <c r="M13" s="112">
        <v>85</v>
      </c>
      <c r="N13" s="88">
        <v>921</v>
      </c>
      <c r="O13" s="1" t="s">
        <v>70</v>
      </c>
      <c r="P13" s="112">
        <v>92</v>
      </c>
      <c r="Q13" s="103">
        <v>793</v>
      </c>
      <c r="R13" s="1" t="s">
        <v>67</v>
      </c>
      <c r="S13" s="112">
        <v>76</v>
      </c>
      <c r="T13" s="103">
        <v>798</v>
      </c>
      <c r="U13" s="1" t="s">
        <v>67</v>
      </c>
      <c r="V13" s="112">
        <v>62</v>
      </c>
      <c r="W13" s="103">
        <v>847</v>
      </c>
      <c r="X13" s="1" t="s">
        <v>67</v>
      </c>
      <c r="Y13" s="112">
        <v>64</v>
      </c>
      <c r="Z13" s="103">
        <v>821</v>
      </c>
      <c r="AA13" s="1" t="s">
        <v>67</v>
      </c>
      <c r="AB13" s="112">
        <v>59</v>
      </c>
      <c r="AC13" s="103">
        <v>840</v>
      </c>
      <c r="AD13" s="1" t="s">
        <v>67</v>
      </c>
      <c r="AE13" s="112">
        <v>59</v>
      </c>
      <c r="AF13" s="152">
        <v>838</v>
      </c>
      <c r="AG13" s="1" t="s">
        <v>67</v>
      </c>
      <c r="AH13" s="152">
        <v>55</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25">
      <c r="A14" s="38" t="s">
        <v>143</v>
      </c>
      <c r="B14" s="246">
        <v>681</v>
      </c>
      <c r="C14" s="229" t="s">
        <v>179</v>
      </c>
      <c r="D14" s="247">
        <v>68</v>
      </c>
      <c r="E14" s="138">
        <v>554</v>
      </c>
      <c r="F14" s="1" t="s">
        <v>70</v>
      </c>
      <c r="G14" s="152">
        <v>70</v>
      </c>
      <c r="H14" s="88">
        <v>601</v>
      </c>
      <c r="I14" s="1" t="s">
        <v>70</v>
      </c>
      <c r="J14" s="112">
        <v>100</v>
      </c>
      <c r="K14" s="88">
        <v>561</v>
      </c>
      <c r="L14" s="1" t="s">
        <v>70</v>
      </c>
      <c r="M14" s="112">
        <v>56</v>
      </c>
      <c r="N14" s="103">
        <v>547</v>
      </c>
      <c r="O14" s="1" t="s">
        <v>67</v>
      </c>
      <c r="P14" s="112">
        <v>52</v>
      </c>
      <c r="Q14" s="88">
        <v>496</v>
      </c>
      <c r="R14" s="1" t="s">
        <v>70</v>
      </c>
      <c r="S14" s="112">
        <v>51</v>
      </c>
      <c r="T14" s="103">
        <v>492</v>
      </c>
      <c r="U14" s="1" t="s">
        <v>67</v>
      </c>
      <c r="V14" s="112">
        <v>29</v>
      </c>
      <c r="W14" s="103">
        <v>532</v>
      </c>
      <c r="X14" s="1" t="s">
        <v>67</v>
      </c>
      <c r="Y14" s="112">
        <v>42</v>
      </c>
      <c r="Z14" s="103">
        <v>525</v>
      </c>
      <c r="AA14" s="1" t="s">
        <v>67</v>
      </c>
      <c r="AB14" s="112">
        <v>42</v>
      </c>
      <c r="AC14" s="103">
        <v>537</v>
      </c>
      <c r="AD14" s="1" t="s">
        <v>67</v>
      </c>
      <c r="AE14" s="112">
        <v>39</v>
      </c>
      <c r="AF14" s="152">
        <v>529</v>
      </c>
      <c r="AG14" s="1" t="s">
        <v>67</v>
      </c>
      <c r="AH14" s="152">
        <v>37</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25">
      <c r="A15" s="38" t="s">
        <v>144</v>
      </c>
      <c r="B15" s="248">
        <v>395</v>
      </c>
      <c r="C15" s="230" t="s">
        <v>179</v>
      </c>
      <c r="D15" s="249">
        <v>67</v>
      </c>
      <c r="E15" s="138">
        <v>361</v>
      </c>
      <c r="F15" s="1" t="s">
        <v>70</v>
      </c>
      <c r="G15" s="152">
        <v>69</v>
      </c>
      <c r="H15" s="91">
        <v>384</v>
      </c>
      <c r="I15" s="1" t="s">
        <v>73</v>
      </c>
      <c r="J15" s="112">
        <v>86</v>
      </c>
      <c r="K15" s="88">
        <v>348</v>
      </c>
      <c r="L15" s="1" t="s">
        <v>70</v>
      </c>
      <c r="M15" s="112">
        <v>60</v>
      </c>
      <c r="N15" s="88">
        <v>373</v>
      </c>
      <c r="O15" s="1" t="s">
        <v>70</v>
      </c>
      <c r="P15" s="112">
        <v>67</v>
      </c>
      <c r="Q15" s="91">
        <v>297</v>
      </c>
      <c r="R15" s="1" t="s">
        <v>73</v>
      </c>
      <c r="S15" s="112">
        <v>60</v>
      </c>
      <c r="T15" s="88">
        <v>305</v>
      </c>
      <c r="U15" s="1" t="s">
        <v>70</v>
      </c>
      <c r="V15" s="112">
        <v>51</v>
      </c>
      <c r="W15" s="88">
        <v>316</v>
      </c>
      <c r="X15" s="1" t="s">
        <v>70</v>
      </c>
      <c r="Y15" s="112">
        <v>50</v>
      </c>
      <c r="Z15" s="88">
        <v>296</v>
      </c>
      <c r="AA15" s="1" t="s">
        <v>70</v>
      </c>
      <c r="AB15" s="112">
        <v>43</v>
      </c>
      <c r="AC15" s="88">
        <v>303</v>
      </c>
      <c r="AD15" s="1" t="s">
        <v>70</v>
      </c>
      <c r="AE15" s="112">
        <v>48</v>
      </c>
      <c r="AF15" s="138">
        <v>309</v>
      </c>
      <c r="AG15" s="1" t="s">
        <v>70</v>
      </c>
      <c r="AH15" s="152">
        <v>42</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25">
      <c r="A16" s="39" t="s">
        <v>145</v>
      </c>
      <c r="B16" s="259">
        <v>245</v>
      </c>
      <c r="C16" s="231" t="s">
        <v>179</v>
      </c>
      <c r="D16" s="253">
        <v>42</v>
      </c>
      <c r="E16" s="126">
        <v>234</v>
      </c>
      <c r="F16" s="106" t="s">
        <v>70</v>
      </c>
      <c r="G16" s="153">
        <v>45</v>
      </c>
      <c r="H16" s="90">
        <v>210</v>
      </c>
      <c r="I16" s="106" t="s">
        <v>73</v>
      </c>
      <c r="J16" s="114">
        <v>47</v>
      </c>
      <c r="K16" s="126">
        <v>205</v>
      </c>
      <c r="L16" s="106" t="s">
        <v>70</v>
      </c>
      <c r="M16" s="114">
        <v>35</v>
      </c>
      <c r="N16" s="126">
        <v>204</v>
      </c>
      <c r="O16" s="106" t="s">
        <v>70</v>
      </c>
      <c r="P16" s="114">
        <v>35</v>
      </c>
      <c r="Q16" s="126">
        <v>216</v>
      </c>
      <c r="R16" s="106" t="s">
        <v>70</v>
      </c>
      <c r="S16" s="114">
        <v>33</v>
      </c>
      <c r="T16" s="126">
        <v>206</v>
      </c>
      <c r="U16" s="106" t="s">
        <v>70</v>
      </c>
      <c r="V16" s="114">
        <v>16</v>
      </c>
      <c r="W16" s="126">
        <v>217</v>
      </c>
      <c r="X16" s="106" t="s">
        <v>70</v>
      </c>
      <c r="Y16" s="114">
        <v>27</v>
      </c>
      <c r="Z16" s="126">
        <v>192</v>
      </c>
      <c r="AA16" s="106" t="s">
        <v>70</v>
      </c>
      <c r="AB16" s="114">
        <v>26</v>
      </c>
      <c r="AC16" s="126">
        <v>207</v>
      </c>
      <c r="AD16" s="106" t="s">
        <v>70</v>
      </c>
      <c r="AE16" s="114">
        <v>28</v>
      </c>
      <c r="AF16" s="136">
        <v>226</v>
      </c>
      <c r="AG16" s="106" t="s">
        <v>70</v>
      </c>
      <c r="AH16" s="114">
        <v>27</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25">
      <c r="A17" s="38" t="s">
        <v>146</v>
      </c>
      <c r="B17" s="260">
        <v>2321</v>
      </c>
      <c r="C17" s="228" t="s">
        <v>182</v>
      </c>
      <c r="D17" s="253">
        <v>65</v>
      </c>
      <c r="E17" s="107">
        <v>2326</v>
      </c>
      <c r="F17" s="106" t="s">
        <v>67</v>
      </c>
      <c r="G17" s="153">
        <v>69</v>
      </c>
      <c r="H17" s="107">
        <v>2313</v>
      </c>
      <c r="I17" s="106" t="s">
        <v>67</v>
      </c>
      <c r="J17" s="114">
        <v>84</v>
      </c>
      <c r="K17" s="107">
        <v>2330</v>
      </c>
      <c r="L17" s="106" t="s">
        <v>67</v>
      </c>
      <c r="M17" s="114">
        <v>64</v>
      </c>
      <c r="N17" s="107">
        <v>2405</v>
      </c>
      <c r="O17" s="106" t="s">
        <v>67</v>
      </c>
      <c r="P17" s="114">
        <v>58</v>
      </c>
      <c r="Q17" s="107">
        <v>2296</v>
      </c>
      <c r="R17" s="106" t="s">
        <v>67</v>
      </c>
      <c r="S17" s="114">
        <v>65</v>
      </c>
      <c r="T17" s="107">
        <v>2268</v>
      </c>
      <c r="U17" s="106" t="s">
        <v>67</v>
      </c>
      <c r="V17" s="114">
        <v>40</v>
      </c>
      <c r="W17" s="107">
        <v>2194</v>
      </c>
      <c r="X17" s="106" t="s">
        <v>67</v>
      </c>
      <c r="Y17" s="114">
        <v>50</v>
      </c>
      <c r="Z17" s="107">
        <v>2143</v>
      </c>
      <c r="AA17" s="106" t="s">
        <v>67</v>
      </c>
      <c r="AB17" s="114">
        <v>48</v>
      </c>
      <c r="AC17" s="107">
        <v>2118</v>
      </c>
      <c r="AD17" s="106" t="s">
        <v>67</v>
      </c>
      <c r="AE17" s="114">
        <v>48</v>
      </c>
      <c r="AF17" s="153">
        <v>2110</v>
      </c>
      <c r="AG17" s="106" t="s">
        <v>67</v>
      </c>
      <c r="AH17" s="114">
        <v>46</v>
      </c>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25">
      <c r="A18" s="40" t="s">
        <v>147</v>
      </c>
      <c r="B18" s="254">
        <v>1830</v>
      </c>
      <c r="C18" s="228" t="s">
        <v>182</v>
      </c>
      <c r="D18" s="245">
        <v>65</v>
      </c>
      <c r="E18" s="108">
        <v>1839</v>
      </c>
      <c r="F18" s="105" t="s">
        <v>67</v>
      </c>
      <c r="G18" s="154">
        <v>68</v>
      </c>
      <c r="H18" s="108">
        <v>1855</v>
      </c>
      <c r="I18" s="105" t="s">
        <v>67</v>
      </c>
      <c r="J18" s="111">
        <v>90</v>
      </c>
      <c r="K18" s="108">
        <v>1952</v>
      </c>
      <c r="L18" s="105" t="s">
        <v>67</v>
      </c>
      <c r="M18" s="111">
        <v>74</v>
      </c>
      <c r="N18" s="108">
        <v>1990</v>
      </c>
      <c r="O18" s="105" t="s">
        <v>67</v>
      </c>
      <c r="P18" s="111">
        <v>65</v>
      </c>
      <c r="Q18" s="108">
        <v>1876</v>
      </c>
      <c r="R18" s="105" t="s">
        <v>67</v>
      </c>
      <c r="S18" s="111">
        <v>66</v>
      </c>
      <c r="T18" s="108">
        <v>1844</v>
      </c>
      <c r="U18" s="105" t="s">
        <v>67</v>
      </c>
      <c r="V18" s="111">
        <v>48</v>
      </c>
      <c r="W18" s="108">
        <v>1805</v>
      </c>
      <c r="X18" s="105" t="s">
        <v>67</v>
      </c>
      <c r="Y18" s="111">
        <v>52</v>
      </c>
      <c r="Z18" s="108">
        <v>1766</v>
      </c>
      <c r="AA18" s="105" t="s">
        <v>67</v>
      </c>
      <c r="AB18" s="111">
        <v>49</v>
      </c>
      <c r="AC18" s="108">
        <v>1703</v>
      </c>
      <c r="AD18" s="105" t="s">
        <v>67</v>
      </c>
      <c r="AE18" s="111">
        <v>49</v>
      </c>
      <c r="AF18" s="154">
        <v>1659</v>
      </c>
      <c r="AG18" s="105" t="s">
        <v>67</v>
      </c>
      <c r="AH18" s="111">
        <v>47</v>
      </c>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25">
      <c r="A19" s="38" t="s">
        <v>148</v>
      </c>
      <c r="B19" s="255">
        <v>786</v>
      </c>
      <c r="C19" s="229" t="s">
        <v>182</v>
      </c>
      <c r="D19" s="247">
        <v>66</v>
      </c>
      <c r="E19" s="103">
        <v>828</v>
      </c>
      <c r="F19" s="1" t="s">
        <v>67</v>
      </c>
      <c r="G19" s="152">
        <v>80</v>
      </c>
      <c r="H19" s="88">
        <v>740</v>
      </c>
      <c r="I19" s="1" t="s">
        <v>70</v>
      </c>
      <c r="J19" s="112">
        <v>93</v>
      </c>
      <c r="K19" s="103">
        <v>850</v>
      </c>
      <c r="L19" s="1" t="s">
        <v>67</v>
      </c>
      <c r="M19" s="112">
        <v>69</v>
      </c>
      <c r="N19" s="103">
        <v>835</v>
      </c>
      <c r="O19" s="1" t="s">
        <v>67</v>
      </c>
      <c r="P19" s="112">
        <v>69</v>
      </c>
      <c r="Q19" s="103">
        <v>749</v>
      </c>
      <c r="R19" s="1" t="s">
        <v>67</v>
      </c>
      <c r="S19" s="112">
        <v>67</v>
      </c>
      <c r="T19" s="103">
        <v>764</v>
      </c>
      <c r="U19" s="1" t="s">
        <v>67</v>
      </c>
      <c r="V19" s="112">
        <v>53</v>
      </c>
      <c r="W19" s="103">
        <v>762</v>
      </c>
      <c r="X19" s="1" t="s">
        <v>67</v>
      </c>
      <c r="Y19" s="112">
        <v>51</v>
      </c>
      <c r="Z19" s="103">
        <v>702</v>
      </c>
      <c r="AA19" s="1" t="s">
        <v>67</v>
      </c>
      <c r="AB19" s="112">
        <v>47</v>
      </c>
      <c r="AC19" s="103">
        <v>693</v>
      </c>
      <c r="AD19" s="1" t="s">
        <v>67</v>
      </c>
      <c r="AE19" s="112">
        <v>48</v>
      </c>
      <c r="AF19" s="152">
        <v>695</v>
      </c>
      <c r="AG19" s="1" t="s">
        <v>67</v>
      </c>
      <c r="AH19" s="112">
        <v>46</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25">
      <c r="A20" s="38" t="s">
        <v>149</v>
      </c>
      <c r="B20" s="255">
        <v>707</v>
      </c>
      <c r="C20" s="229" t="s">
        <v>182</v>
      </c>
      <c r="D20" s="247">
        <v>53</v>
      </c>
      <c r="E20" s="103">
        <v>652</v>
      </c>
      <c r="F20" s="1" t="s">
        <v>67</v>
      </c>
      <c r="G20" s="152">
        <v>61</v>
      </c>
      <c r="H20" s="88">
        <v>775</v>
      </c>
      <c r="I20" s="1" t="s">
        <v>70</v>
      </c>
      <c r="J20" s="112">
        <v>80</v>
      </c>
      <c r="K20" s="103">
        <v>750</v>
      </c>
      <c r="L20" s="1" t="s">
        <v>67</v>
      </c>
      <c r="M20" s="112">
        <v>53</v>
      </c>
      <c r="N20" s="103">
        <v>745</v>
      </c>
      <c r="O20" s="1" t="s">
        <v>67</v>
      </c>
      <c r="P20" s="112">
        <v>52</v>
      </c>
      <c r="Q20" s="103">
        <v>746</v>
      </c>
      <c r="R20" s="1" t="s">
        <v>67</v>
      </c>
      <c r="S20" s="112">
        <v>53</v>
      </c>
      <c r="T20" s="103">
        <v>718</v>
      </c>
      <c r="U20" s="1" t="s">
        <v>67</v>
      </c>
      <c r="V20" s="112">
        <v>37</v>
      </c>
      <c r="W20" s="103">
        <v>688</v>
      </c>
      <c r="X20" s="1" t="s">
        <v>67</v>
      </c>
      <c r="Y20" s="112">
        <v>38</v>
      </c>
      <c r="Z20" s="103">
        <v>700</v>
      </c>
      <c r="AA20" s="1" t="s">
        <v>67</v>
      </c>
      <c r="AB20" s="112">
        <v>38</v>
      </c>
      <c r="AC20" s="103">
        <v>645</v>
      </c>
      <c r="AD20" s="1" t="s">
        <v>67</v>
      </c>
      <c r="AE20" s="112">
        <v>36</v>
      </c>
      <c r="AF20" s="152">
        <v>611</v>
      </c>
      <c r="AG20" s="1" t="s">
        <v>67</v>
      </c>
      <c r="AH20" s="112">
        <v>35</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25">
      <c r="A21" s="38" t="s">
        <v>150</v>
      </c>
      <c r="B21" s="250">
        <v>118</v>
      </c>
      <c r="C21" s="229" t="s">
        <v>180</v>
      </c>
      <c r="D21" s="247">
        <v>29</v>
      </c>
      <c r="E21" s="91">
        <v>123</v>
      </c>
      <c r="F21" s="1" t="s">
        <v>73</v>
      </c>
      <c r="G21" s="152">
        <v>33</v>
      </c>
      <c r="H21" s="91">
        <v>124</v>
      </c>
      <c r="I21" s="1" t="s">
        <v>73</v>
      </c>
      <c r="J21" s="112">
        <v>35</v>
      </c>
      <c r="K21" s="88">
        <v>146</v>
      </c>
      <c r="L21" s="1" t="s">
        <v>70</v>
      </c>
      <c r="M21" s="112">
        <v>27</v>
      </c>
      <c r="N21" s="88">
        <v>159</v>
      </c>
      <c r="O21" s="1" t="s">
        <v>70</v>
      </c>
      <c r="P21" s="112">
        <v>30</v>
      </c>
      <c r="Q21" s="88">
        <v>143</v>
      </c>
      <c r="R21" s="1" t="s">
        <v>70</v>
      </c>
      <c r="S21" s="112">
        <v>27</v>
      </c>
      <c r="T21" s="88">
        <v>174</v>
      </c>
      <c r="U21" s="1" t="s">
        <v>70</v>
      </c>
      <c r="V21" s="112">
        <v>52</v>
      </c>
      <c r="W21" s="88">
        <v>161</v>
      </c>
      <c r="X21" s="1" t="s">
        <v>70</v>
      </c>
      <c r="Y21" s="112">
        <v>20</v>
      </c>
      <c r="Z21" s="88">
        <v>155</v>
      </c>
      <c r="AA21" s="1" t="s">
        <v>70</v>
      </c>
      <c r="AB21" s="112">
        <v>20</v>
      </c>
      <c r="AC21" s="88">
        <v>176</v>
      </c>
      <c r="AD21" s="1" t="s">
        <v>70</v>
      </c>
      <c r="AE21" s="112">
        <v>20</v>
      </c>
      <c r="AF21" s="138">
        <v>156</v>
      </c>
      <c r="AG21" s="1" t="s">
        <v>70</v>
      </c>
      <c r="AH21" s="112">
        <v>18</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25">
      <c r="A22" s="41" t="s">
        <v>151</v>
      </c>
      <c r="B22" s="248">
        <v>218</v>
      </c>
      <c r="C22" s="230" t="s">
        <v>179</v>
      </c>
      <c r="D22" s="249">
        <v>33</v>
      </c>
      <c r="E22" s="89">
        <v>236</v>
      </c>
      <c r="F22" s="104" t="s">
        <v>70</v>
      </c>
      <c r="G22" s="156">
        <v>45</v>
      </c>
      <c r="H22" s="89">
        <v>216</v>
      </c>
      <c r="I22" s="104" t="s">
        <v>70</v>
      </c>
      <c r="J22" s="113">
        <v>40</v>
      </c>
      <c r="K22" s="89">
        <v>206</v>
      </c>
      <c r="L22" s="104" t="s">
        <v>70</v>
      </c>
      <c r="M22" s="113">
        <v>35</v>
      </c>
      <c r="N22" s="89">
        <v>250</v>
      </c>
      <c r="O22" s="104" t="s">
        <v>70</v>
      </c>
      <c r="P22" s="113">
        <v>37</v>
      </c>
      <c r="Q22" s="89">
        <v>239</v>
      </c>
      <c r="R22" s="104" t="s">
        <v>70</v>
      </c>
      <c r="S22" s="113">
        <v>35</v>
      </c>
      <c r="T22" s="89">
        <v>188</v>
      </c>
      <c r="U22" s="104" t="s">
        <v>70</v>
      </c>
      <c r="V22" s="113">
        <v>41</v>
      </c>
      <c r="W22" s="89">
        <v>193</v>
      </c>
      <c r="X22" s="104" t="s">
        <v>70</v>
      </c>
      <c r="Y22" s="113">
        <v>24</v>
      </c>
      <c r="Z22" s="89">
        <v>209</v>
      </c>
      <c r="AA22" s="104" t="s">
        <v>70</v>
      </c>
      <c r="AB22" s="113">
        <v>25</v>
      </c>
      <c r="AC22" s="89">
        <v>190</v>
      </c>
      <c r="AD22" s="104" t="s">
        <v>70</v>
      </c>
      <c r="AE22" s="113">
        <v>23</v>
      </c>
      <c r="AF22" s="135">
        <v>196</v>
      </c>
      <c r="AG22" s="104" t="s">
        <v>70</v>
      </c>
      <c r="AH22" s="113">
        <v>23</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25">
      <c r="A23" s="38" t="s">
        <v>152</v>
      </c>
      <c r="B23" s="244">
        <v>491</v>
      </c>
      <c r="C23" s="228" t="s">
        <v>179</v>
      </c>
      <c r="D23" s="245">
        <v>49</v>
      </c>
      <c r="E23" s="87">
        <v>487</v>
      </c>
      <c r="F23" s="105" t="s">
        <v>70</v>
      </c>
      <c r="G23" s="154">
        <v>60</v>
      </c>
      <c r="H23" s="87">
        <v>458</v>
      </c>
      <c r="I23" s="105" t="s">
        <v>70</v>
      </c>
      <c r="J23" s="111">
        <v>61</v>
      </c>
      <c r="K23" s="87">
        <v>379</v>
      </c>
      <c r="L23" s="105" t="s">
        <v>70</v>
      </c>
      <c r="M23" s="111">
        <v>46</v>
      </c>
      <c r="N23" s="87">
        <v>415</v>
      </c>
      <c r="O23" s="105" t="s">
        <v>70</v>
      </c>
      <c r="P23" s="111">
        <v>45</v>
      </c>
      <c r="Q23" s="87">
        <v>420</v>
      </c>
      <c r="R23" s="105" t="s">
        <v>70</v>
      </c>
      <c r="S23" s="111">
        <v>44</v>
      </c>
      <c r="T23" s="108">
        <v>423</v>
      </c>
      <c r="U23" s="105" t="s">
        <v>67</v>
      </c>
      <c r="V23" s="111">
        <v>23</v>
      </c>
      <c r="W23" s="108">
        <v>390</v>
      </c>
      <c r="X23" s="105" t="s">
        <v>67</v>
      </c>
      <c r="Y23" s="111">
        <v>33</v>
      </c>
      <c r="Z23" s="108">
        <v>377</v>
      </c>
      <c r="AA23" s="105" t="s">
        <v>67</v>
      </c>
      <c r="AB23" s="111">
        <v>32</v>
      </c>
      <c r="AC23" s="108">
        <v>415</v>
      </c>
      <c r="AD23" s="105" t="s">
        <v>67</v>
      </c>
      <c r="AE23" s="111">
        <v>33</v>
      </c>
      <c r="AF23" s="154">
        <v>451</v>
      </c>
      <c r="AG23" s="105" t="s">
        <v>67</v>
      </c>
      <c r="AH23" s="111">
        <v>32</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25">
      <c r="A24" s="38" t="s">
        <v>153</v>
      </c>
      <c r="B24" s="246">
        <v>271</v>
      </c>
      <c r="C24" s="229" t="s">
        <v>179</v>
      </c>
      <c r="D24" s="247">
        <v>39</v>
      </c>
      <c r="E24" s="88">
        <v>296</v>
      </c>
      <c r="F24" s="1" t="s">
        <v>70</v>
      </c>
      <c r="G24" s="152">
        <v>47</v>
      </c>
      <c r="H24" s="88">
        <v>301</v>
      </c>
      <c r="I24" s="1" t="s">
        <v>70</v>
      </c>
      <c r="J24" s="112">
        <v>49</v>
      </c>
      <c r="K24" s="88">
        <v>223</v>
      </c>
      <c r="L24" s="1" t="s">
        <v>70</v>
      </c>
      <c r="M24" s="112">
        <v>34</v>
      </c>
      <c r="N24" s="88">
        <v>237</v>
      </c>
      <c r="O24" s="1" t="s">
        <v>70</v>
      </c>
      <c r="P24" s="112">
        <v>36</v>
      </c>
      <c r="Q24" s="88">
        <v>242</v>
      </c>
      <c r="R24" s="1" t="s">
        <v>70</v>
      </c>
      <c r="S24" s="112">
        <v>34</v>
      </c>
      <c r="T24" s="88">
        <v>258</v>
      </c>
      <c r="U24" s="1" t="s">
        <v>70</v>
      </c>
      <c r="V24" s="112">
        <v>25</v>
      </c>
      <c r="W24" s="88">
        <v>243</v>
      </c>
      <c r="X24" s="1" t="s">
        <v>70</v>
      </c>
      <c r="Y24" s="112">
        <v>26</v>
      </c>
      <c r="Z24" s="88">
        <v>237</v>
      </c>
      <c r="AA24" s="1" t="s">
        <v>70</v>
      </c>
      <c r="AB24" s="112">
        <v>24</v>
      </c>
      <c r="AC24" s="103">
        <v>274</v>
      </c>
      <c r="AD24" s="1" t="s">
        <v>67</v>
      </c>
      <c r="AE24" s="112">
        <v>26</v>
      </c>
      <c r="AF24" s="152">
        <v>296</v>
      </c>
      <c r="AG24" s="1" t="s">
        <v>67</v>
      </c>
      <c r="AH24" s="112">
        <v>26</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25">
      <c r="A25" s="38" t="s">
        <v>151</v>
      </c>
      <c r="B25" s="248">
        <v>220</v>
      </c>
      <c r="C25" s="230" t="s">
        <v>179</v>
      </c>
      <c r="D25" s="249">
        <v>34</v>
      </c>
      <c r="E25" s="92">
        <v>191</v>
      </c>
      <c r="F25" s="104" t="s">
        <v>73</v>
      </c>
      <c r="G25" s="156">
        <v>38</v>
      </c>
      <c r="H25" s="92">
        <v>157</v>
      </c>
      <c r="I25" s="104" t="s">
        <v>73</v>
      </c>
      <c r="J25" s="113">
        <v>39</v>
      </c>
      <c r="K25" s="92">
        <v>156</v>
      </c>
      <c r="L25" s="104" t="s">
        <v>73</v>
      </c>
      <c r="M25" s="113">
        <v>32</v>
      </c>
      <c r="N25" s="89">
        <v>178</v>
      </c>
      <c r="O25" s="104" t="s">
        <v>70</v>
      </c>
      <c r="P25" s="113">
        <v>30</v>
      </c>
      <c r="Q25" s="89">
        <v>178</v>
      </c>
      <c r="R25" s="104" t="s">
        <v>70</v>
      </c>
      <c r="S25" s="113">
        <v>28</v>
      </c>
      <c r="T25" s="89">
        <v>165</v>
      </c>
      <c r="U25" s="104" t="s">
        <v>70</v>
      </c>
      <c r="V25" s="113">
        <v>29</v>
      </c>
      <c r="W25" s="89">
        <v>147</v>
      </c>
      <c r="X25" s="104" t="s">
        <v>70</v>
      </c>
      <c r="Y25" s="113">
        <v>22</v>
      </c>
      <c r="Z25" s="89">
        <v>140</v>
      </c>
      <c r="AA25" s="104" t="s">
        <v>70</v>
      </c>
      <c r="AB25" s="113">
        <v>22</v>
      </c>
      <c r="AC25" s="89">
        <v>142</v>
      </c>
      <c r="AD25" s="104" t="s">
        <v>70</v>
      </c>
      <c r="AE25" s="113">
        <v>20</v>
      </c>
      <c r="AF25" s="135">
        <v>155</v>
      </c>
      <c r="AG25" s="104" t="s">
        <v>70</v>
      </c>
      <c r="AH25" s="113">
        <v>21</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25">
      <c r="A26" s="39" t="s">
        <v>154</v>
      </c>
      <c r="B26" s="261">
        <v>41</v>
      </c>
      <c r="C26" s="263" t="s">
        <v>180</v>
      </c>
      <c r="D26" s="249">
        <v>14</v>
      </c>
      <c r="E26" s="90">
        <v>51</v>
      </c>
      <c r="F26" s="106" t="s">
        <v>73</v>
      </c>
      <c r="G26" s="153">
        <v>19</v>
      </c>
      <c r="H26" s="93">
        <v>70</v>
      </c>
      <c r="I26" s="106" t="s">
        <v>76</v>
      </c>
      <c r="J26" s="114">
        <v>30</v>
      </c>
      <c r="K26" s="90">
        <v>67</v>
      </c>
      <c r="L26" s="106" t="s">
        <v>73</v>
      </c>
      <c r="M26" s="114">
        <v>21</v>
      </c>
      <c r="N26" s="90">
        <v>44</v>
      </c>
      <c r="O26" s="106" t="s">
        <v>73</v>
      </c>
      <c r="P26" s="114">
        <v>14</v>
      </c>
      <c r="Q26" s="90">
        <v>67</v>
      </c>
      <c r="R26" s="106" t="s">
        <v>73</v>
      </c>
      <c r="S26" s="114">
        <v>20</v>
      </c>
      <c r="T26" s="90">
        <v>66</v>
      </c>
      <c r="U26" s="106" t="s">
        <v>73</v>
      </c>
      <c r="V26" s="114">
        <v>24</v>
      </c>
      <c r="W26" s="90">
        <v>77</v>
      </c>
      <c r="X26" s="106" t="s">
        <v>73</v>
      </c>
      <c r="Y26" s="114">
        <v>16</v>
      </c>
      <c r="Z26" s="90">
        <v>91</v>
      </c>
      <c r="AA26" s="106" t="s">
        <v>73</v>
      </c>
      <c r="AB26" s="114">
        <v>18</v>
      </c>
      <c r="AC26" s="126">
        <v>93</v>
      </c>
      <c r="AD26" s="106" t="s">
        <v>70</v>
      </c>
      <c r="AE26" s="114">
        <v>17</v>
      </c>
      <c r="AF26" s="136">
        <v>78</v>
      </c>
      <c r="AG26" s="106" t="s">
        <v>70</v>
      </c>
      <c r="AH26" s="114">
        <v>15</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25">
      <c r="A27" s="40" t="s">
        <v>155</v>
      </c>
      <c r="B27" s="262">
        <v>3683</v>
      </c>
      <c r="C27" s="231" t="s">
        <v>182</v>
      </c>
      <c r="D27" s="253">
        <v>96</v>
      </c>
      <c r="E27" s="107">
        <v>3527</v>
      </c>
      <c r="F27" s="106" t="s">
        <v>67</v>
      </c>
      <c r="G27" s="153">
        <v>111</v>
      </c>
      <c r="H27" s="107">
        <v>3577</v>
      </c>
      <c r="I27" s="106" t="s">
        <v>67</v>
      </c>
      <c r="J27" s="114">
        <v>136</v>
      </c>
      <c r="K27" s="107">
        <v>3511</v>
      </c>
      <c r="L27" s="106" t="s">
        <v>67</v>
      </c>
      <c r="M27" s="114">
        <v>87</v>
      </c>
      <c r="N27" s="107">
        <v>3574</v>
      </c>
      <c r="O27" s="106" t="s">
        <v>67</v>
      </c>
      <c r="P27" s="114">
        <v>92</v>
      </c>
      <c r="Q27" s="107">
        <v>3372</v>
      </c>
      <c r="R27" s="106" t="s">
        <v>67</v>
      </c>
      <c r="S27" s="114">
        <v>79</v>
      </c>
      <c r="T27" s="107">
        <v>3338</v>
      </c>
      <c r="U27" s="106" t="s">
        <v>67</v>
      </c>
      <c r="V27" s="114">
        <v>54</v>
      </c>
      <c r="W27" s="107">
        <v>3336</v>
      </c>
      <c r="X27" s="106" t="s">
        <v>67</v>
      </c>
      <c r="Y27" s="114">
        <v>54</v>
      </c>
      <c r="Z27" s="107">
        <v>3247</v>
      </c>
      <c r="AA27" s="106" t="s">
        <v>67</v>
      </c>
      <c r="AB27" s="114">
        <v>51</v>
      </c>
      <c r="AC27" s="107">
        <v>3258</v>
      </c>
      <c r="AD27" s="106" t="s">
        <v>67</v>
      </c>
      <c r="AE27" s="114">
        <v>51</v>
      </c>
      <c r="AF27" s="153">
        <v>3252</v>
      </c>
      <c r="AG27" s="106" t="s">
        <v>67</v>
      </c>
      <c r="AH27" s="114">
        <v>47</v>
      </c>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sheetData>
  <hyperlinks>
    <hyperlink ref="A9" r:id="rId1" xr:uid="{00000000-0004-0000-0A00-000000000000}"/>
    <hyperlink ref="A10" r:id="rId2" xr:uid="{00000000-0004-0000-0A00-000001000000}"/>
    <hyperlink ref="A11" r:id="rId3" xr:uid="{00000000-0004-0000-0A00-000002000000}"/>
  </hyperlinks>
  <pageMargins left="0.7" right="0.7" top="0.75" bottom="0.75" header="0.3" footer="0.3"/>
  <pageSetup paperSize="9" orientation="portrait"/>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IV28"/>
  <sheetViews>
    <sheetView showGridLines="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56" ht="19.5" customHeight="1" x14ac:dyDescent="0.25">
      <c r="A1" s="196" t="s">
        <v>0</v>
      </c>
    </row>
    <row r="2" spans="1:256" ht="31.2" customHeight="1" x14ac:dyDescent="0.25">
      <c r="A2" s="197" t="s">
        <v>168</v>
      </c>
    </row>
    <row r="3" spans="1:256" ht="15.6" customHeight="1" x14ac:dyDescent="0.25">
      <c r="A3" s="38" t="s">
        <v>169</v>
      </c>
    </row>
    <row r="4" spans="1:256" ht="15.6" customHeight="1" x14ac:dyDescent="0.25">
      <c r="A4" s="38" t="s">
        <v>102</v>
      </c>
    </row>
    <row r="5" spans="1:256" ht="15.75" customHeight="1" x14ac:dyDescent="0.25">
      <c r="A5" s="38" t="s">
        <v>103</v>
      </c>
    </row>
    <row r="6" spans="1:256" ht="15.75" customHeight="1" x14ac:dyDescent="0.25">
      <c r="A6" s="38" t="s">
        <v>188</v>
      </c>
    </row>
    <row r="7" spans="1:256" ht="15.6" customHeight="1" x14ac:dyDescent="0.3">
      <c r="A7" s="38" t="s">
        <v>189</v>
      </c>
      <c r="B7" s="150"/>
      <c r="C7" s="150"/>
      <c r="D7" s="150"/>
      <c r="E7" s="150"/>
      <c r="F7" s="150"/>
      <c r="G7" s="150"/>
      <c r="H7" s="150"/>
      <c r="I7" s="150"/>
      <c r="J7" s="150"/>
      <c r="K7" s="150"/>
      <c r="L7" s="150"/>
      <c r="M7" s="150"/>
      <c r="N7" s="150"/>
      <c r="O7" s="150"/>
      <c r="P7" s="150"/>
      <c r="Q7" s="150"/>
      <c r="R7" s="150"/>
      <c r="S7" s="150"/>
      <c r="T7" s="150"/>
      <c r="U7" s="150"/>
      <c r="V7" s="150"/>
      <c r="W7" s="150"/>
      <c r="X7" s="150"/>
      <c r="Y7" s="150"/>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49"/>
      <c r="CH7" s="149"/>
      <c r="CI7" s="149"/>
      <c r="CJ7" s="149"/>
      <c r="CK7" s="149"/>
      <c r="CL7" s="149"/>
      <c r="CM7" s="149"/>
      <c r="CN7" s="149"/>
      <c r="CO7" s="149"/>
      <c r="CP7" s="149"/>
      <c r="CQ7" s="149"/>
      <c r="CR7" s="149"/>
      <c r="CS7" s="149"/>
      <c r="CT7" s="149"/>
      <c r="CU7" s="149"/>
      <c r="CV7" s="149"/>
      <c r="CW7" s="149"/>
      <c r="CX7" s="149"/>
      <c r="CY7" s="149"/>
      <c r="CZ7" s="149"/>
      <c r="DA7" s="149"/>
      <c r="DB7" s="149"/>
      <c r="DC7" s="149"/>
      <c r="DD7" s="149"/>
      <c r="DE7" s="149"/>
      <c r="DF7" s="149"/>
      <c r="DG7" s="149"/>
      <c r="DH7" s="149"/>
      <c r="DI7" s="149"/>
      <c r="DJ7" s="149"/>
      <c r="DK7" s="149"/>
      <c r="DL7" s="149"/>
      <c r="DM7" s="149"/>
      <c r="DN7" s="149"/>
      <c r="DO7" s="149"/>
      <c r="DP7" s="149"/>
      <c r="DQ7" s="149"/>
      <c r="DR7" s="149"/>
      <c r="DS7" s="149"/>
      <c r="DT7" s="149"/>
      <c r="DU7" s="149"/>
      <c r="DV7" s="149"/>
      <c r="DW7" s="149"/>
      <c r="DX7" s="149"/>
      <c r="DY7" s="149"/>
      <c r="DZ7" s="149"/>
      <c r="EA7" s="149"/>
      <c r="EB7" s="149"/>
      <c r="EC7" s="149"/>
      <c r="ED7" s="149"/>
      <c r="EE7" s="149"/>
      <c r="EF7" s="149"/>
      <c r="EG7" s="149"/>
      <c r="EH7" s="149"/>
      <c r="EI7" s="149"/>
      <c r="EJ7" s="149"/>
      <c r="EK7" s="149"/>
      <c r="EL7" s="149"/>
      <c r="EM7" s="149"/>
      <c r="EN7" s="149"/>
      <c r="EO7" s="149"/>
      <c r="EP7" s="149"/>
      <c r="EQ7" s="149"/>
      <c r="ER7" s="149"/>
      <c r="ES7" s="149"/>
      <c r="ET7" s="149"/>
      <c r="EU7" s="149"/>
      <c r="EV7" s="149"/>
      <c r="EW7" s="149"/>
      <c r="EX7" s="149"/>
      <c r="EY7" s="149"/>
      <c r="EZ7" s="149"/>
      <c r="FA7" s="149"/>
      <c r="FB7" s="149"/>
      <c r="FC7" s="149"/>
      <c r="FD7" s="149"/>
      <c r="FE7" s="149"/>
      <c r="FF7" s="149"/>
      <c r="FG7" s="149"/>
      <c r="FH7" s="149"/>
      <c r="FI7" s="149"/>
      <c r="FJ7" s="149"/>
      <c r="FK7" s="149"/>
      <c r="FL7" s="149"/>
      <c r="FM7" s="149"/>
      <c r="FN7" s="149"/>
      <c r="FO7" s="149"/>
      <c r="FP7" s="149"/>
      <c r="FQ7" s="149"/>
      <c r="FR7" s="149"/>
      <c r="FS7" s="149"/>
      <c r="FT7" s="149"/>
      <c r="FU7" s="149"/>
      <c r="FV7" s="149"/>
      <c r="FW7" s="149"/>
      <c r="FX7" s="149"/>
      <c r="FY7" s="149"/>
      <c r="FZ7" s="149"/>
      <c r="GA7" s="149"/>
      <c r="GB7" s="149"/>
      <c r="GC7" s="149"/>
      <c r="GD7" s="149"/>
      <c r="GE7" s="149"/>
      <c r="GF7" s="149"/>
      <c r="GG7" s="149"/>
      <c r="GH7" s="149"/>
      <c r="GI7" s="149"/>
      <c r="GJ7" s="149"/>
      <c r="GK7" s="149"/>
      <c r="GL7" s="149"/>
      <c r="GM7" s="149"/>
      <c r="GN7" s="149"/>
      <c r="GO7" s="149"/>
      <c r="GP7" s="149"/>
      <c r="GQ7" s="149"/>
      <c r="GR7" s="149"/>
      <c r="GS7" s="149"/>
      <c r="GT7" s="149"/>
      <c r="GU7" s="149"/>
      <c r="GV7" s="149"/>
      <c r="GW7" s="149"/>
      <c r="GX7" s="149"/>
      <c r="GY7" s="149"/>
      <c r="GZ7" s="149"/>
      <c r="HA7" s="149"/>
      <c r="HB7" s="149"/>
      <c r="HC7" s="149"/>
      <c r="HD7" s="149"/>
      <c r="HE7" s="149"/>
      <c r="HF7" s="149"/>
      <c r="HG7" s="149"/>
      <c r="HH7" s="149"/>
      <c r="HI7" s="149"/>
      <c r="HJ7" s="149"/>
      <c r="HK7" s="149"/>
      <c r="HL7" s="149"/>
      <c r="HM7" s="149"/>
      <c r="HN7" s="149"/>
      <c r="HO7" s="149"/>
      <c r="HP7" s="149"/>
      <c r="HQ7" s="149"/>
      <c r="HR7" s="149"/>
    </row>
    <row r="8" spans="1:256" ht="31.2" customHeight="1" x14ac:dyDescent="0.25">
      <c r="A8" s="48" t="s">
        <v>104</v>
      </c>
    </row>
    <row r="9" spans="1:256" x14ac:dyDescent="0.25">
      <c r="A9" s="185" t="s">
        <v>105</v>
      </c>
    </row>
    <row r="10" spans="1:256" ht="15.6" customHeight="1" x14ac:dyDescent="0.25">
      <c r="A10" s="185" t="s">
        <v>106</v>
      </c>
    </row>
    <row r="11" spans="1:256" ht="31.2" customHeight="1" x14ac:dyDescent="0.25">
      <c r="A11" s="195" t="s">
        <v>107</v>
      </c>
    </row>
    <row r="12" spans="1:256" ht="31.2" customHeight="1" x14ac:dyDescent="0.25">
      <c r="A12" s="158" t="s">
        <v>108</v>
      </c>
      <c r="B12" s="57" t="s">
        <v>109</v>
      </c>
      <c r="C12" s="42" t="s">
        <v>110</v>
      </c>
      <c r="D12" s="43" t="s">
        <v>111</v>
      </c>
      <c r="E12" s="57" t="s">
        <v>112</v>
      </c>
      <c r="F12" s="42" t="s">
        <v>113</v>
      </c>
      <c r="G12" s="43" t="s">
        <v>114</v>
      </c>
      <c r="H12" s="57" t="s">
        <v>115</v>
      </c>
      <c r="I12" s="42" t="s">
        <v>116</v>
      </c>
      <c r="J12" s="160" t="s">
        <v>117</v>
      </c>
      <c r="K12" s="159" t="s">
        <v>118</v>
      </c>
      <c r="L12" s="42" t="s">
        <v>119</v>
      </c>
      <c r="M12" s="160" t="s">
        <v>120</v>
      </c>
      <c r="N12" s="159" t="s">
        <v>121</v>
      </c>
      <c r="O12" s="42" t="s">
        <v>122</v>
      </c>
      <c r="P12" s="160" t="s">
        <v>123</v>
      </c>
      <c r="Q12" s="159" t="s">
        <v>124</v>
      </c>
      <c r="R12" s="42" t="s">
        <v>125</v>
      </c>
      <c r="S12" s="43" t="s">
        <v>126</v>
      </c>
      <c r="T12" s="57" t="s">
        <v>127</v>
      </c>
      <c r="U12" s="42" t="s">
        <v>128</v>
      </c>
      <c r="V12" s="62" t="s">
        <v>129</v>
      </c>
      <c r="W12" s="59" t="s">
        <v>130</v>
      </c>
      <c r="X12" s="42" t="s">
        <v>131</v>
      </c>
      <c r="Y12" s="160" t="s">
        <v>132</v>
      </c>
      <c r="Z12" s="159" t="s">
        <v>133</v>
      </c>
      <c r="AA12" s="42" t="s">
        <v>134</v>
      </c>
      <c r="AB12" s="43" t="s">
        <v>135</v>
      </c>
      <c r="AC12" s="57" t="s">
        <v>136</v>
      </c>
      <c r="AD12" s="42" t="s">
        <v>137</v>
      </c>
      <c r="AE12" s="43" t="s">
        <v>138</v>
      </c>
      <c r="AF12" s="57" t="s">
        <v>139</v>
      </c>
      <c r="AG12" s="42" t="s">
        <v>140</v>
      </c>
      <c r="AH12" s="43" t="s">
        <v>141</v>
      </c>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x14ac:dyDescent="0.25">
      <c r="A13" s="38" t="s">
        <v>142</v>
      </c>
      <c r="B13" s="254">
        <v>1059</v>
      </c>
      <c r="C13" s="228" t="s">
        <v>182</v>
      </c>
      <c r="D13" s="245">
        <v>80</v>
      </c>
      <c r="E13" s="108">
        <v>1084</v>
      </c>
      <c r="F13" s="105" t="s">
        <v>67</v>
      </c>
      <c r="G13" s="111">
        <v>88</v>
      </c>
      <c r="H13" s="87">
        <v>986</v>
      </c>
      <c r="I13" s="105" t="s">
        <v>70</v>
      </c>
      <c r="J13" s="111">
        <v>101</v>
      </c>
      <c r="K13" s="108">
        <v>1056</v>
      </c>
      <c r="L13" s="105" t="s">
        <v>67</v>
      </c>
      <c r="M13" s="111">
        <v>91</v>
      </c>
      <c r="N13" s="108">
        <v>990</v>
      </c>
      <c r="O13" s="105" t="s">
        <v>67</v>
      </c>
      <c r="P13" s="111">
        <v>71</v>
      </c>
      <c r="Q13" s="108">
        <v>1118</v>
      </c>
      <c r="R13" s="105" t="s">
        <v>67</v>
      </c>
      <c r="S13" s="111">
        <v>102</v>
      </c>
      <c r="T13" s="108">
        <v>952</v>
      </c>
      <c r="U13" s="105" t="s">
        <v>67</v>
      </c>
      <c r="V13" s="111">
        <v>64</v>
      </c>
      <c r="W13" s="108">
        <v>932</v>
      </c>
      <c r="X13" s="105" t="s">
        <v>67</v>
      </c>
      <c r="Y13" s="111">
        <v>64</v>
      </c>
      <c r="Z13" s="108">
        <v>914</v>
      </c>
      <c r="AA13" s="105" t="s">
        <v>67</v>
      </c>
      <c r="AB13" s="111">
        <v>62</v>
      </c>
      <c r="AC13" s="108">
        <v>961</v>
      </c>
      <c r="AD13" s="105" t="s">
        <v>67</v>
      </c>
      <c r="AE13" s="111">
        <v>67</v>
      </c>
      <c r="AF13" s="108">
        <v>950</v>
      </c>
      <c r="AG13" s="105" t="s">
        <v>67</v>
      </c>
      <c r="AH13" s="111">
        <v>61</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25">
      <c r="A14" s="38" t="s">
        <v>143</v>
      </c>
      <c r="B14" s="255">
        <v>488</v>
      </c>
      <c r="C14" s="229" t="s">
        <v>182</v>
      </c>
      <c r="D14" s="247">
        <v>46</v>
      </c>
      <c r="E14" s="88">
        <v>502</v>
      </c>
      <c r="F14" s="1" t="s">
        <v>70</v>
      </c>
      <c r="G14" s="112">
        <v>50</v>
      </c>
      <c r="H14" s="88">
        <v>488</v>
      </c>
      <c r="I14" s="1" t="s">
        <v>70</v>
      </c>
      <c r="J14" s="112">
        <v>51</v>
      </c>
      <c r="K14" s="103">
        <v>473</v>
      </c>
      <c r="L14" s="1" t="s">
        <v>67</v>
      </c>
      <c r="M14" s="112">
        <v>45</v>
      </c>
      <c r="N14" s="103">
        <v>454</v>
      </c>
      <c r="O14" s="1" t="s">
        <v>67</v>
      </c>
      <c r="P14" s="112">
        <v>38</v>
      </c>
      <c r="Q14" s="103">
        <v>481</v>
      </c>
      <c r="R14" s="1" t="s">
        <v>67</v>
      </c>
      <c r="S14" s="112">
        <v>44</v>
      </c>
      <c r="T14" s="103">
        <v>472</v>
      </c>
      <c r="U14" s="1" t="s">
        <v>67</v>
      </c>
      <c r="V14" s="112">
        <v>36</v>
      </c>
      <c r="W14" s="103">
        <v>468</v>
      </c>
      <c r="X14" s="1" t="s">
        <v>67</v>
      </c>
      <c r="Y14" s="112">
        <v>37</v>
      </c>
      <c r="Z14" s="103">
        <v>418</v>
      </c>
      <c r="AA14" s="1" t="s">
        <v>67</v>
      </c>
      <c r="AB14" s="112">
        <v>34</v>
      </c>
      <c r="AC14" s="103">
        <v>445</v>
      </c>
      <c r="AD14" s="1" t="s">
        <v>67</v>
      </c>
      <c r="AE14" s="112">
        <v>33</v>
      </c>
      <c r="AF14" s="103">
        <v>473</v>
      </c>
      <c r="AG14" s="1" t="s">
        <v>67</v>
      </c>
      <c r="AH14" s="112">
        <v>33</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25">
      <c r="A15" s="38" t="s">
        <v>144</v>
      </c>
      <c r="B15" s="264">
        <v>571</v>
      </c>
      <c r="C15" s="230" t="s">
        <v>179</v>
      </c>
      <c r="D15" s="249">
        <v>64</v>
      </c>
      <c r="E15" s="89">
        <v>583</v>
      </c>
      <c r="F15" s="104" t="s">
        <v>70</v>
      </c>
      <c r="G15" s="113">
        <v>71</v>
      </c>
      <c r="H15" s="89">
        <v>498</v>
      </c>
      <c r="I15" s="104" t="s">
        <v>70</v>
      </c>
      <c r="J15" s="113">
        <v>80</v>
      </c>
      <c r="K15" s="89">
        <v>584</v>
      </c>
      <c r="L15" s="104" t="s">
        <v>70</v>
      </c>
      <c r="M15" s="113">
        <v>76</v>
      </c>
      <c r="N15" s="89">
        <v>536</v>
      </c>
      <c r="O15" s="104" t="s">
        <v>70</v>
      </c>
      <c r="P15" s="113">
        <v>57</v>
      </c>
      <c r="Q15" s="89">
        <v>636</v>
      </c>
      <c r="R15" s="104" t="s">
        <v>70</v>
      </c>
      <c r="S15" s="113">
        <v>95</v>
      </c>
      <c r="T15" s="89">
        <v>480</v>
      </c>
      <c r="U15" s="104" t="s">
        <v>70</v>
      </c>
      <c r="V15" s="113">
        <v>54</v>
      </c>
      <c r="W15" s="89">
        <v>464</v>
      </c>
      <c r="X15" s="104" t="s">
        <v>70</v>
      </c>
      <c r="Y15" s="113">
        <v>55</v>
      </c>
      <c r="Z15" s="89">
        <v>496</v>
      </c>
      <c r="AA15" s="104" t="s">
        <v>70</v>
      </c>
      <c r="AB15" s="113">
        <v>54</v>
      </c>
      <c r="AC15" s="89">
        <v>515</v>
      </c>
      <c r="AD15" s="104" t="s">
        <v>70</v>
      </c>
      <c r="AE15" s="113">
        <v>60</v>
      </c>
      <c r="AF15" s="89">
        <v>477</v>
      </c>
      <c r="AG15" s="104" t="s">
        <v>70</v>
      </c>
      <c r="AH15" s="113">
        <v>53</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25">
      <c r="A16" s="39" t="s">
        <v>145</v>
      </c>
      <c r="B16" s="265">
        <v>75</v>
      </c>
      <c r="C16" s="231" t="s">
        <v>180</v>
      </c>
      <c r="D16" s="253">
        <v>22</v>
      </c>
      <c r="E16" s="90">
        <v>82</v>
      </c>
      <c r="F16" s="106" t="s">
        <v>73</v>
      </c>
      <c r="G16" s="114">
        <v>23</v>
      </c>
      <c r="H16" s="90">
        <v>94</v>
      </c>
      <c r="I16" s="106" t="s">
        <v>73</v>
      </c>
      <c r="J16" s="114">
        <v>28</v>
      </c>
      <c r="K16" s="90">
        <v>97</v>
      </c>
      <c r="L16" s="106" t="s">
        <v>73</v>
      </c>
      <c r="M16" s="114">
        <v>26</v>
      </c>
      <c r="N16" s="90">
        <v>98</v>
      </c>
      <c r="O16" s="106" t="s">
        <v>73</v>
      </c>
      <c r="P16" s="114">
        <v>27</v>
      </c>
      <c r="Q16" s="90">
        <v>84</v>
      </c>
      <c r="R16" s="106" t="s">
        <v>73</v>
      </c>
      <c r="S16" s="114">
        <v>23</v>
      </c>
      <c r="T16" s="90">
        <v>74</v>
      </c>
      <c r="U16" s="106" t="s">
        <v>73</v>
      </c>
      <c r="V16" s="114">
        <v>17</v>
      </c>
      <c r="W16" s="90">
        <v>96</v>
      </c>
      <c r="X16" s="106" t="s">
        <v>73</v>
      </c>
      <c r="Y16" s="114">
        <v>19</v>
      </c>
      <c r="Z16" s="126">
        <v>105</v>
      </c>
      <c r="AA16" s="106" t="s">
        <v>70</v>
      </c>
      <c r="AB16" s="114">
        <v>18</v>
      </c>
      <c r="AC16" s="126">
        <v>111</v>
      </c>
      <c r="AD16" s="106" t="s">
        <v>70</v>
      </c>
      <c r="AE16" s="114">
        <v>20</v>
      </c>
      <c r="AF16" s="126">
        <v>106</v>
      </c>
      <c r="AG16" s="106" t="s">
        <v>70</v>
      </c>
      <c r="AH16" s="114">
        <v>18</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25">
      <c r="A17" s="38" t="s">
        <v>146</v>
      </c>
      <c r="B17" s="251">
        <v>2782</v>
      </c>
      <c r="C17" s="231" t="s">
        <v>182</v>
      </c>
      <c r="D17" s="253">
        <v>57</v>
      </c>
      <c r="E17" s="107">
        <v>2718</v>
      </c>
      <c r="F17" s="106" t="s">
        <v>67</v>
      </c>
      <c r="G17" s="114">
        <v>57</v>
      </c>
      <c r="H17" s="107">
        <v>2670</v>
      </c>
      <c r="I17" s="106" t="s">
        <v>67</v>
      </c>
      <c r="J17" s="114">
        <v>67</v>
      </c>
      <c r="K17" s="107">
        <v>2656</v>
      </c>
      <c r="L17" s="106" t="s">
        <v>67</v>
      </c>
      <c r="M17" s="114">
        <v>56</v>
      </c>
      <c r="N17" s="107">
        <v>2590</v>
      </c>
      <c r="O17" s="106" t="s">
        <v>67</v>
      </c>
      <c r="P17" s="114">
        <v>55</v>
      </c>
      <c r="Q17" s="107">
        <v>2581</v>
      </c>
      <c r="R17" s="106" t="s">
        <v>67</v>
      </c>
      <c r="S17" s="114">
        <v>55</v>
      </c>
      <c r="T17" s="107">
        <v>2619</v>
      </c>
      <c r="U17" s="106" t="s">
        <v>67</v>
      </c>
      <c r="V17" s="114">
        <v>45</v>
      </c>
      <c r="W17" s="107">
        <v>2593</v>
      </c>
      <c r="X17" s="106" t="s">
        <v>67</v>
      </c>
      <c r="Y17" s="114">
        <v>43</v>
      </c>
      <c r="Z17" s="107">
        <v>2565</v>
      </c>
      <c r="AA17" s="106" t="s">
        <v>67</v>
      </c>
      <c r="AB17" s="114">
        <v>42</v>
      </c>
      <c r="AC17" s="107">
        <v>2542</v>
      </c>
      <c r="AD17" s="106" t="s">
        <v>67</v>
      </c>
      <c r="AE17" s="114">
        <v>44</v>
      </c>
      <c r="AF17" s="107">
        <v>2517</v>
      </c>
      <c r="AG17" s="106" t="s">
        <v>67</v>
      </c>
      <c r="AH17" s="114">
        <v>41</v>
      </c>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25">
      <c r="A18" s="40" t="s">
        <v>147</v>
      </c>
      <c r="B18" s="254">
        <v>2376</v>
      </c>
      <c r="C18" s="228" t="s">
        <v>182</v>
      </c>
      <c r="D18" s="245">
        <v>61</v>
      </c>
      <c r="E18" s="108">
        <v>2360</v>
      </c>
      <c r="F18" s="105" t="s">
        <v>67</v>
      </c>
      <c r="G18" s="111">
        <v>60</v>
      </c>
      <c r="H18" s="108">
        <v>2330</v>
      </c>
      <c r="I18" s="105" t="s">
        <v>67</v>
      </c>
      <c r="J18" s="111">
        <v>74</v>
      </c>
      <c r="K18" s="108">
        <v>2349</v>
      </c>
      <c r="L18" s="105" t="s">
        <v>67</v>
      </c>
      <c r="M18" s="111">
        <v>60</v>
      </c>
      <c r="N18" s="108">
        <v>2258</v>
      </c>
      <c r="O18" s="105" t="s">
        <v>67</v>
      </c>
      <c r="P18" s="111">
        <v>62</v>
      </c>
      <c r="Q18" s="108">
        <v>2296</v>
      </c>
      <c r="R18" s="105" t="s">
        <v>67</v>
      </c>
      <c r="S18" s="111">
        <v>60</v>
      </c>
      <c r="T18" s="108">
        <v>2322</v>
      </c>
      <c r="U18" s="105" t="s">
        <v>67</v>
      </c>
      <c r="V18" s="111">
        <v>48</v>
      </c>
      <c r="W18" s="108">
        <v>2254</v>
      </c>
      <c r="X18" s="105" t="s">
        <v>67</v>
      </c>
      <c r="Y18" s="111">
        <v>46</v>
      </c>
      <c r="Z18" s="108">
        <v>2273</v>
      </c>
      <c r="AA18" s="105" t="s">
        <v>67</v>
      </c>
      <c r="AB18" s="111">
        <v>44</v>
      </c>
      <c r="AC18" s="108">
        <v>2251</v>
      </c>
      <c r="AD18" s="105" t="s">
        <v>67</v>
      </c>
      <c r="AE18" s="111">
        <v>46</v>
      </c>
      <c r="AF18" s="108">
        <v>2212</v>
      </c>
      <c r="AG18" s="105" t="s">
        <v>67</v>
      </c>
      <c r="AH18" s="111">
        <v>43</v>
      </c>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25">
      <c r="A19" s="38" t="s">
        <v>148</v>
      </c>
      <c r="B19" s="255">
        <v>1157</v>
      </c>
      <c r="C19" s="229" t="s">
        <v>182</v>
      </c>
      <c r="D19" s="247">
        <v>69</v>
      </c>
      <c r="E19" s="103">
        <v>1141</v>
      </c>
      <c r="F19" s="1" t="s">
        <v>67</v>
      </c>
      <c r="G19" s="112">
        <v>74</v>
      </c>
      <c r="H19" s="103">
        <v>1146</v>
      </c>
      <c r="I19" s="1" t="s">
        <v>67</v>
      </c>
      <c r="J19" s="112">
        <v>90</v>
      </c>
      <c r="K19" s="103">
        <v>1203</v>
      </c>
      <c r="L19" s="1" t="s">
        <v>67</v>
      </c>
      <c r="M19" s="112">
        <v>76</v>
      </c>
      <c r="N19" s="103">
        <v>1114</v>
      </c>
      <c r="O19" s="1" t="s">
        <v>67</v>
      </c>
      <c r="P19" s="112">
        <v>67</v>
      </c>
      <c r="Q19" s="103">
        <v>1120</v>
      </c>
      <c r="R19" s="1" t="s">
        <v>67</v>
      </c>
      <c r="S19" s="112">
        <v>67</v>
      </c>
      <c r="T19" s="103">
        <v>1139</v>
      </c>
      <c r="U19" s="1" t="s">
        <v>67</v>
      </c>
      <c r="V19" s="112">
        <v>55</v>
      </c>
      <c r="W19" s="103">
        <v>1079</v>
      </c>
      <c r="X19" s="1" t="s">
        <v>67</v>
      </c>
      <c r="Y19" s="112">
        <v>52</v>
      </c>
      <c r="Z19" s="103">
        <v>1107</v>
      </c>
      <c r="AA19" s="1" t="s">
        <v>67</v>
      </c>
      <c r="AB19" s="112">
        <v>51</v>
      </c>
      <c r="AC19" s="103">
        <v>1113</v>
      </c>
      <c r="AD19" s="1" t="s">
        <v>67</v>
      </c>
      <c r="AE19" s="112">
        <v>50</v>
      </c>
      <c r="AF19" s="103">
        <v>1076</v>
      </c>
      <c r="AG19" s="1" t="s">
        <v>67</v>
      </c>
      <c r="AH19" s="112">
        <v>49</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25">
      <c r="A20" s="38" t="s">
        <v>149</v>
      </c>
      <c r="B20" s="255">
        <v>831</v>
      </c>
      <c r="C20" s="229" t="s">
        <v>182</v>
      </c>
      <c r="D20" s="247">
        <v>44</v>
      </c>
      <c r="E20" s="103">
        <v>823</v>
      </c>
      <c r="F20" s="1" t="s">
        <v>67</v>
      </c>
      <c r="G20" s="112">
        <v>51</v>
      </c>
      <c r="H20" s="103">
        <v>822</v>
      </c>
      <c r="I20" s="1" t="s">
        <v>67</v>
      </c>
      <c r="J20" s="112">
        <v>56</v>
      </c>
      <c r="K20" s="103">
        <v>802</v>
      </c>
      <c r="L20" s="1" t="s">
        <v>67</v>
      </c>
      <c r="M20" s="112">
        <v>51</v>
      </c>
      <c r="N20" s="103">
        <v>758</v>
      </c>
      <c r="O20" s="1" t="s">
        <v>67</v>
      </c>
      <c r="P20" s="112">
        <v>43</v>
      </c>
      <c r="Q20" s="103">
        <v>775</v>
      </c>
      <c r="R20" s="1" t="s">
        <v>67</v>
      </c>
      <c r="S20" s="112">
        <v>43</v>
      </c>
      <c r="T20" s="103">
        <v>815</v>
      </c>
      <c r="U20" s="1" t="s">
        <v>67</v>
      </c>
      <c r="V20" s="112">
        <v>38</v>
      </c>
      <c r="W20" s="103">
        <v>789</v>
      </c>
      <c r="X20" s="1" t="s">
        <v>67</v>
      </c>
      <c r="Y20" s="112">
        <v>37</v>
      </c>
      <c r="Z20" s="103">
        <v>771</v>
      </c>
      <c r="AA20" s="1" t="s">
        <v>67</v>
      </c>
      <c r="AB20" s="112">
        <v>35</v>
      </c>
      <c r="AC20" s="103">
        <v>757</v>
      </c>
      <c r="AD20" s="1" t="s">
        <v>67</v>
      </c>
      <c r="AE20" s="112">
        <v>35</v>
      </c>
      <c r="AF20" s="103">
        <v>761</v>
      </c>
      <c r="AG20" s="1" t="s">
        <v>67</v>
      </c>
      <c r="AH20" s="112">
        <v>33</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25">
      <c r="A21" s="38" t="s">
        <v>150</v>
      </c>
      <c r="B21" s="266">
        <v>120</v>
      </c>
      <c r="C21" s="229" t="s">
        <v>179</v>
      </c>
      <c r="D21" s="247">
        <v>20</v>
      </c>
      <c r="E21" s="91">
        <v>140</v>
      </c>
      <c r="F21" s="1" t="s">
        <v>73</v>
      </c>
      <c r="G21" s="112">
        <v>29</v>
      </c>
      <c r="H21" s="91">
        <v>112</v>
      </c>
      <c r="I21" s="1" t="s">
        <v>73</v>
      </c>
      <c r="J21" s="112">
        <v>26</v>
      </c>
      <c r="K21" s="91">
        <v>102</v>
      </c>
      <c r="L21" s="1" t="s">
        <v>73</v>
      </c>
      <c r="M21" s="112">
        <v>21</v>
      </c>
      <c r="N21" s="88">
        <v>110</v>
      </c>
      <c r="O21" s="1" t="s">
        <v>70</v>
      </c>
      <c r="P21" s="112">
        <v>21</v>
      </c>
      <c r="Q21" s="88">
        <v>124</v>
      </c>
      <c r="R21" s="1" t="s">
        <v>70</v>
      </c>
      <c r="S21" s="112">
        <v>21</v>
      </c>
      <c r="T21" s="88">
        <v>135</v>
      </c>
      <c r="U21" s="1" t="s">
        <v>70</v>
      </c>
      <c r="V21" s="112">
        <v>18</v>
      </c>
      <c r="W21" s="88">
        <v>126</v>
      </c>
      <c r="X21" s="1" t="s">
        <v>70</v>
      </c>
      <c r="Y21" s="112">
        <v>17</v>
      </c>
      <c r="Z21" s="88">
        <v>131</v>
      </c>
      <c r="AA21" s="1" t="s">
        <v>70</v>
      </c>
      <c r="AB21" s="112">
        <v>16</v>
      </c>
      <c r="AC21" s="88">
        <v>116</v>
      </c>
      <c r="AD21" s="1" t="s">
        <v>70</v>
      </c>
      <c r="AE21" s="112">
        <v>16</v>
      </c>
      <c r="AF21" s="88">
        <v>125</v>
      </c>
      <c r="AG21" s="1" t="s">
        <v>70</v>
      </c>
      <c r="AH21" s="112">
        <v>15</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25">
      <c r="A22" s="41" t="s">
        <v>151</v>
      </c>
      <c r="B22" s="266">
        <v>269</v>
      </c>
      <c r="C22" s="230" t="s">
        <v>179</v>
      </c>
      <c r="D22" s="249">
        <v>29</v>
      </c>
      <c r="E22" s="89">
        <v>257</v>
      </c>
      <c r="F22" s="104" t="s">
        <v>70</v>
      </c>
      <c r="G22" s="113">
        <v>34</v>
      </c>
      <c r="H22" s="89">
        <v>250</v>
      </c>
      <c r="I22" s="104" t="s">
        <v>70</v>
      </c>
      <c r="J22" s="113">
        <v>37</v>
      </c>
      <c r="K22" s="89">
        <v>242</v>
      </c>
      <c r="L22" s="104" t="s">
        <v>70</v>
      </c>
      <c r="M22" s="113">
        <v>29</v>
      </c>
      <c r="N22" s="89">
        <v>276</v>
      </c>
      <c r="O22" s="104" t="s">
        <v>70</v>
      </c>
      <c r="P22" s="113">
        <v>29</v>
      </c>
      <c r="Q22" s="89">
        <v>278</v>
      </c>
      <c r="R22" s="104" t="s">
        <v>70</v>
      </c>
      <c r="S22" s="113">
        <v>33</v>
      </c>
      <c r="T22" s="89">
        <v>233</v>
      </c>
      <c r="U22" s="104" t="s">
        <v>70</v>
      </c>
      <c r="V22" s="113">
        <v>26</v>
      </c>
      <c r="W22" s="89">
        <v>260</v>
      </c>
      <c r="X22" s="104" t="s">
        <v>70</v>
      </c>
      <c r="Y22" s="113">
        <v>26</v>
      </c>
      <c r="Z22" s="161">
        <v>265</v>
      </c>
      <c r="AA22" s="104" t="s">
        <v>67</v>
      </c>
      <c r="AB22" s="113">
        <v>26</v>
      </c>
      <c r="AC22" s="161">
        <v>264</v>
      </c>
      <c r="AD22" s="104" t="s">
        <v>67</v>
      </c>
      <c r="AE22" s="113">
        <v>25</v>
      </c>
      <c r="AF22" s="161">
        <v>250</v>
      </c>
      <c r="AG22" s="104" t="s">
        <v>67</v>
      </c>
      <c r="AH22" s="113">
        <v>23</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25">
      <c r="A23" s="38" t="s">
        <v>152</v>
      </c>
      <c r="B23" s="254">
        <v>406</v>
      </c>
      <c r="C23" s="228" t="s">
        <v>182</v>
      </c>
      <c r="D23" s="245">
        <v>38</v>
      </c>
      <c r="E23" s="87">
        <v>357</v>
      </c>
      <c r="F23" s="105" t="s">
        <v>70</v>
      </c>
      <c r="G23" s="111">
        <v>42</v>
      </c>
      <c r="H23" s="87">
        <v>340</v>
      </c>
      <c r="I23" s="105" t="s">
        <v>70</v>
      </c>
      <c r="J23" s="111">
        <v>45</v>
      </c>
      <c r="K23" s="87">
        <v>308</v>
      </c>
      <c r="L23" s="105" t="s">
        <v>70</v>
      </c>
      <c r="M23" s="111">
        <v>35</v>
      </c>
      <c r="N23" s="87">
        <v>333</v>
      </c>
      <c r="O23" s="105" t="s">
        <v>70</v>
      </c>
      <c r="P23" s="111">
        <v>34</v>
      </c>
      <c r="Q23" s="87">
        <v>285</v>
      </c>
      <c r="R23" s="105" t="s">
        <v>70</v>
      </c>
      <c r="S23" s="111">
        <v>32</v>
      </c>
      <c r="T23" s="108">
        <v>297</v>
      </c>
      <c r="U23" s="105" t="s">
        <v>67</v>
      </c>
      <c r="V23" s="111">
        <v>27</v>
      </c>
      <c r="W23" s="108">
        <v>339</v>
      </c>
      <c r="X23" s="105" t="s">
        <v>67</v>
      </c>
      <c r="Y23" s="111">
        <v>30</v>
      </c>
      <c r="Z23" s="108">
        <v>291</v>
      </c>
      <c r="AA23" s="105" t="s">
        <v>67</v>
      </c>
      <c r="AB23" s="111">
        <v>27</v>
      </c>
      <c r="AC23" s="108">
        <v>291</v>
      </c>
      <c r="AD23" s="105" t="s">
        <v>67</v>
      </c>
      <c r="AE23" s="111">
        <v>27</v>
      </c>
      <c r="AF23" s="108">
        <v>305</v>
      </c>
      <c r="AG23" s="105" t="s">
        <v>67</v>
      </c>
      <c r="AH23" s="111">
        <v>26</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25">
      <c r="A24" s="38" t="s">
        <v>153</v>
      </c>
      <c r="B24" s="266">
        <v>236</v>
      </c>
      <c r="C24" s="229" t="s">
        <v>179</v>
      </c>
      <c r="D24" s="247">
        <v>28</v>
      </c>
      <c r="E24" s="88">
        <v>215</v>
      </c>
      <c r="F24" s="1" t="s">
        <v>70</v>
      </c>
      <c r="G24" s="112">
        <v>29</v>
      </c>
      <c r="H24" s="88">
        <v>216</v>
      </c>
      <c r="I24" s="1" t="s">
        <v>70</v>
      </c>
      <c r="J24" s="112">
        <v>35</v>
      </c>
      <c r="K24" s="88">
        <v>181</v>
      </c>
      <c r="L24" s="1" t="s">
        <v>70</v>
      </c>
      <c r="M24" s="112">
        <v>27</v>
      </c>
      <c r="N24" s="88">
        <v>224</v>
      </c>
      <c r="O24" s="1" t="s">
        <v>70</v>
      </c>
      <c r="P24" s="112">
        <v>28</v>
      </c>
      <c r="Q24" s="88">
        <v>173</v>
      </c>
      <c r="R24" s="1" t="s">
        <v>70</v>
      </c>
      <c r="S24" s="112">
        <v>26</v>
      </c>
      <c r="T24" s="88">
        <v>182</v>
      </c>
      <c r="U24" s="1" t="s">
        <v>70</v>
      </c>
      <c r="V24" s="112">
        <v>21</v>
      </c>
      <c r="W24" s="88">
        <v>195</v>
      </c>
      <c r="X24" s="1" t="s">
        <v>70</v>
      </c>
      <c r="Y24" s="112">
        <v>22</v>
      </c>
      <c r="Z24" s="88">
        <v>169</v>
      </c>
      <c r="AA24" s="1" t="s">
        <v>70</v>
      </c>
      <c r="AB24" s="112">
        <v>19</v>
      </c>
      <c r="AC24" s="88">
        <v>171</v>
      </c>
      <c r="AD24" s="1" t="s">
        <v>70</v>
      </c>
      <c r="AE24" s="112">
        <v>20</v>
      </c>
      <c r="AF24" s="88">
        <v>184</v>
      </c>
      <c r="AG24" s="1" t="s">
        <v>70</v>
      </c>
      <c r="AH24" s="112">
        <v>20</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25">
      <c r="A25" s="38" t="s">
        <v>151</v>
      </c>
      <c r="B25" s="266">
        <v>170</v>
      </c>
      <c r="C25" s="229" t="s">
        <v>179</v>
      </c>
      <c r="D25" s="247">
        <v>25</v>
      </c>
      <c r="E25" s="89">
        <v>142</v>
      </c>
      <c r="F25" s="104" t="s">
        <v>70</v>
      </c>
      <c r="G25" s="113">
        <v>28</v>
      </c>
      <c r="H25" s="92">
        <v>124</v>
      </c>
      <c r="I25" s="104" t="s">
        <v>73</v>
      </c>
      <c r="J25" s="113">
        <v>30</v>
      </c>
      <c r="K25" s="89">
        <v>127</v>
      </c>
      <c r="L25" s="104" t="s">
        <v>70</v>
      </c>
      <c r="M25" s="113">
        <v>23</v>
      </c>
      <c r="N25" s="89">
        <v>109</v>
      </c>
      <c r="O25" s="104" t="s">
        <v>70</v>
      </c>
      <c r="P25" s="113">
        <v>18</v>
      </c>
      <c r="Q25" s="89">
        <v>112</v>
      </c>
      <c r="R25" s="104" t="s">
        <v>70</v>
      </c>
      <c r="S25" s="113">
        <v>21</v>
      </c>
      <c r="T25" s="89">
        <v>115</v>
      </c>
      <c r="U25" s="104" t="s">
        <v>70</v>
      </c>
      <c r="V25" s="113">
        <v>19</v>
      </c>
      <c r="W25" s="89">
        <v>145</v>
      </c>
      <c r="X25" s="104" t="s">
        <v>70</v>
      </c>
      <c r="Y25" s="113">
        <v>20</v>
      </c>
      <c r="Z25" s="89">
        <v>122</v>
      </c>
      <c r="AA25" s="104" t="s">
        <v>70</v>
      </c>
      <c r="AB25" s="113">
        <v>19</v>
      </c>
      <c r="AC25" s="89">
        <v>119</v>
      </c>
      <c r="AD25" s="104" t="s">
        <v>70</v>
      </c>
      <c r="AE25" s="113">
        <v>18</v>
      </c>
      <c r="AF25" s="89">
        <v>122</v>
      </c>
      <c r="AG25" s="104" t="s">
        <v>70</v>
      </c>
      <c r="AH25" s="113">
        <v>19</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25">
      <c r="A26" s="39" t="s">
        <v>154</v>
      </c>
      <c r="B26" s="267">
        <v>24</v>
      </c>
      <c r="C26" s="231" t="s">
        <v>181</v>
      </c>
      <c r="D26" s="253">
        <v>10</v>
      </c>
      <c r="E26" s="110">
        <v>21</v>
      </c>
      <c r="F26" s="1" t="s">
        <v>76</v>
      </c>
      <c r="G26" s="113">
        <v>11</v>
      </c>
      <c r="H26" s="110">
        <v>38</v>
      </c>
      <c r="I26" s="1" t="s">
        <v>76</v>
      </c>
      <c r="J26" s="113">
        <v>15</v>
      </c>
      <c r="K26" s="92">
        <v>50</v>
      </c>
      <c r="L26" s="1" t="s">
        <v>73</v>
      </c>
      <c r="M26" s="113">
        <v>16</v>
      </c>
      <c r="N26" s="92">
        <v>56</v>
      </c>
      <c r="O26" s="1" t="s">
        <v>73</v>
      </c>
      <c r="P26" s="113">
        <v>15</v>
      </c>
      <c r="Q26" s="92">
        <v>43</v>
      </c>
      <c r="R26" s="1" t="s">
        <v>73</v>
      </c>
      <c r="S26" s="113">
        <v>14</v>
      </c>
      <c r="T26" s="92">
        <v>48</v>
      </c>
      <c r="U26" s="1" t="s">
        <v>73</v>
      </c>
      <c r="V26" s="113">
        <v>12</v>
      </c>
      <c r="W26" s="92">
        <v>34</v>
      </c>
      <c r="X26" s="1" t="s">
        <v>73</v>
      </c>
      <c r="Y26" s="113">
        <v>10</v>
      </c>
      <c r="Z26" s="92">
        <v>40</v>
      </c>
      <c r="AA26" s="1" t="s">
        <v>73</v>
      </c>
      <c r="AB26" s="113">
        <v>11</v>
      </c>
      <c r="AC26" s="92">
        <v>41</v>
      </c>
      <c r="AD26" s="1" t="s">
        <v>73</v>
      </c>
      <c r="AE26" s="113">
        <v>11</v>
      </c>
      <c r="AF26" s="92">
        <v>42</v>
      </c>
      <c r="AG26" s="1" t="s">
        <v>73</v>
      </c>
      <c r="AH26" s="113">
        <v>10</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25">
      <c r="A27" s="40" t="s">
        <v>155</v>
      </c>
      <c r="B27" s="251">
        <v>3941</v>
      </c>
      <c r="C27" s="231" t="s">
        <v>182</v>
      </c>
      <c r="D27" s="253">
        <v>78</v>
      </c>
      <c r="E27" s="107">
        <v>3905</v>
      </c>
      <c r="F27" s="106" t="s">
        <v>67</v>
      </c>
      <c r="G27" s="114">
        <v>87</v>
      </c>
      <c r="H27" s="107">
        <v>3787</v>
      </c>
      <c r="I27" s="106" t="s">
        <v>67</v>
      </c>
      <c r="J27" s="114">
        <v>100</v>
      </c>
      <c r="K27" s="107">
        <v>3860</v>
      </c>
      <c r="L27" s="106" t="s">
        <v>67</v>
      </c>
      <c r="M27" s="114">
        <v>90</v>
      </c>
      <c r="N27" s="107">
        <v>3734</v>
      </c>
      <c r="O27" s="106" t="s">
        <v>67</v>
      </c>
      <c r="P27" s="114">
        <v>72</v>
      </c>
      <c r="Q27" s="107">
        <v>3826</v>
      </c>
      <c r="R27" s="106" t="s">
        <v>67</v>
      </c>
      <c r="S27" s="114">
        <v>86</v>
      </c>
      <c r="T27" s="107">
        <v>3693</v>
      </c>
      <c r="U27" s="106" t="s">
        <v>67</v>
      </c>
      <c r="V27" s="114">
        <v>51</v>
      </c>
      <c r="W27" s="107">
        <v>3655</v>
      </c>
      <c r="X27" s="106" t="s">
        <v>67</v>
      </c>
      <c r="Y27" s="114">
        <v>51</v>
      </c>
      <c r="Z27" s="107">
        <v>3623</v>
      </c>
      <c r="AA27" s="106" t="s">
        <v>67</v>
      </c>
      <c r="AB27" s="114">
        <v>49</v>
      </c>
      <c r="AC27" s="107">
        <v>3654</v>
      </c>
      <c r="AD27" s="106" t="s">
        <v>67</v>
      </c>
      <c r="AE27" s="114">
        <v>52</v>
      </c>
      <c r="AF27" s="107">
        <v>3615</v>
      </c>
      <c r="AG27" s="106" t="s">
        <v>67</v>
      </c>
      <c r="AH27" s="114">
        <v>47</v>
      </c>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row r="28" spans="1:256" ht="15" customHeight="1" x14ac:dyDescent="0.25">
      <c r="A28" s="3"/>
      <c r="B28" s="3"/>
      <c r="C28" s="3"/>
      <c r="D28" s="3"/>
      <c r="E28" s="3"/>
      <c r="F28" s="3"/>
      <c r="G28" s="3"/>
      <c r="H28" s="3"/>
      <c r="I28" s="3"/>
      <c r="J28" s="3"/>
      <c r="K28" s="3"/>
      <c r="L28" s="3"/>
      <c r="M28" s="3"/>
      <c r="N28" s="3"/>
      <c r="O28" s="3"/>
      <c r="P28" s="162"/>
      <c r="Q28" s="162"/>
      <c r="R28" s="3"/>
      <c r="S28" s="3"/>
      <c r="T28" s="3"/>
      <c r="U28" s="3"/>
      <c r="V28" s="3"/>
      <c r="W28" s="3"/>
      <c r="X28" s="3"/>
      <c r="Y28" s="3"/>
      <c r="Z28" s="3"/>
      <c r="AA28" s="3"/>
      <c r="AB28" s="162"/>
      <c r="AC28" s="162"/>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row>
  </sheetData>
  <hyperlinks>
    <hyperlink ref="A9" r:id="rId1" xr:uid="{00000000-0004-0000-0B00-000000000000}"/>
    <hyperlink ref="A10" r:id="rId2" xr:uid="{00000000-0004-0000-0B00-000001000000}"/>
    <hyperlink ref="A11" r:id="rId3" xr:uid="{00000000-0004-0000-0B00-000002000000}"/>
  </hyperlinks>
  <pageMargins left="0.7" right="0.7" top="0.75" bottom="0.75" header="0.3" footer="0.3"/>
  <pageSetup paperSize="9" orientation="portrait"/>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HO27"/>
  <sheetViews>
    <sheetView showGridLines="0" zoomScaleNormal="10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23" ht="19.5" customHeight="1" x14ac:dyDescent="0.25">
      <c r="A1" s="196" t="s">
        <v>0</v>
      </c>
    </row>
    <row r="2" spans="1:223" ht="31.2" customHeight="1" x14ac:dyDescent="0.25">
      <c r="A2" s="197" t="s">
        <v>170</v>
      </c>
    </row>
    <row r="3" spans="1:223" ht="15.6" customHeight="1" x14ac:dyDescent="0.25">
      <c r="A3" s="38" t="s">
        <v>171</v>
      </c>
    </row>
    <row r="4" spans="1:223" ht="15.6" customHeight="1" x14ac:dyDescent="0.25">
      <c r="A4" s="38" t="s">
        <v>102</v>
      </c>
    </row>
    <row r="5" spans="1:223" ht="15.75" customHeight="1" x14ac:dyDescent="0.25">
      <c r="A5" s="38" t="s">
        <v>103</v>
      </c>
    </row>
    <row r="6" spans="1:223" ht="15.75" customHeight="1" x14ac:dyDescent="0.25">
      <c r="A6" s="38" t="s">
        <v>188</v>
      </c>
    </row>
    <row r="7" spans="1:223" ht="15.6" customHeight="1" x14ac:dyDescent="0.3">
      <c r="A7" s="38" t="s">
        <v>189</v>
      </c>
      <c r="B7" s="150"/>
      <c r="C7" s="150"/>
      <c r="D7" s="150"/>
      <c r="E7" s="150"/>
      <c r="F7" s="150"/>
      <c r="G7" s="150"/>
      <c r="H7" s="150"/>
      <c r="I7" s="150"/>
      <c r="J7" s="150"/>
      <c r="K7" s="150"/>
      <c r="L7" s="150"/>
      <c r="M7" s="150"/>
      <c r="N7" s="150"/>
      <c r="O7" s="150"/>
      <c r="P7" s="150"/>
      <c r="Q7" s="150"/>
      <c r="R7" s="150"/>
      <c r="S7" s="150"/>
      <c r="T7" s="150"/>
      <c r="U7" s="150"/>
      <c r="V7" s="150"/>
      <c r="W7" s="149"/>
      <c r="X7" s="149"/>
      <c r="Y7" s="149"/>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49"/>
      <c r="CH7" s="149"/>
      <c r="CI7" s="149"/>
      <c r="CJ7" s="149"/>
      <c r="CK7" s="149"/>
      <c r="CL7" s="149"/>
      <c r="CM7" s="149"/>
      <c r="CN7" s="149"/>
      <c r="CO7" s="149"/>
      <c r="CP7" s="149"/>
      <c r="CQ7" s="149"/>
      <c r="CR7" s="149"/>
      <c r="CS7" s="149"/>
      <c r="CT7" s="149"/>
      <c r="CU7" s="149"/>
      <c r="CV7" s="149"/>
      <c r="CW7" s="149"/>
      <c r="CX7" s="149"/>
      <c r="CY7" s="149"/>
      <c r="CZ7" s="149"/>
      <c r="DA7" s="149"/>
      <c r="DB7" s="149"/>
      <c r="DC7" s="149"/>
      <c r="DD7" s="149"/>
      <c r="DE7" s="149"/>
      <c r="DF7" s="149"/>
      <c r="DG7" s="149"/>
      <c r="DH7" s="149"/>
      <c r="DI7" s="149"/>
      <c r="DJ7" s="149"/>
      <c r="DK7" s="149"/>
      <c r="DL7" s="149"/>
      <c r="DM7" s="149"/>
      <c r="DN7" s="149"/>
      <c r="DO7" s="149"/>
      <c r="DP7" s="149"/>
      <c r="DQ7" s="149"/>
      <c r="DR7" s="149"/>
      <c r="DS7" s="149"/>
      <c r="DT7" s="149"/>
      <c r="DU7" s="149"/>
      <c r="DV7" s="149"/>
      <c r="DW7" s="149"/>
      <c r="DX7" s="149"/>
      <c r="DY7" s="149"/>
      <c r="DZ7" s="149"/>
      <c r="EA7" s="149"/>
      <c r="EB7" s="149"/>
      <c r="EC7" s="149"/>
      <c r="ED7" s="149"/>
      <c r="EE7" s="149"/>
      <c r="EF7" s="149"/>
      <c r="EG7" s="149"/>
      <c r="EH7" s="149"/>
      <c r="EI7" s="149"/>
      <c r="EJ7" s="149"/>
      <c r="EK7" s="149"/>
      <c r="EL7" s="149"/>
      <c r="EM7" s="149"/>
      <c r="EN7" s="149"/>
      <c r="EO7" s="149"/>
      <c r="EP7" s="149"/>
      <c r="EQ7" s="149"/>
      <c r="ER7" s="149"/>
      <c r="ES7" s="149"/>
      <c r="ET7" s="149"/>
      <c r="EU7" s="149"/>
      <c r="EV7" s="149"/>
      <c r="EW7" s="149"/>
      <c r="EX7" s="149"/>
      <c r="EY7" s="149"/>
      <c r="EZ7" s="149"/>
      <c r="FA7" s="149"/>
      <c r="FB7" s="149"/>
      <c r="FC7" s="149"/>
      <c r="FD7" s="149"/>
      <c r="FE7" s="149"/>
      <c r="FF7" s="149"/>
      <c r="FG7" s="149"/>
      <c r="FH7" s="149"/>
      <c r="FI7" s="149"/>
      <c r="FJ7" s="149"/>
      <c r="FK7" s="149"/>
      <c r="FL7" s="149"/>
      <c r="FM7" s="149"/>
      <c r="FN7" s="149"/>
      <c r="FO7" s="149"/>
      <c r="FP7" s="149"/>
      <c r="FQ7" s="149"/>
      <c r="FR7" s="149"/>
      <c r="FS7" s="149"/>
      <c r="FT7" s="149"/>
      <c r="FU7" s="149"/>
      <c r="FV7" s="149"/>
      <c r="FW7" s="149"/>
      <c r="FX7" s="149"/>
      <c r="FY7" s="149"/>
      <c r="FZ7" s="149"/>
      <c r="GA7" s="149"/>
      <c r="GB7" s="149"/>
      <c r="GC7" s="149"/>
      <c r="GD7" s="149"/>
      <c r="GE7" s="149"/>
      <c r="GF7" s="149"/>
      <c r="GG7" s="149"/>
      <c r="GH7" s="149"/>
      <c r="GI7" s="149"/>
      <c r="GJ7" s="149"/>
      <c r="GK7" s="149"/>
      <c r="GL7" s="149"/>
      <c r="GM7" s="149"/>
      <c r="GN7" s="149"/>
      <c r="GO7" s="149"/>
      <c r="GP7" s="149"/>
      <c r="GQ7" s="149"/>
      <c r="GR7" s="149"/>
      <c r="GS7" s="149"/>
      <c r="GT7" s="149"/>
      <c r="GU7" s="149"/>
      <c r="GV7" s="149"/>
      <c r="GW7" s="149"/>
      <c r="GX7" s="149"/>
      <c r="GY7" s="149"/>
      <c r="GZ7" s="149"/>
      <c r="HA7" s="149"/>
      <c r="HB7" s="149"/>
      <c r="HC7" s="149"/>
      <c r="HD7" s="149"/>
      <c r="HE7" s="149"/>
      <c r="HF7" s="149"/>
      <c r="HG7" s="149"/>
      <c r="HH7" s="149"/>
      <c r="HI7" s="149"/>
      <c r="HJ7" s="149"/>
      <c r="HK7" s="149"/>
      <c r="HL7" s="149"/>
      <c r="HM7" s="149"/>
      <c r="HN7" s="149"/>
      <c r="HO7" s="149"/>
    </row>
    <row r="8" spans="1:223" ht="31.2" customHeight="1" x14ac:dyDescent="0.25">
      <c r="A8" s="48" t="s">
        <v>104</v>
      </c>
    </row>
    <row r="9" spans="1:223" x14ac:dyDescent="0.25">
      <c r="A9" s="185" t="s">
        <v>105</v>
      </c>
    </row>
    <row r="10" spans="1:223" x14ac:dyDescent="0.25">
      <c r="A10" s="185" t="s">
        <v>106</v>
      </c>
    </row>
    <row r="11" spans="1:223" ht="31.2" customHeight="1" x14ac:dyDescent="0.25">
      <c r="A11" s="195" t="s">
        <v>107</v>
      </c>
    </row>
    <row r="12" spans="1:223" ht="31.95" customHeight="1" x14ac:dyDescent="0.25">
      <c r="A12" s="109" t="s">
        <v>108</v>
      </c>
      <c r="B12" s="57" t="s">
        <v>109</v>
      </c>
      <c r="C12" s="42" t="s">
        <v>110</v>
      </c>
      <c r="D12" s="43" t="s">
        <v>111</v>
      </c>
      <c r="E12" s="57" t="s">
        <v>112</v>
      </c>
      <c r="F12" s="42" t="s">
        <v>113</v>
      </c>
      <c r="G12" s="43" t="s">
        <v>114</v>
      </c>
      <c r="H12" s="163" t="s">
        <v>115</v>
      </c>
      <c r="I12" s="163" t="s">
        <v>116</v>
      </c>
      <c r="J12" s="163" t="s">
        <v>117</v>
      </c>
      <c r="K12" s="164" t="s">
        <v>118</v>
      </c>
      <c r="L12" s="163" t="s">
        <v>119</v>
      </c>
      <c r="M12" s="165" t="s">
        <v>120</v>
      </c>
      <c r="N12" s="164" t="s">
        <v>121</v>
      </c>
      <c r="O12" s="163" t="s">
        <v>122</v>
      </c>
      <c r="P12" s="163" t="s">
        <v>123</v>
      </c>
      <c r="Q12" s="164" t="s">
        <v>124</v>
      </c>
      <c r="R12" s="163" t="s">
        <v>125</v>
      </c>
      <c r="S12" s="163" t="s">
        <v>126</v>
      </c>
      <c r="T12" s="164" t="s">
        <v>127</v>
      </c>
      <c r="U12" s="163" t="s">
        <v>128</v>
      </c>
      <c r="V12" s="165" t="s">
        <v>129</v>
      </c>
      <c r="W12" s="164" t="s">
        <v>130</v>
      </c>
      <c r="X12" s="163" t="s">
        <v>131</v>
      </c>
      <c r="Y12" s="165" t="s">
        <v>132</v>
      </c>
      <c r="Z12" s="163" t="s">
        <v>133</v>
      </c>
      <c r="AA12" s="163" t="s">
        <v>134</v>
      </c>
      <c r="AB12" s="165" t="s">
        <v>135</v>
      </c>
      <c r="AC12" s="164" t="s">
        <v>136</v>
      </c>
      <c r="AD12" s="163" t="s">
        <v>137</v>
      </c>
      <c r="AE12" s="165" t="s">
        <v>138</v>
      </c>
      <c r="AF12" s="164" t="s">
        <v>139</v>
      </c>
      <c r="AG12" s="163" t="s">
        <v>140</v>
      </c>
      <c r="AH12" s="165" t="s">
        <v>141</v>
      </c>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row>
    <row r="13" spans="1:223" ht="15" customHeight="1" x14ac:dyDescent="0.25">
      <c r="A13" s="38" t="s">
        <v>142</v>
      </c>
      <c r="B13" s="218">
        <v>779</v>
      </c>
      <c r="C13" s="228" t="s">
        <v>182</v>
      </c>
      <c r="D13" s="219">
        <v>72</v>
      </c>
      <c r="E13" s="87">
        <v>777</v>
      </c>
      <c r="F13" s="47" t="s">
        <v>70</v>
      </c>
      <c r="G13" s="129">
        <v>77</v>
      </c>
      <c r="H13" s="87">
        <v>673</v>
      </c>
      <c r="I13" s="47" t="s">
        <v>70</v>
      </c>
      <c r="J13" s="129">
        <v>67</v>
      </c>
      <c r="K13" s="87">
        <v>729</v>
      </c>
      <c r="L13" s="49" t="s">
        <v>70</v>
      </c>
      <c r="M13" s="96">
        <v>76</v>
      </c>
      <c r="N13" s="127">
        <v>707</v>
      </c>
      <c r="O13" s="49" t="s">
        <v>67</v>
      </c>
      <c r="P13" s="96">
        <v>56</v>
      </c>
      <c r="Q13" s="87">
        <v>710</v>
      </c>
      <c r="R13" s="49" t="s">
        <v>70</v>
      </c>
      <c r="S13" s="96">
        <v>78</v>
      </c>
      <c r="T13" s="127">
        <v>745</v>
      </c>
      <c r="U13" s="49" t="s">
        <v>67</v>
      </c>
      <c r="V13" s="96">
        <v>59</v>
      </c>
      <c r="W13" s="127">
        <v>729</v>
      </c>
      <c r="X13" s="49" t="s">
        <v>67</v>
      </c>
      <c r="Y13" s="96">
        <v>54</v>
      </c>
      <c r="Z13" s="127">
        <v>671</v>
      </c>
      <c r="AA13" s="49" t="s">
        <v>67</v>
      </c>
      <c r="AB13" s="96">
        <v>59</v>
      </c>
      <c r="AC13" s="127">
        <v>616</v>
      </c>
      <c r="AD13" s="49" t="s">
        <v>67</v>
      </c>
      <c r="AE13" s="96">
        <v>49</v>
      </c>
      <c r="AF13" s="134">
        <v>681</v>
      </c>
      <c r="AG13" s="49" t="s">
        <v>67</v>
      </c>
      <c r="AH13" s="82">
        <v>54</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row>
    <row r="14" spans="1:223" ht="15" customHeight="1" x14ac:dyDescent="0.25">
      <c r="A14" s="38" t="s">
        <v>143</v>
      </c>
      <c r="B14" s="200">
        <v>333</v>
      </c>
      <c r="C14" s="229" t="s">
        <v>179</v>
      </c>
      <c r="D14" s="220">
        <v>34</v>
      </c>
      <c r="E14" s="88">
        <v>308</v>
      </c>
      <c r="F14" s="56" t="s">
        <v>70</v>
      </c>
      <c r="G14" s="130">
        <v>36</v>
      </c>
      <c r="H14" s="88">
        <v>309</v>
      </c>
      <c r="I14" s="56" t="s">
        <v>70</v>
      </c>
      <c r="J14" s="130">
        <v>40</v>
      </c>
      <c r="K14" s="88">
        <v>316</v>
      </c>
      <c r="L14" s="44" t="s">
        <v>70</v>
      </c>
      <c r="M14" s="94">
        <v>32</v>
      </c>
      <c r="N14" s="55">
        <v>318</v>
      </c>
      <c r="O14" s="44" t="s">
        <v>67</v>
      </c>
      <c r="P14" s="94">
        <v>30</v>
      </c>
      <c r="Q14" s="88">
        <v>332</v>
      </c>
      <c r="R14" s="44" t="s">
        <v>70</v>
      </c>
      <c r="S14" s="94">
        <v>34</v>
      </c>
      <c r="T14" s="55">
        <v>338</v>
      </c>
      <c r="U14" s="44" t="s">
        <v>67</v>
      </c>
      <c r="V14" s="94">
        <v>30</v>
      </c>
      <c r="W14" s="55">
        <v>343</v>
      </c>
      <c r="X14" s="44" t="s">
        <v>67</v>
      </c>
      <c r="Y14" s="94">
        <v>31</v>
      </c>
      <c r="Z14" s="55">
        <v>296</v>
      </c>
      <c r="AA14" s="44" t="s">
        <v>67</v>
      </c>
      <c r="AB14" s="94">
        <v>26</v>
      </c>
      <c r="AC14" s="55">
        <v>319</v>
      </c>
      <c r="AD14" s="44" t="s">
        <v>67</v>
      </c>
      <c r="AE14" s="94">
        <v>28</v>
      </c>
      <c r="AF14" s="120">
        <v>322</v>
      </c>
      <c r="AG14" s="44" t="s">
        <v>67</v>
      </c>
      <c r="AH14" s="79">
        <v>29</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row>
    <row r="15" spans="1:223" ht="15" customHeight="1" x14ac:dyDescent="0.25">
      <c r="A15" s="38" t="s">
        <v>144</v>
      </c>
      <c r="B15" s="217">
        <v>446</v>
      </c>
      <c r="C15" s="230" t="s">
        <v>179</v>
      </c>
      <c r="D15" s="222">
        <v>70</v>
      </c>
      <c r="E15" s="89">
        <v>469</v>
      </c>
      <c r="F15" s="45" t="s">
        <v>70</v>
      </c>
      <c r="G15" s="131">
        <v>66</v>
      </c>
      <c r="H15" s="89">
        <v>364</v>
      </c>
      <c r="I15" s="45" t="s">
        <v>70</v>
      </c>
      <c r="J15" s="131">
        <v>57</v>
      </c>
      <c r="K15" s="89">
        <v>414</v>
      </c>
      <c r="L15" s="46" t="s">
        <v>70</v>
      </c>
      <c r="M15" s="98">
        <v>72</v>
      </c>
      <c r="N15" s="89">
        <v>390</v>
      </c>
      <c r="O15" s="46" t="s">
        <v>70</v>
      </c>
      <c r="P15" s="98">
        <v>50</v>
      </c>
      <c r="Q15" s="89">
        <v>378</v>
      </c>
      <c r="R15" s="46" t="s">
        <v>70</v>
      </c>
      <c r="S15" s="98">
        <v>72</v>
      </c>
      <c r="T15" s="89">
        <v>407</v>
      </c>
      <c r="U15" s="46" t="s">
        <v>70</v>
      </c>
      <c r="V15" s="98">
        <v>52</v>
      </c>
      <c r="W15" s="89">
        <v>386</v>
      </c>
      <c r="X15" s="46" t="s">
        <v>70</v>
      </c>
      <c r="Y15" s="98">
        <v>47</v>
      </c>
      <c r="Z15" s="89">
        <v>375</v>
      </c>
      <c r="AA15" s="46" t="s">
        <v>70</v>
      </c>
      <c r="AB15" s="98">
        <v>54</v>
      </c>
      <c r="AC15" s="89">
        <v>297</v>
      </c>
      <c r="AD15" s="46" t="s">
        <v>70</v>
      </c>
      <c r="AE15" s="98">
        <v>42</v>
      </c>
      <c r="AF15" s="135">
        <v>358</v>
      </c>
      <c r="AG15" s="46" t="s">
        <v>70</v>
      </c>
      <c r="AH15" s="84">
        <v>48</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row>
    <row r="16" spans="1:223" ht="15" customHeight="1" x14ac:dyDescent="0.25">
      <c r="A16" s="39" t="s">
        <v>145</v>
      </c>
      <c r="B16" s="268">
        <v>86</v>
      </c>
      <c r="C16" s="228" t="s">
        <v>180</v>
      </c>
      <c r="D16" s="224">
        <v>25</v>
      </c>
      <c r="E16" s="91">
        <v>71</v>
      </c>
      <c r="F16" s="56" t="s">
        <v>73</v>
      </c>
      <c r="G16" s="130">
        <v>23</v>
      </c>
      <c r="H16" s="91">
        <v>58</v>
      </c>
      <c r="I16" s="56" t="s">
        <v>73</v>
      </c>
      <c r="J16" s="130">
        <v>19</v>
      </c>
      <c r="K16" s="91">
        <v>64</v>
      </c>
      <c r="L16" s="44" t="s">
        <v>73</v>
      </c>
      <c r="M16" s="94">
        <v>18</v>
      </c>
      <c r="N16" s="91">
        <v>82</v>
      </c>
      <c r="O16" s="44" t="s">
        <v>73</v>
      </c>
      <c r="P16" s="94">
        <v>18</v>
      </c>
      <c r="Q16" s="91">
        <v>59</v>
      </c>
      <c r="R16" s="44" t="s">
        <v>73</v>
      </c>
      <c r="S16" s="94">
        <v>20</v>
      </c>
      <c r="T16" s="91">
        <v>75</v>
      </c>
      <c r="U16" s="44" t="s">
        <v>73</v>
      </c>
      <c r="V16" s="94">
        <v>17</v>
      </c>
      <c r="W16" s="91">
        <v>67</v>
      </c>
      <c r="X16" s="44" t="s">
        <v>73</v>
      </c>
      <c r="Y16" s="94">
        <v>15</v>
      </c>
      <c r="Z16" s="91">
        <v>76</v>
      </c>
      <c r="AA16" s="44" t="s">
        <v>73</v>
      </c>
      <c r="AB16" s="94">
        <v>18</v>
      </c>
      <c r="AC16" s="88">
        <v>80</v>
      </c>
      <c r="AD16" s="44" t="s">
        <v>70</v>
      </c>
      <c r="AE16" s="94">
        <v>15</v>
      </c>
      <c r="AF16" s="167">
        <v>65</v>
      </c>
      <c r="AG16" s="44" t="s">
        <v>73</v>
      </c>
      <c r="AH16" s="79">
        <v>13</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row>
    <row r="17" spans="1:34" ht="15" customHeight="1" x14ac:dyDescent="0.25">
      <c r="A17" s="38" t="s">
        <v>146</v>
      </c>
      <c r="B17" s="218">
        <v>1684</v>
      </c>
      <c r="C17" s="228" t="s">
        <v>182</v>
      </c>
      <c r="D17" s="224">
        <v>48</v>
      </c>
      <c r="E17" s="119">
        <v>1674</v>
      </c>
      <c r="F17" s="50" t="s">
        <v>67</v>
      </c>
      <c r="G17" s="132">
        <v>52</v>
      </c>
      <c r="H17" s="119">
        <v>1639</v>
      </c>
      <c r="I17" s="50" t="s">
        <v>67</v>
      </c>
      <c r="J17" s="132">
        <v>49</v>
      </c>
      <c r="K17" s="51">
        <v>1627</v>
      </c>
      <c r="L17" s="52" t="s">
        <v>67</v>
      </c>
      <c r="M17" s="95">
        <v>48</v>
      </c>
      <c r="N17" s="51">
        <v>1611</v>
      </c>
      <c r="O17" s="52" t="s">
        <v>67</v>
      </c>
      <c r="P17" s="95">
        <v>38</v>
      </c>
      <c r="Q17" s="51">
        <v>1652</v>
      </c>
      <c r="R17" s="52" t="s">
        <v>67</v>
      </c>
      <c r="S17" s="95">
        <v>45</v>
      </c>
      <c r="T17" s="51">
        <v>1625</v>
      </c>
      <c r="U17" s="52" t="s">
        <v>67</v>
      </c>
      <c r="V17" s="95">
        <v>36</v>
      </c>
      <c r="W17" s="51">
        <v>1622</v>
      </c>
      <c r="X17" s="52" t="s">
        <v>67</v>
      </c>
      <c r="Y17" s="95">
        <v>34</v>
      </c>
      <c r="Z17" s="51">
        <v>1604</v>
      </c>
      <c r="AA17" s="52" t="s">
        <v>67</v>
      </c>
      <c r="AB17" s="95">
        <v>35</v>
      </c>
      <c r="AC17" s="51">
        <v>1601</v>
      </c>
      <c r="AD17" s="52" t="s">
        <v>67</v>
      </c>
      <c r="AE17" s="95">
        <v>33</v>
      </c>
      <c r="AF17" s="121">
        <v>1592</v>
      </c>
      <c r="AG17" s="52" t="s">
        <v>67</v>
      </c>
      <c r="AH17" s="80">
        <v>34</v>
      </c>
    </row>
    <row r="18" spans="1:34" ht="15" customHeight="1" x14ac:dyDescent="0.25">
      <c r="A18" s="40" t="s">
        <v>147</v>
      </c>
      <c r="B18" s="218">
        <v>1494</v>
      </c>
      <c r="C18" s="228" t="s">
        <v>182</v>
      </c>
      <c r="D18" s="219">
        <v>50</v>
      </c>
      <c r="E18" s="54">
        <v>1458</v>
      </c>
      <c r="F18" s="56" t="s">
        <v>67</v>
      </c>
      <c r="G18" s="130">
        <v>53</v>
      </c>
      <c r="H18" s="54">
        <v>1421</v>
      </c>
      <c r="I18" s="56" t="s">
        <v>67</v>
      </c>
      <c r="J18" s="130">
        <v>51</v>
      </c>
      <c r="K18" s="55">
        <v>1399</v>
      </c>
      <c r="L18" s="44" t="s">
        <v>67</v>
      </c>
      <c r="M18" s="94">
        <v>45</v>
      </c>
      <c r="N18" s="55">
        <v>1404</v>
      </c>
      <c r="O18" s="44" t="s">
        <v>67</v>
      </c>
      <c r="P18" s="94">
        <v>43</v>
      </c>
      <c r="Q18" s="55">
        <v>1454</v>
      </c>
      <c r="R18" s="44" t="s">
        <v>67</v>
      </c>
      <c r="S18" s="94">
        <v>49</v>
      </c>
      <c r="T18" s="55">
        <v>1455</v>
      </c>
      <c r="U18" s="44" t="s">
        <v>67</v>
      </c>
      <c r="V18" s="94">
        <v>38</v>
      </c>
      <c r="W18" s="55">
        <v>1411</v>
      </c>
      <c r="X18" s="44" t="s">
        <v>67</v>
      </c>
      <c r="Y18" s="94">
        <v>36</v>
      </c>
      <c r="Z18" s="55">
        <v>1421</v>
      </c>
      <c r="AA18" s="44" t="s">
        <v>67</v>
      </c>
      <c r="AB18" s="94">
        <v>36</v>
      </c>
      <c r="AC18" s="55">
        <v>1409</v>
      </c>
      <c r="AD18" s="44" t="s">
        <v>67</v>
      </c>
      <c r="AE18" s="94">
        <v>36</v>
      </c>
      <c r="AF18" s="120">
        <v>1395</v>
      </c>
      <c r="AG18" s="44" t="s">
        <v>67</v>
      </c>
      <c r="AH18" s="166">
        <v>36</v>
      </c>
    </row>
    <row r="19" spans="1:34" ht="15" customHeight="1" x14ac:dyDescent="0.25">
      <c r="A19" s="38" t="s">
        <v>148</v>
      </c>
      <c r="B19" s="225">
        <v>829</v>
      </c>
      <c r="C19" s="229" t="s">
        <v>182</v>
      </c>
      <c r="D19" s="220">
        <v>56</v>
      </c>
      <c r="E19" s="54">
        <v>801</v>
      </c>
      <c r="F19" s="56" t="s">
        <v>67</v>
      </c>
      <c r="G19" s="130">
        <v>68</v>
      </c>
      <c r="H19" s="54">
        <v>746</v>
      </c>
      <c r="I19" s="56" t="s">
        <v>67</v>
      </c>
      <c r="J19" s="130">
        <v>61</v>
      </c>
      <c r="K19" s="55">
        <v>770</v>
      </c>
      <c r="L19" s="44" t="s">
        <v>67</v>
      </c>
      <c r="M19" s="94">
        <v>52</v>
      </c>
      <c r="N19" s="55">
        <v>770</v>
      </c>
      <c r="O19" s="44" t="s">
        <v>67</v>
      </c>
      <c r="P19" s="94">
        <v>52</v>
      </c>
      <c r="Q19" s="55">
        <v>806</v>
      </c>
      <c r="R19" s="44" t="s">
        <v>67</v>
      </c>
      <c r="S19" s="94">
        <v>55</v>
      </c>
      <c r="T19" s="55">
        <v>855</v>
      </c>
      <c r="U19" s="44" t="s">
        <v>67</v>
      </c>
      <c r="V19" s="94">
        <v>45</v>
      </c>
      <c r="W19" s="55">
        <v>809</v>
      </c>
      <c r="X19" s="44" t="s">
        <v>67</v>
      </c>
      <c r="Y19" s="94">
        <v>42</v>
      </c>
      <c r="Z19" s="55">
        <v>785</v>
      </c>
      <c r="AA19" s="44" t="s">
        <v>67</v>
      </c>
      <c r="AB19" s="94">
        <v>42</v>
      </c>
      <c r="AC19" s="55">
        <v>801</v>
      </c>
      <c r="AD19" s="44" t="s">
        <v>67</v>
      </c>
      <c r="AE19" s="94">
        <v>44</v>
      </c>
      <c r="AF19" s="120">
        <v>790</v>
      </c>
      <c r="AG19" s="44" t="s">
        <v>67</v>
      </c>
      <c r="AH19" s="166">
        <v>42</v>
      </c>
    </row>
    <row r="20" spans="1:34" ht="15" customHeight="1" x14ac:dyDescent="0.25">
      <c r="A20" s="38" t="s">
        <v>149</v>
      </c>
      <c r="B20" s="225">
        <v>464</v>
      </c>
      <c r="C20" s="229" t="s">
        <v>182</v>
      </c>
      <c r="D20" s="220">
        <v>33</v>
      </c>
      <c r="E20" s="54">
        <v>458</v>
      </c>
      <c r="F20" s="56" t="s">
        <v>67</v>
      </c>
      <c r="G20" s="130">
        <v>37</v>
      </c>
      <c r="H20" s="54">
        <v>454</v>
      </c>
      <c r="I20" s="56" t="s">
        <v>67</v>
      </c>
      <c r="J20" s="130">
        <v>37</v>
      </c>
      <c r="K20" s="55">
        <v>420</v>
      </c>
      <c r="L20" s="44" t="s">
        <v>67</v>
      </c>
      <c r="M20" s="94">
        <v>33</v>
      </c>
      <c r="N20" s="55">
        <v>415</v>
      </c>
      <c r="O20" s="44" t="s">
        <v>67</v>
      </c>
      <c r="P20" s="94">
        <v>29</v>
      </c>
      <c r="Q20" s="55">
        <v>449</v>
      </c>
      <c r="R20" s="44" t="s">
        <v>67</v>
      </c>
      <c r="S20" s="94">
        <v>29</v>
      </c>
      <c r="T20" s="55">
        <v>404</v>
      </c>
      <c r="U20" s="44" t="s">
        <v>67</v>
      </c>
      <c r="V20" s="94">
        <v>26</v>
      </c>
      <c r="W20" s="55">
        <v>398</v>
      </c>
      <c r="X20" s="44" t="s">
        <v>67</v>
      </c>
      <c r="Y20" s="94">
        <v>25</v>
      </c>
      <c r="Z20" s="55">
        <v>426</v>
      </c>
      <c r="AA20" s="44" t="s">
        <v>67</v>
      </c>
      <c r="AB20" s="94">
        <v>26</v>
      </c>
      <c r="AC20" s="55">
        <v>410</v>
      </c>
      <c r="AD20" s="44" t="s">
        <v>67</v>
      </c>
      <c r="AE20" s="94">
        <v>26</v>
      </c>
      <c r="AF20" s="120">
        <v>394</v>
      </c>
      <c r="AG20" s="44" t="s">
        <v>67</v>
      </c>
      <c r="AH20" s="166">
        <v>24</v>
      </c>
    </row>
    <row r="21" spans="1:34" ht="15" customHeight="1" x14ac:dyDescent="0.25">
      <c r="A21" s="38" t="s">
        <v>150</v>
      </c>
      <c r="B21" s="202">
        <v>63</v>
      </c>
      <c r="C21" s="229" t="s">
        <v>180</v>
      </c>
      <c r="D21" s="220">
        <v>14</v>
      </c>
      <c r="E21" s="91">
        <v>73</v>
      </c>
      <c r="F21" s="56" t="s">
        <v>73</v>
      </c>
      <c r="G21" s="130">
        <v>19</v>
      </c>
      <c r="H21" s="91">
        <v>67</v>
      </c>
      <c r="I21" s="56" t="s">
        <v>73</v>
      </c>
      <c r="J21" s="130">
        <v>19</v>
      </c>
      <c r="K21" s="91">
        <v>78</v>
      </c>
      <c r="L21" s="44" t="s">
        <v>73</v>
      </c>
      <c r="M21" s="94">
        <v>16</v>
      </c>
      <c r="N21" s="91">
        <v>76</v>
      </c>
      <c r="O21" s="44" t="s">
        <v>73</v>
      </c>
      <c r="P21" s="94">
        <v>17</v>
      </c>
      <c r="Q21" s="91">
        <v>69</v>
      </c>
      <c r="R21" s="44" t="s">
        <v>73</v>
      </c>
      <c r="S21" s="94">
        <v>14</v>
      </c>
      <c r="T21" s="88">
        <v>67</v>
      </c>
      <c r="U21" s="44" t="s">
        <v>70</v>
      </c>
      <c r="V21" s="94">
        <v>11</v>
      </c>
      <c r="W21" s="88">
        <v>60</v>
      </c>
      <c r="X21" s="44" t="s">
        <v>70</v>
      </c>
      <c r="Y21" s="94">
        <v>10</v>
      </c>
      <c r="Z21" s="88">
        <v>71</v>
      </c>
      <c r="AA21" s="44" t="s">
        <v>70</v>
      </c>
      <c r="AB21" s="94">
        <v>12</v>
      </c>
      <c r="AC21" s="88">
        <v>78</v>
      </c>
      <c r="AD21" s="44" t="s">
        <v>70</v>
      </c>
      <c r="AE21" s="94">
        <v>12</v>
      </c>
      <c r="AF21" s="138">
        <v>70</v>
      </c>
      <c r="AG21" s="44" t="s">
        <v>70</v>
      </c>
      <c r="AH21" s="166">
        <v>11</v>
      </c>
    </row>
    <row r="22" spans="1:34" ht="15" customHeight="1" x14ac:dyDescent="0.25">
      <c r="A22" s="38" t="s">
        <v>151</v>
      </c>
      <c r="B22" s="217">
        <v>137</v>
      </c>
      <c r="C22" s="230" t="s">
        <v>179</v>
      </c>
      <c r="D22" s="222">
        <v>21</v>
      </c>
      <c r="E22" s="88">
        <v>127</v>
      </c>
      <c r="F22" s="56" t="s">
        <v>70</v>
      </c>
      <c r="G22" s="130">
        <v>23</v>
      </c>
      <c r="H22" s="88">
        <v>154</v>
      </c>
      <c r="I22" s="56" t="s">
        <v>70</v>
      </c>
      <c r="J22" s="130">
        <v>26</v>
      </c>
      <c r="K22" s="88">
        <v>130</v>
      </c>
      <c r="L22" s="44" t="s">
        <v>70</v>
      </c>
      <c r="M22" s="94">
        <v>21</v>
      </c>
      <c r="N22" s="88">
        <v>142</v>
      </c>
      <c r="O22" s="44" t="s">
        <v>70</v>
      </c>
      <c r="P22" s="94">
        <v>19</v>
      </c>
      <c r="Q22" s="88">
        <v>130</v>
      </c>
      <c r="R22" s="44" t="s">
        <v>70</v>
      </c>
      <c r="S22" s="94">
        <v>21</v>
      </c>
      <c r="T22" s="88">
        <v>130</v>
      </c>
      <c r="U22" s="44" t="s">
        <v>70</v>
      </c>
      <c r="V22" s="94">
        <v>19</v>
      </c>
      <c r="W22" s="88">
        <v>144</v>
      </c>
      <c r="X22" s="44" t="s">
        <v>70</v>
      </c>
      <c r="Y22" s="94">
        <v>18</v>
      </c>
      <c r="Z22" s="88">
        <v>139</v>
      </c>
      <c r="AA22" s="44" t="s">
        <v>70</v>
      </c>
      <c r="AB22" s="94">
        <v>18</v>
      </c>
      <c r="AC22" s="88">
        <v>120</v>
      </c>
      <c r="AD22" s="44" t="s">
        <v>70</v>
      </c>
      <c r="AE22" s="94">
        <v>17</v>
      </c>
      <c r="AF22" s="138">
        <v>140</v>
      </c>
      <c r="AG22" s="44" t="s">
        <v>70</v>
      </c>
      <c r="AH22" s="166">
        <v>18</v>
      </c>
    </row>
    <row r="23" spans="1:34" ht="15" customHeight="1" x14ac:dyDescent="0.25">
      <c r="A23" s="122" t="s">
        <v>152</v>
      </c>
      <c r="B23" s="198">
        <v>190</v>
      </c>
      <c r="C23" s="228" t="s">
        <v>179</v>
      </c>
      <c r="D23" s="219">
        <v>25</v>
      </c>
      <c r="E23" s="87">
        <v>215</v>
      </c>
      <c r="F23" s="47" t="s">
        <v>70</v>
      </c>
      <c r="G23" s="129">
        <v>30</v>
      </c>
      <c r="H23" s="87">
        <v>218</v>
      </c>
      <c r="I23" s="47" t="s">
        <v>70</v>
      </c>
      <c r="J23" s="129">
        <v>32</v>
      </c>
      <c r="K23" s="87">
        <v>228</v>
      </c>
      <c r="L23" s="49" t="s">
        <v>70</v>
      </c>
      <c r="M23" s="96">
        <v>28</v>
      </c>
      <c r="N23" s="87">
        <v>208</v>
      </c>
      <c r="O23" s="49" t="s">
        <v>70</v>
      </c>
      <c r="P23" s="96">
        <v>25</v>
      </c>
      <c r="Q23" s="87">
        <v>198</v>
      </c>
      <c r="R23" s="49" t="s">
        <v>70</v>
      </c>
      <c r="S23" s="96">
        <v>26</v>
      </c>
      <c r="T23" s="87">
        <v>169</v>
      </c>
      <c r="U23" s="49" t="s">
        <v>70</v>
      </c>
      <c r="V23" s="96">
        <v>20</v>
      </c>
      <c r="W23" s="87">
        <v>211</v>
      </c>
      <c r="X23" s="49" t="s">
        <v>70</v>
      </c>
      <c r="Y23" s="96">
        <v>22</v>
      </c>
      <c r="Z23" s="87">
        <v>184</v>
      </c>
      <c r="AA23" s="49" t="s">
        <v>70</v>
      </c>
      <c r="AB23" s="96">
        <v>20</v>
      </c>
      <c r="AC23" s="87">
        <v>192</v>
      </c>
      <c r="AD23" s="49" t="s">
        <v>70</v>
      </c>
      <c r="AE23" s="96">
        <v>20</v>
      </c>
      <c r="AF23" s="168">
        <v>196</v>
      </c>
      <c r="AG23" s="49" t="s">
        <v>70</v>
      </c>
      <c r="AH23" s="82">
        <v>20</v>
      </c>
    </row>
    <row r="24" spans="1:34" ht="15" customHeight="1" x14ac:dyDescent="0.25">
      <c r="A24" s="123" t="s">
        <v>153</v>
      </c>
      <c r="B24" s="200">
        <v>112</v>
      </c>
      <c r="C24" s="229" t="s">
        <v>179</v>
      </c>
      <c r="D24" s="220">
        <v>18</v>
      </c>
      <c r="E24" s="88">
        <v>133</v>
      </c>
      <c r="F24" s="56" t="s">
        <v>70</v>
      </c>
      <c r="G24" s="130">
        <v>21</v>
      </c>
      <c r="H24" s="88">
        <v>149</v>
      </c>
      <c r="I24" s="56" t="s">
        <v>70</v>
      </c>
      <c r="J24" s="130">
        <v>26</v>
      </c>
      <c r="K24" s="88">
        <v>140</v>
      </c>
      <c r="L24" s="44" t="s">
        <v>70</v>
      </c>
      <c r="M24" s="94">
        <v>23</v>
      </c>
      <c r="N24" s="88">
        <v>127</v>
      </c>
      <c r="O24" s="44" t="s">
        <v>70</v>
      </c>
      <c r="P24" s="94">
        <v>21</v>
      </c>
      <c r="Q24" s="88">
        <v>108</v>
      </c>
      <c r="R24" s="44" t="s">
        <v>70</v>
      </c>
      <c r="S24" s="94">
        <v>20</v>
      </c>
      <c r="T24" s="88">
        <v>110</v>
      </c>
      <c r="U24" s="44" t="s">
        <v>70</v>
      </c>
      <c r="V24" s="94">
        <v>15</v>
      </c>
      <c r="W24" s="88">
        <v>127</v>
      </c>
      <c r="X24" s="44" t="s">
        <v>70</v>
      </c>
      <c r="Y24" s="94">
        <v>16</v>
      </c>
      <c r="Z24" s="88">
        <v>111</v>
      </c>
      <c r="AA24" s="44" t="s">
        <v>70</v>
      </c>
      <c r="AB24" s="94">
        <v>16</v>
      </c>
      <c r="AC24" s="88">
        <v>123</v>
      </c>
      <c r="AD24" s="44" t="s">
        <v>70</v>
      </c>
      <c r="AE24" s="94">
        <v>15</v>
      </c>
      <c r="AF24" s="138">
        <v>123</v>
      </c>
      <c r="AG24" s="44" t="s">
        <v>70</v>
      </c>
      <c r="AH24" s="79">
        <v>16</v>
      </c>
    </row>
    <row r="25" spans="1:34" ht="15" customHeight="1" x14ac:dyDescent="0.25">
      <c r="A25" s="124" t="s">
        <v>151</v>
      </c>
      <c r="B25" s="216">
        <v>78</v>
      </c>
      <c r="C25" s="230" t="s">
        <v>180</v>
      </c>
      <c r="D25" s="222">
        <v>17</v>
      </c>
      <c r="E25" s="92">
        <v>82</v>
      </c>
      <c r="F25" s="45" t="s">
        <v>73</v>
      </c>
      <c r="G25" s="131">
        <v>22</v>
      </c>
      <c r="H25" s="92">
        <v>69</v>
      </c>
      <c r="I25" s="45" t="s">
        <v>73</v>
      </c>
      <c r="J25" s="131">
        <v>19</v>
      </c>
      <c r="K25" s="92">
        <v>89</v>
      </c>
      <c r="L25" s="46" t="s">
        <v>73</v>
      </c>
      <c r="M25" s="98">
        <v>18</v>
      </c>
      <c r="N25" s="89">
        <v>80</v>
      </c>
      <c r="O25" s="46" t="s">
        <v>70</v>
      </c>
      <c r="P25" s="98">
        <v>15</v>
      </c>
      <c r="Q25" s="92">
        <v>90</v>
      </c>
      <c r="R25" s="46" t="s">
        <v>73</v>
      </c>
      <c r="S25" s="98">
        <v>18</v>
      </c>
      <c r="T25" s="92">
        <v>59</v>
      </c>
      <c r="U25" s="46" t="s">
        <v>73</v>
      </c>
      <c r="V25" s="98">
        <v>13</v>
      </c>
      <c r="W25" s="89">
        <v>84</v>
      </c>
      <c r="X25" s="46" t="s">
        <v>70</v>
      </c>
      <c r="Y25" s="98">
        <v>16</v>
      </c>
      <c r="Z25" s="89">
        <v>73</v>
      </c>
      <c r="AA25" s="46" t="s">
        <v>70</v>
      </c>
      <c r="AB25" s="98">
        <v>14</v>
      </c>
      <c r="AC25" s="92">
        <v>69</v>
      </c>
      <c r="AD25" s="46" t="s">
        <v>73</v>
      </c>
      <c r="AE25" s="98">
        <v>14</v>
      </c>
      <c r="AF25" s="135">
        <v>73</v>
      </c>
      <c r="AG25" s="46" t="s">
        <v>70</v>
      </c>
      <c r="AH25" s="84">
        <v>13</v>
      </c>
    </row>
    <row r="26" spans="1:34" ht="15" customHeight="1" x14ac:dyDescent="0.25">
      <c r="A26" s="41" t="s">
        <v>154</v>
      </c>
      <c r="B26" s="226">
        <v>17</v>
      </c>
      <c r="C26" s="231" t="s">
        <v>181</v>
      </c>
      <c r="D26" s="224">
        <v>7</v>
      </c>
      <c r="E26" s="110">
        <v>14</v>
      </c>
      <c r="F26" s="56" t="s">
        <v>76</v>
      </c>
      <c r="G26" s="131">
        <v>8</v>
      </c>
      <c r="H26" s="110">
        <v>16</v>
      </c>
      <c r="I26" s="56" t="s">
        <v>76</v>
      </c>
      <c r="J26" s="131">
        <v>10</v>
      </c>
      <c r="K26" s="110">
        <v>17</v>
      </c>
      <c r="L26" s="44" t="s">
        <v>76</v>
      </c>
      <c r="M26" s="98">
        <v>8</v>
      </c>
      <c r="N26" s="92">
        <v>24</v>
      </c>
      <c r="O26" s="44" t="s">
        <v>73</v>
      </c>
      <c r="P26" s="98">
        <v>9</v>
      </c>
      <c r="Q26" s="110">
        <v>11</v>
      </c>
      <c r="R26" s="44" t="s">
        <v>76</v>
      </c>
      <c r="S26" s="98">
        <v>6</v>
      </c>
      <c r="T26" s="92">
        <v>22</v>
      </c>
      <c r="U26" s="44" t="s">
        <v>73</v>
      </c>
      <c r="V26" s="98">
        <v>7</v>
      </c>
      <c r="W26" s="92">
        <v>19</v>
      </c>
      <c r="X26" s="44" t="s">
        <v>73</v>
      </c>
      <c r="Y26" s="98">
        <v>7</v>
      </c>
      <c r="Z26" s="92">
        <v>16</v>
      </c>
      <c r="AA26" s="44" t="s">
        <v>73</v>
      </c>
      <c r="AB26" s="98">
        <v>6</v>
      </c>
      <c r="AC26" s="92">
        <v>19</v>
      </c>
      <c r="AD26" s="44" t="s">
        <v>73</v>
      </c>
      <c r="AE26" s="98">
        <v>7</v>
      </c>
      <c r="AF26" s="169">
        <v>17</v>
      </c>
      <c r="AG26" s="44" t="s">
        <v>76</v>
      </c>
      <c r="AH26" s="84">
        <v>7</v>
      </c>
    </row>
    <row r="27" spans="1:34" ht="15" customHeight="1" x14ac:dyDescent="0.25">
      <c r="A27" s="40" t="s">
        <v>155</v>
      </c>
      <c r="B27" s="227">
        <v>2565</v>
      </c>
      <c r="C27" s="231" t="s">
        <v>182</v>
      </c>
      <c r="D27" s="224">
        <v>63</v>
      </c>
      <c r="E27" s="119">
        <v>2535</v>
      </c>
      <c r="F27" s="50" t="s">
        <v>67</v>
      </c>
      <c r="G27" s="132">
        <v>74</v>
      </c>
      <c r="H27" s="119">
        <v>2386</v>
      </c>
      <c r="I27" s="50" t="s">
        <v>67</v>
      </c>
      <c r="J27" s="132">
        <v>72</v>
      </c>
      <c r="K27" s="51">
        <v>2437</v>
      </c>
      <c r="L27" s="52" t="s">
        <v>67</v>
      </c>
      <c r="M27" s="95">
        <v>67</v>
      </c>
      <c r="N27" s="51">
        <v>2424</v>
      </c>
      <c r="O27" s="52" t="s">
        <v>67</v>
      </c>
      <c r="P27" s="95">
        <v>54</v>
      </c>
      <c r="Q27" s="51">
        <v>2432</v>
      </c>
      <c r="R27" s="52" t="s">
        <v>67</v>
      </c>
      <c r="S27" s="95">
        <v>63</v>
      </c>
      <c r="T27" s="51">
        <v>2467</v>
      </c>
      <c r="U27" s="52" t="s">
        <v>67</v>
      </c>
      <c r="V27" s="95">
        <v>42</v>
      </c>
      <c r="W27" s="51">
        <v>2437</v>
      </c>
      <c r="X27" s="52" t="s">
        <v>67</v>
      </c>
      <c r="Y27" s="95">
        <v>41</v>
      </c>
      <c r="Z27" s="51">
        <v>2367</v>
      </c>
      <c r="AA27" s="52" t="s">
        <v>67</v>
      </c>
      <c r="AB27" s="95">
        <v>44</v>
      </c>
      <c r="AC27" s="51">
        <v>2317</v>
      </c>
      <c r="AD27" s="52" t="s">
        <v>67</v>
      </c>
      <c r="AE27" s="95">
        <v>39</v>
      </c>
      <c r="AF27" s="121">
        <v>2355</v>
      </c>
      <c r="AG27" s="52" t="s">
        <v>67</v>
      </c>
      <c r="AH27" s="80">
        <v>40</v>
      </c>
    </row>
  </sheetData>
  <hyperlinks>
    <hyperlink ref="A9" r:id="rId1" xr:uid="{00000000-0004-0000-0C00-000000000000}"/>
    <hyperlink ref="A10" r:id="rId2" xr:uid="{00000000-0004-0000-0C00-000001000000}"/>
    <hyperlink ref="A11" r:id="rId3" xr:uid="{00000000-0004-0000-0C00-000002000000}"/>
  </hyperlinks>
  <pageMargins left="0.7" right="0.7" top="0.75" bottom="0.75" header="0.3" footer="0.3"/>
  <pageSetup paperSize="9" orientation="portrait"/>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IV43"/>
  <sheetViews>
    <sheetView showGridLines="0" zoomScaleNormal="10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56" ht="19.5" customHeight="1" x14ac:dyDescent="0.25">
      <c r="A1" s="196" t="s">
        <v>0</v>
      </c>
    </row>
    <row r="2" spans="1:256" ht="31.2" customHeight="1" x14ac:dyDescent="0.25">
      <c r="A2" s="197" t="s">
        <v>172</v>
      </c>
    </row>
    <row r="3" spans="1:256" ht="15.6" customHeight="1" x14ac:dyDescent="0.25">
      <c r="A3" s="38" t="s">
        <v>173</v>
      </c>
    </row>
    <row r="4" spans="1:256" ht="15.6" customHeight="1" x14ac:dyDescent="0.25">
      <c r="A4" s="38" t="s">
        <v>102</v>
      </c>
    </row>
    <row r="5" spans="1:256" ht="15.75" customHeight="1" x14ac:dyDescent="0.25">
      <c r="A5" s="38" t="s">
        <v>103</v>
      </c>
    </row>
    <row r="6" spans="1:256" ht="15.75" customHeight="1" x14ac:dyDescent="0.25">
      <c r="A6" s="38" t="s">
        <v>188</v>
      </c>
    </row>
    <row r="7" spans="1:256" ht="15.6" customHeight="1" x14ac:dyDescent="0.3">
      <c r="A7" s="38" t="s">
        <v>189</v>
      </c>
      <c r="B7" s="150"/>
      <c r="C7" s="150"/>
      <c r="D7" s="150"/>
      <c r="E7" s="150"/>
      <c r="F7" s="150"/>
      <c r="G7" s="150"/>
      <c r="H7" s="150"/>
      <c r="I7" s="150"/>
      <c r="J7" s="150"/>
      <c r="K7" s="150"/>
      <c r="L7" s="150"/>
      <c r="M7" s="150"/>
      <c r="N7" s="150"/>
      <c r="O7" s="150"/>
      <c r="P7" s="150"/>
      <c r="Q7" s="150"/>
      <c r="R7" s="150"/>
      <c r="S7" s="150"/>
      <c r="T7" s="150"/>
      <c r="U7" s="150"/>
      <c r="V7" s="150"/>
      <c r="W7" s="150"/>
      <c r="X7" s="150"/>
      <c r="Y7" s="150"/>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49"/>
      <c r="CH7" s="149"/>
      <c r="CI7" s="149"/>
      <c r="CJ7" s="149"/>
      <c r="CK7" s="149"/>
      <c r="CL7" s="149"/>
      <c r="CM7" s="149"/>
      <c r="CN7" s="149"/>
      <c r="CO7" s="149"/>
      <c r="CP7" s="149"/>
      <c r="CQ7" s="149"/>
      <c r="CR7" s="149"/>
      <c r="CS7" s="149"/>
      <c r="CT7" s="149"/>
      <c r="CU7" s="149"/>
      <c r="CV7" s="149"/>
      <c r="CW7" s="149"/>
      <c r="CX7" s="149"/>
      <c r="CY7" s="149"/>
      <c r="CZ7" s="149"/>
      <c r="DA7" s="149"/>
      <c r="DB7" s="149"/>
      <c r="DC7" s="149"/>
      <c r="DD7" s="149"/>
      <c r="DE7" s="149"/>
      <c r="DF7" s="149"/>
      <c r="DG7" s="149"/>
      <c r="DH7" s="149"/>
      <c r="DI7" s="149"/>
      <c r="DJ7" s="149"/>
      <c r="DK7" s="149"/>
      <c r="DL7" s="149"/>
      <c r="DM7" s="149"/>
      <c r="DN7" s="149"/>
      <c r="DO7" s="149"/>
      <c r="DP7" s="149"/>
      <c r="DQ7" s="149"/>
      <c r="DR7" s="149"/>
      <c r="DS7" s="149"/>
      <c r="DT7" s="149"/>
      <c r="DU7" s="149"/>
      <c r="DV7" s="149"/>
      <c r="DW7" s="149"/>
      <c r="DX7" s="149"/>
      <c r="DY7" s="149"/>
      <c r="DZ7" s="149"/>
      <c r="EA7" s="149"/>
      <c r="EB7" s="149"/>
      <c r="EC7" s="149"/>
      <c r="ED7" s="149"/>
      <c r="EE7" s="149"/>
      <c r="EF7" s="149"/>
      <c r="EG7" s="149"/>
      <c r="EH7" s="149"/>
      <c r="EI7" s="149"/>
      <c r="EJ7" s="149"/>
      <c r="EK7" s="149"/>
      <c r="EL7" s="149"/>
      <c r="EM7" s="149"/>
      <c r="EN7" s="149"/>
      <c r="EO7" s="149"/>
      <c r="EP7" s="149"/>
      <c r="EQ7" s="149"/>
      <c r="ER7" s="149"/>
      <c r="ES7" s="149"/>
      <c r="ET7" s="149"/>
      <c r="EU7" s="149"/>
      <c r="EV7" s="149"/>
      <c r="EW7" s="149"/>
      <c r="EX7" s="149"/>
      <c r="EY7" s="149"/>
      <c r="EZ7" s="149"/>
      <c r="FA7" s="149"/>
      <c r="FB7" s="149"/>
      <c r="FC7" s="149"/>
      <c r="FD7" s="149"/>
      <c r="FE7" s="149"/>
      <c r="FF7" s="149"/>
      <c r="FG7" s="149"/>
      <c r="FH7" s="149"/>
      <c r="FI7" s="149"/>
      <c r="FJ7" s="149"/>
      <c r="FK7" s="149"/>
      <c r="FL7" s="149"/>
      <c r="FM7" s="149"/>
      <c r="FN7" s="149"/>
      <c r="FO7" s="149"/>
      <c r="FP7" s="149"/>
      <c r="FQ7" s="149"/>
      <c r="FR7" s="149"/>
      <c r="FS7" s="149"/>
      <c r="FT7" s="149"/>
      <c r="FU7" s="149"/>
      <c r="FV7" s="149"/>
      <c r="FW7" s="149"/>
      <c r="FX7" s="149"/>
      <c r="FY7" s="149"/>
      <c r="FZ7" s="149"/>
      <c r="GA7" s="149"/>
      <c r="GB7" s="149"/>
      <c r="GC7" s="149"/>
      <c r="GD7" s="149"/>
      <c r="GE7" s="149"/>
      <c r="GF7" s="149"/>
      <c r="GG7" s="149"/>
      <c r="GH7" s="149"/>
      <c r="GI7" s="149"/>
      <c r="GJ7" s="149"/>
      <c r="GK7" s="149"/>
      <c r="GL7" s="149"/>
      <c r="GM7" s="149"/>
      <c r="GN7" s="149"/>
      <c r="GO7" s="149"/>
      <c r="GP7" s="149"/>
      <c r="GQ7" s="149"/>
      <c r="GR7" s="149"/>
      <c r="GS7" s="149"/>
      <c r="GT7" s="149"/>
      <c r="GU7" s="149"/>
      <c r="GV7" s="149"/>
      <c r="GW7" s="149"/>
      <c r="GX7" s="149"/>
      <c r="GY7" s="149"/>
      <c r="GZ7" s="149"/>
      <c r="HA7" s="149"/>
      <c r="HB7" s="149"/>
      <c r="HC7" s="149"/>
      <c r="HD7" s="149"/>
      <c r="HE7" s="149"/>
      <c r="HF7" s="149"/>
      <c r="HG7" s="149"/>
      <c r="HH7" s="149"/>
      <c r="HI7" s="149"/>
      <c r="HJ7" s="149"/>
      <c r="HK7" s="149"/>
      <c r="HL7" s="149"/>
      <c r="HM7" s="149"/>
      <c r="HN7" s="149"/>
      <c r="HO7" s="149"/>
      <c r="HP7" s="149"/>
      <c r="HQ7" s="149"/>
      <c r="HR7" s="149"/>
    </row>
    <row r="8" spans="1:256" ht="31.2" customHeight="1" x14ac:dyDescent="0.25">
      <c r="A8" s="48" t="s">
        <v>104</v>
      </c>
    </row>
    <row r="9" spans="1:256" x14ac:dyDescent="0.25">
      <c r="A9" s="185" t="s">
        <v>105</v>
      </c>
    </row>
    <row r="10" spans="1:256" x14ac:dyDescent="0.25">
      <c r="A10" s="185" t="s">
        <v>106</v>
      </c>
    </row>
    <row r="11" spans="1:256" ht="31.2" customHeight="1" x14ac:dyDescent="0.25">
      <c r="A11" s="195" t="s">
        <v>107</v>
      </c>
    </row>
    <row r="12" spans="1:256" ht="31.2" customHeight="1" x14ac:dyDescent="0.25">
      <c r="A12" s="158" t="s">
        <v>108</v>
      </c>
      <c r="B12" s="57" t="s">
        <v>109</v>
      </c>
      <c r="C12" s="42" t="s">
        <v>110</v>
      </c>
      <c r="D12" s="43" t="s">
        <v>111</v>
      </c>
      <c r="E12" s="59" t="s">
        <v>112</v>
      </c>
      <c r="F12" s="42" t="s">
        <v>113</v>
      </c>
      <c r="G12" s="43" t="s">
        <v>114</v>
      </c>
      <c r="H12" s="59" t="s">
        <v>115</v>
      </c>
      <c r="I12" s="42" t="s">
        <v>116</v>
      </c>
      <c r="J12" s="62" t="s">
        <v>117</v>
      </c>
      <c r="K12" s="59" t="s">
        <v>118</v>
      </c>
      <c r="L12" s="42" t="s">
        <v>119</v>
      </c>
      <c r="M12" s="62" t="s">
        <v>120</v>
      </c>
      <c r="N12" s="59" t="s">
        <v>121</v>
      </c>
      <c r="O12" s="42" t="s">
        <v>122</v>
      </c>
      <c r="P12" s="170" t="s">
        <v>123</v>
      </c>
      <c r="Q12" s="171" t="s">
        <v>124</v>
      </c>
      <c r="R12" s="42" t="s">
        <v>125</v>
      </c>
      <c r="S12" s="62" t="s">
        <v>126</v>
      </c>
      <c r="T12" s="59" t="s">
        <v>127</v>
      </c>
      <c r="U12" s="42" t="s">
        <v>128</v>
      </c>
      <c r="V12" s="62" t="s">
        <v>129</v>
      </c>
      <c r="W12" s="59" t="s">
        <v>130</v>
      </c>
      <c r="X12" s="42" t="s">
        <v>131</v>
      </c>
      <c r="Y12" s="62" t="s">
        <v>132</v>
      </c>
      <c r="Z12" s="59" t="s">
        <v>133</v>
      </c>
      <c r="AA12" s="42" t="s">
        <v>134</v>
      </c>
      <c r="AB12" s="62" t="s">
        <v>135</v>
      </c>
      <c r="AC12" s="59" t="s">
        <v>136</v>
      </c>
      <c r="AD12" s="42" t="s">
        <v>137</v>
      </c>
      <c r="AE12" s="62" t="s">
        <v>138</v>
      </c>
      <c r="AF12" s="59" t="s">
        <v>139</v>
      </c>
      <c r="AG12" s="42" t="s">
        <v>140</v>
      </c>
      <c r="AH12" s="62" t="s">
        <v>141</v>
      </c>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x14ac:dyDescent="0.25">
      <c r="A13" s="38" t="s">
        <v>142</v>
      </c>
      <c r="B13" s="207">
        <v>7024</v>
      </c>
      <c r="C13" s="271" t="s">
        <v>182</v>
      </c>
      <c r="D13" s="199">
        <v>195</v>
      </c>
      <c r="E13" s="54">
        <v>6915</v>
      </c>
      <c r="F13" s="56" t="s">
        <v>67</v>
      </c>
      <c r="G13" s="129">
        <v>212</v>
      </c>
      <c r="H13" s="54">
        <v>6856</v>
      </c>
      <c r="I13" s="56" t="s">
        <v>67</v>
      </c>
      <c r="J13" s="130">
        <v>233</v>
      </c>
      <c r="K13" s="54">
        <v>6837</v>
      </c>
      <c r="L13" s="56" t="s">
        <v>67</v>
      </c>
      <c r="M13" s="130">
        <v>192</v>
      </c>
      <c r="N13" s="54">
        <v>6757</v>
      </c>
      <c r="O13" s="56" t="s">
        <v>67</v>
      </c>
      <c r="P13" s="130">
        <v>183</v>
      </c>
      <c r="Q13" s="54">
        <v>6718</v>
      </c>
      <c r="R13" s="56" t="s">
        <v>67</v>
      </c>
      <c r="S13" s="130">
        <v>226</v>
      </c>
      <c r="T13" s="54">
        <v>6648</v>
      </c>
      <c r="U13" s="56" t="s">
        <v>67</v>
      </c>
      <c r="V13" s="130">
        <v>122</v>
      </c>
      <c r="W13" s="54">
        <v>6530</v>
      </c>
      <c r="X13" s="56" t="s">
        <v>67</v>
      </c>
      <c r="Y13" s="130">
        <v>120</v>
      </c>
      <c r="Z13" s="54">
        <v>6300</v>
      </c>
      <c r="AA13" s="56" t="s">
        <v>67</v>
      </c>
      <c r="AB13" s="130">
        <v>117</v>
      </c>
      <c r="AC13" s="54">
        <v>6301</v>
      </c>
      <c r="AD13" s="56" t="s">
        <v>67</v>
      </c>
      <c r="AE13" s="130">
        <v>114</v>
      </c>
      <c r="AF13" s="54">
        <v>6357</v>
      </c>
      <c r="AG13" s="56" t="s">
        <v>67</v>
      </c>
      <c r="AH13" s="130">
        <v>113</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25">
      <c r="A14" s="38" t="s">
        <v>143</v>
      </c>
      <c r="B14" s="207">
        <v>3524</v>
      </c>
      <c r="C14" s="271" t="s">
        <v>182</v>
      </c>
      <c r="D14" s="201">
        <v>123</v>
      </c>
      <c r="E14" s="54">
        <v>3351</v>
      </c>
      <c r="F14" s="56" t="s">
        <v>67</v>
      </c>
      <c r="G14" s="130">
        <v>137</v>
      </c>
      <c r="H14" s="54">
        <v>3375</v>
      </c>
      <c r="I14" s="56" t="s">
        <v>67</v>
      </c>
      <c r="J14" s="130">
        <v>164</v>
      </c>
      <c r="K14" s="54">
        <v>3308</v>
      </c>
      <c r="L14" s="56" t="s">
        <v>67</v>
      </c>
      <c r="M14" s="130">
        <v>118</v>
      </c>
      <c r="N14" s="54">
        <v>3310</v>
      </c>
      <c r="O14" s="56" t="s">
        <v>67</v>
      </c>
      <c r="P14" s="130">
        <v>112</v>
      </c>
      <c r="Q14" s="54">
        <v>3321</v>
      </c>
      <c r="R14" s="56" t="s">
        <v>67</v>
      </c>
      <c r="S14" s="130">
        <v>119</v>
      </c>
      <c r="T14" s="54">
        <v>3365</v>
      </c>
      <c r="U14" s="56" t="s">
        <v>67</v>
      </c>
      <c r="V14" s="130">
        <v>89</v>
      </c>
      <c r="W14" s="54">
        <v>3368</v>
      </c>
      <c r="X14" s="56" t="s">
        <v>67</v>
      </c>
      <c r="Y14" s="130">
        <v>89</v>
      </c>
      <c r="Z14" s="54">
        <v>3169</v>
      </c>
      <c r="AA14" s="56" t="s">
        <v>67</v>
      </c>
      <c r="AB14" s="130">
        <v>86</v>
      </c>
      <c r="AC14" s="54">
        <v>3272</v>
      </c>
      <c r="AD14" s="56" t="s">
        <v>67</v>
      </c>
      <c r="AE14" s="130">
        <v>84</v>
      </c>
      <c r="AF14" s="54">
        <v>3340</v>
      </c>
      <c r="AG14" s="56" t="s">
        <v>67</v>
      </c>
      <c r="AH14" s="130">
        <v>83</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25">
      <c r="A15" s="38" t="s">
        <v>144</v>
      </c>
      <c r="B15" s="269">
        <v>3500</v>
      </c>
      <c r="C15" s="212" t="s">
        <v>182</v>
      </c>
      <c r="D15" s="203">
        <v>154</v>
      </c>
      <c r="E15" s="133">
        <v>3564</v>
      </c>
      <c r="F15" s="45" t="s">
        <v>67</v>
      </c>
      <c r="G15" s="131">
        <v>160</v>
      </c>
      <c r="H15" s="133">
        <v>3480</v>
      </c>
      <c r="I15" s="45" t="s">
        <v>67</v>
      </c>
      <c r="J15" s="131">
        <v>166</v>
      </c>
      <c r="K15" s="133">
        <v>3529</v>
      </c>
      <c r="L15" s="45" t="s">
        <v>67</v>
      </c>
      <c r="M15" s="131">
        <v>149</v>
      </c>
      <c r="N15" s="133">
        <v>3447</v>
      </c>
      <c r="O15" s="45" t="s">
        <v>67</v>
      </c>
      <c r="P15" s="131">
        <v>144</v>
      </c>
      <c r="Q15" s="133">
        <v>3397</v>
      </c>
      <c r="R15" s="45" t="s">
        <v>67</v>
      </c>
      <c r="S15" s="131">
        <v>192</v>
      </c>
      <c r="T15" s="133">
        <v>3284</v>
      </c>
      <c r="U15" s="45" t="s">
        <v>67</v>
      </c>
      <c r="V15" s="131">
        <v>83</v>
      </c>
      <c r="W15" s="133">
        <v>3162</v>
      </c>
      <c r="X15" s="45" t="s">
        <v>67</v>
      </c>
      <c r="Y15" s="131">
        <v>81</v>
      </c>
      <c r="Z15" s="133">
        <v>3131</v>
      </c>
      <c r="AA15" s="45" t="s">
        <v>67</v>
      </c>
      <c r="AB15" s="131">
        <v>79</v>
      </c>
      <c r="AC15" s="133">
        <v>3029</v>
      </c>
      <c r="AD15" s="45" t="s">
        <v>67</v>
      </c>
      <c r="AE15" s="131">
        <v>77</v>
      </c>
      <c r="AF15" s="133">
        <v>3017</v>
      </c>
      <c r="AG15" s="45" t="s">
        <v>67</v>
      </c>
      <c r="AH15" s="131">
        <v>77</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25">
      <c r="A16" s="39" t="s">
        <v>145</v>
      </c>
      <c r="B16" s="209">
        <v>696</v>
      </c>
      <c r="C16" s="213" t="s">
        <v>182</v>
      </c>
      <c r="D16" s="205">
        <v>66</v>
      </c>
      <c r="E16" s="173">
        <v>685</v>
      </c>
      <c r="F16" s="50" t="s">
        <v>70</v>
      </c>
      <c r="G16" s="132">
        <v>70</v>
      </c>
      <c r="H16" s="173">
        <v>690</v>
      </c>
      <c r="I16" s="50" t="s">
        <v>70</v>
      </c>
      <c r="J16" s="132">
        <v>76</v>
      </c>
      <c r="K16" s="119">
        <v>694</v>
      </c>
      <c r="L16" s="50" t="s">
        <v>67</v>
      </c>
      <c r="M16" s="132">
        <v>63</v>
      </c>
      <c r="N16" s="119">
        <v>700</v>
      </c>
      <c r="O16" s="50" t="s">
        <v>67</v>
      </c>
      <c r="P16" s="132">
        <v>62</v>
      </c>
      <c r="Q16" s="119">
        <v>679</v>
      </c>
      <c r="R16" s="50" t="s">
        <v>67</v>
      </c>
      <c r="S16" s="132">
        <v>60</v>
      </c>
      <c r="T16" s="119">
        <v>676</v>
      </c>
      <c r="U16" s="50" t="s">
        <v>67</v>
      </c>
      <c r="V16" s="132">
        <v>48</v>
      </c>
      <c r="W16" s="119">
        <v>708</v>
      </c>
      <c r="X16" s="50" t="s">
        <v>67</v>
      </c>
      <c r="Y16" s="132">
        <v>47</v>
      </c>
      <c r="Z16" s="119">
        <v>724</v>
      </c>
      <c r="AA16" s="50" t="s">
        <v>67</v>
      </c>
      <c r="AB16" s="132">
        <v>49</v>
      </c>
      <c r="AC16" s="119">
        <v>770</v>
      </c>
      <c r="AD16" s="50" t="s">
        <v>67</v>
      </c>
      <c r="AE16" s="132">
        <v>49</v>
      </c>
      <c r="AF16" s="119">
        <v>735</v>
      </c>
      <c r="AG16" s="50" t="s">
        <v>67</v>
      </c>
      <c r="AH16" s="132">
        <v>46</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25">
      <c r="A17" s="38" t="s">
        <v>146</v>
      </c>
      <c r="B17" s="207">
        <v>16393</v>
      </c>
      <c r="C17" s="211" t="s">
        <v>182</v>
      </c>
      <c r="D17" s="203">
        <v>139</v>
      </c>
      <c r="E17" s="133">
        <v>16126</v>
      </c>
      <c r="F17" s="56" t="s">
        <v>67</v>
      </c>
      <c r="G17" s="131">
        <v>149</v>
      </c>
      <c r="H17" s="133">
        <v>15921</v>
      </c>
      <c r="I17" s="56" t="s">
        <v>67</v>
      </c>
      <c r="J17" s="131">
        <v>169</v>
      </c>
      <c r="K17" s="133">
        <v>15850</v>
      </c>
      <c r="L17" s="56" t="s">
        <v>67</v>
      </c>
      <c r="M17" s="131">
        <v>142</v>
      </c>
      <c r="N17" s="133">
        <v>15813</v>
      </c>
      <c r="O17" s="56" t="s">
        <v>67</v>
      </c>
      <c r="P17" s="131">
        <v>126</v>
      </c>
      <c r="Q17" s="133">
        <v>15652</v>
      </c>
      <c r="R17" s="56" t="s">
        <v>67</v>
      </c>
      <c r="S17" s="131">
        <v>149</v>
      </c>
      <c r="T17" s="133">
        <v>15587</v>
      </c>
      <c r="U17" s="56" t="s">
        <v>67</v>
      </c>
      <c r="V17" s="131">
        <v>126</v>
      </c>
      <c r="W17" s="133">
        <v>15498</v>
      </c>
      <c r="X17" s="56" t="s">
        <v>67</v>
      </c>
      <c r="Y17" s="131">
        <v>124</v>
      </c>
      <c r="Z17" s="133">
        <v>15379</v>
      </c>
      <c r="AA17" s="56" t="s">
        <v>67</v>
      </c>
      <c r="AB17" s="131">
        <v>121</v>
      </c>
      <c r="AC17" s="133">
        <v>15279</v>
      </c>
      <c r="AD17" s="56" t="s">
        <v>67</v>
      </c>
      <c r="AE17" s="131">
        <v>119</v>
      </c>
      <c r="AF17" s="133">
        <v>15227</v>
      </c>
      <c r="AG17" s="45" t="s">
        <v>67</v>
      </c>
      <c r="AH17" s="131">
        <v>118</v>
      </c>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25">
      <c r="A18" s="40" t="s">
        <v>147</v>
      </c>
      <c r="B18" s="206">
        <v>13817</v>
      </c>
      <c r="C18" s="210" t="s">
        <v>182</v>
      </c>
      <c r="D18" s="199">
        <v>135</v>
      </c>
      <c r="E18" s="54">
        <v>13560</v>
      </c>
      <c r="F18" s="47" t="s">
        <v>67</v>
      </c>
      <c r="G18" s="129">
        <v>149</v>
      </c>
      <c r="H18" s="54">
        <v>13386</v>
      </c>
      <c r="I18" s="47" t="s">
        <v>67</v>
      </c>
      <c r="J18" s="130">
        <v>171</v>
      </c>
      <c r="K18" s="54">
        <v>13521</v>
      </c>
      <c r="L18" s="47" t="s">
        <v>67</v>
      </c>
      <c r="M18" s="130">
        <v>140</v>
      </c>
      <c r="N18" s="54">
        <v>13410</v>
      </c>
      <c r="O18" s="47" t="s">
        <v>67</v>
      </c>
      <c r="P18" s="130">
        <v>127</v>
      </c>
      <c r="Q18" s="54">
        <v>13416</v>
      </c>
      <c r="R18" s="47" t="s">
        <v>67</v>
      </c>
      <c r="S18" s="130">
        <v>147</v>
      </c>
      <c r="T18" s="54">
        <v>13340</v>
      </c>
      <c r="U18" s="47" t="s">
        <v>67</v>
      </c>
      <c r="V18" s="130">
        <v>131</v>
      </c>
      <c r="W18" s="54">
        <v>13271</v>
      </c>
      <c r="X18" s="47" t="s">
        <v>67</v>
      </c>
      <c r="Y18" s="130">
        <v>129</v>
      </c>
      <c r="Z18" s="54">
        <v>13169</v>
      </c>
      <c r="AA18" s="47" t="s">
        <v>67</v>
      </c>
      <c r="AB18" s="130">
        <v>125</v>
      </c>
      <c r="AC18" s="54">
        <v>12994</v>
      </c>
      <c r="AD18" s="47" t="s">
        <v>67</v>
      </c>
      <c r="AE18" s="130">
        <v>123</v>
      </c>
      <c r="AF18" s="54">
        <v>12849</v>
      </c>
      <c r="AG18" s="56" t="s">
        <v>67</v>
      </c>
      <c r="AH18" s="130">
        <v>121</v>
      </c>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25">
      <c r="A19" s="38" t="s">
        <v>148</v>
      </c>
      <c r="B19" s="207">
        <v>6805</v>
      </c>
      <c r="C19" s="271" t="s">
        <v>182</v>
      </c>
      <c r="D19" s="201">
        <v>141</v>
      </c>
      <c r="E19" s="54">
        <v>6784</v>
      </c>
      <c r="F19" s="56" t="s">
        <v>67</v>
      </c>
      <c r="G19" s="130">
        <v>163</v>
      </c>
      <c r="H19" s="54">
        <v>6648</v>
      </c>
      <c r="I19" s="56" t="s">
        <v>67</v>
      </c>
      <c r="J19" s="130">
        <v>173</v>
      </c>
      <c r="K19" s="54">
        <v>6836</v>
      </c>
      <c r="L19" s="56" t="s">
        <v>67</v>
      </c>
      <c r="M19" s="130">
        <v>143</v>
      </c>
      <c r="N19" s="54">
        <v>6635</v>
      </c>
      <c r="O19" s="56" t="s">
        <v>67</v>
      </c>
      <c r="P19" s="130">
        <v>133</v>
      </c>
      <c r="Q19" s="54">
        <v>6585</v>
      </c>
      <c r="R19" s="56" t="s">
        <v>67</v>
      </c>
      <c r="S19" s="130">
        <v>153</v>
      </c>
      <c r="T19" s="54">
        <v>6695</v>
      </c>
      <c r="U19" s="56" t="s">
        <v>67</v>
      </c>
      <c r="V19" s="130">
        <v>123</v>
      </c>
      <c r="W19" s="54">
        <v>6657</v>
      </c>
      <c r="X19" s="56" t="s">
        <v>67</v>
      </c>
      <c r="Y19" s="130">
        <v>119</v>
      </c>
      <c r="Z19" s="54">
        <v>6455</v>
      </c>
      <c r="AA19" s="56" t="s">
        <v>67</v>
      </c>
      <c r="AB19" s="130">
        <v>116</v>
      </c>
      <c r="AC19" s="54">
        <v>6490</v>
      </c>
      <c r="AD19" s="56" t="s">
        <v>67</v>
      </c>
      <c r="AE19" s="130">
        <v>114</v>
      </c>
      <c r="AF19" s="54">
        <v>6420</v>
      </c>
      <c r="AG19" s="56" t="s">
        <v>67</v>
      </c>
      <c r="AH19" s="130">
        <v>112</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25">
      <c r="A20" s="38" t="s">
        <v>149</v>
      </c>
      <c r="B20" s="207">
        <v>4652</v>
      </c>
      <c r="C20" s="271" t="s">
        <v>182</v>
      </c>
      <c r="D20" s="201">
        <v>110</v>
      </c>
      <c r="E20" s="54">
        <v>4479</v>
      </c>
      <c r="F20" s="56" t="s">
        <v>67</v>
      </c>
      <c r="G20" s="130">
        <v>126</v>
      </c>
      <c r="H20" s="54">
        <v>4481</v>
      </c>
      <c r="I20" s="56" t="s">
        <v>67</v>
      </c>
      <c r="J20" s="130">
        <v>143</v>
      </c>
      <c r="K20" s="54">
        <v>4421</v>
      </c>
      <c r="L20" s="56" t="s">
        <v>67</v>
      </c>
      <c r="M20" s="130">
        <v>112</v>
      </c>
      <c r="N20" s="54">
        <v>4405</v>
      </c>
      <c r="O20" s="56" t="s">
        <v>67</v>
      </c>
      <c r="P20" s="130">
        <v>107</v>
      </c>
      <c r="Q20" s="54">
        <v>4531</v>
      </c>
      <c r="R20" s="56" t="s">
        <v>67</v>
      </c>
      <c r="S20" s="130">
        <v>108</v>
      </c>
      <c r="T20" s="54">
        <v>4416</v>
      </c>
      <c r="U20" s="56" t="s">
        <v>67</v>
      </c>
      <c r="V20" s="130">
        <v>93</v>
      </c>
      <c r="W20" s="54">
        <v>4333</v>
      </c>
      <c r="X20" s="56" t="s">
        <v>67</v>
      </c>
      <c r="Y20" s="130">
        <v>90</v>
      </c>
      <c r="Z20" s="54">
        <v>4377</v>
      </c>
      <c r="AA20" s="56" t="s">
        <v>67</v>
      </c>
      <c r="AB20" s="130">
        <v>89</v>
      </c>
      <c r="AC20" s="54">
        <v>4232</v>
      </c>
      <c r="AD20" s="56" t="s">
        <v>67</v>
      </c>
      <c r="AE20" s="130">
        <v>86</v>
      </c>
      <c r="AF20" s="54">
        <v>4168</v>
      </c>
      <c r="AG20" s="56" t="s">
        <v>67</v>
      </c>
      <c r="AH20" s="130">
        <v>83</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25">
      <c r="A21" s="38" t="s">
        <v>150</v>
      </c>
      <c r="B21" s="207">
        <v>798</v>
      </c>
      <c r="C21" s="271" t="s">
        <v>182</v>
      </c>
      <c r="D21" s="201">
        <v>60</v>
      </c>
      <c r="E21" s="54">
        <v>815</v>
      </c>
      <c r="F21" s="56" t="s">
        <v>67</v>
      </c>
      <c r="G21" s="130">
        <v>69</v>
      </c>
      <c r="H21" s="54">
        <v>771</v>
      </c>
      <c r="I21" s="56" t="s">
        <v>67</v>
      </c>
      <c r="J21" s="130">
        <v>73</v>
      </c>
      <c r="K21" s="54">
        <v>823</v>
      </c>
      <c r="L21" s="56" t="s">
        <v>67</v>
      </c>
      <c r="M21" s="130">
        <v>62</v>
      </c>
      <c r="N21" s="54">
        <v>830</v>
      </c>
      <c r="O21" s="56" t="s">
        <v>67</v>
      </c>
      <c r="P21" s="130">
        <v>60</v>
      </c>
      <c r="Q21" s="54">
        <v>778</v>
      </c>
      <c r="R21" s="56" t="s">
        <v>67</v>
      </c>
      <c r="S21" s="130">
        <v>55</v>
      </c>
      <c r="T21" s="54">
        <v>829</v>
      </c>
      <c r="U21" s="56" t="s">
        <v>67</v>
      </c>
      <c r="V21" s="130">
        <v>47</v>
      </c>
      <c r="W21" s="54">
        <v>813</v>
      </c>
      <c r="X21" s="56" t="s">
        <v>67</v>
      </c>
      <c r="Y21" s="130">
        <v>45</v>
      </c>
      <c r="Z21" s="54">
        <v>831</v>
      </c>
      <c r="AA21" s="56" t="s">
        <v>67</v>
      </c>
      <c r="AB21" s="130">
        <v>44</v>
      </c>
      <c r="AC21" s="54">
        <v>808</v>
      </c>
      <c r="AD21" s="56" t="s">
        <v>67</v>
      </c>
      <c r="AE21" s="130">
        <v>43</v>
      </c>
      <c r="AF21" s="54">
        <v>804</v>
      </c>
      <c r="AG21" s="56" t="s">
        <v>67</v>
      </c>
      <c r="AH21" s="130">
        <v>41</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25">
      <c r="A22" s="41" t="s">
        <v>151</v>
      </c>
      <c r="B22" s="269">
        <v>1562</v>
      </c>
      <c r="C22" s="212" t="s">
        <v>182</v>
      </c>
      <c r="D22" s="203">
        <v>71</v>
      </c>
      <c r="E22" s="133">
        <v>1482</v>
      </c>
      <c r="F22" s="45" t="s">
        <v>67</v>
      </c>
      <c r="G22" s="131">
        <v>84</v>
      </c>
      <c r="H22" s="133">
        <v>1485</v>
      </c>
      <c r="I22" s="45" t="s">
        <v>67</v>
      </c>
      <c r="J22" s="131">
        <v>87</v>
      </c>
      <c r="K22" s="133">
        <v>1441</v>
      </c>
      <c r="L22" s="45" t="s">
        <v>67</v>
      </c>
      <c r="M22" s="131">
        <v>70</v>
      </c>
      <c r="N22" s="133">
        <v>1540</v>
      </c>
      <c r="O22" s="45" t="s">
        <v>67</v>
      </c>
      <c r="P22" s="131">
        <v>68</v>
      </c>
      <c r="Q22" s="133">
        <v>1522</v>
      </c>
      <c r="R22" s="45" t="s">
        <v>67</v>
      </c>
      <c r="S22" s="131">
        <v>73</v>
      </c>
      <c r="T22" s="133">
        <v>1399</v>
      </c>
      <c r="U22" s="45" t="s">
        <v>67</v>
      </c>
      <c r="V22" s="131">
        <v>62</v>
      </c>
      <c r="W22" s="133">
        <v>1467</v>
      </c>
      <c r="X22" s="45" t="s">
        <v>67</v>
      </c>
      <c r="Y22" s="131">
        <v>61</v>
      </c>
      <c r="Z22" s="133">
        <v>1506</v>
      </c>
      <c r="AA22" s="45" t="s">
        <v>67</v>
      </c>
      <c r="AB22" s="131">
        <v>61</v>
      </c>
      <c r="AC22" s="133">
        <v>1464</v>
      </c>
      <c r="AD22" s="45" t="s">
        <v>67</v>
      </c>
      <c r="AE22" s="131">
        <v>59</v>
      </c>
      <c r="AF22" s="133">
        <v>1457</v>
      </c>
      <c r="AG22" s="45" t="s">
        <v>67</v>
      </c>
      <c r="AH22" s="131">
        <v>57</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25">
      <c r="A23" s="38" t="s">
        <v>152</v>
      </c>
      <c r="B23" s="207">
        <v>2577</v>
      </c>
      <c r="C23" s="271" t="s">
        <v>182</v>
      </c>
      <c r="D23" s="199">
        <v>100</v>
      </c>
      <c r="E23" s="54">
        <v>2566</v>
      </c>
      <c r="F23" s="56" t="s">
        <v>67</v>
      </c>
      <c r="G23" s="129">
        <v>115</v>
      </c>
      <c r="H23" s="54">
        <v>2535</v>
      </c>
      <c r="I23" s="56" t="s">
        <v>67</v>
      </c>
      <c r="J23" s="130">
        <v>121</v>
      </c>
      <c r="K23" s="54">
        <v>2329</v>
      </c>
      <c r="L23" s="56" t="s">
        <v>67</v>
      </c>
      <c r="M23" s="130">
        <v>98</v>
      </c>
      <c r="N23" s="54">
        <v>2402</v>
      </c>
      <c r="O23" s="56" t="s">
        <v>67</v>
      </c>
      <c r="P23" s="130">
        <v>92</v>
      </c>
      <c r="Q23" s="54">
        <v>2236</v>
      </c>
      <c r="R23" s="56" t="s">
        <v>67</v>
      </c>
      <c r="S23" s="130">
        <v>90</v>
      </c>
      <c r="T23" s="54">
        <v>2247</v>
      </c>
      <c r="U23" s="56" t="s">
        <v>67</v>
      </c>
      <c r="V23" s="130">
        <v>72</v>
      </c>
      <c r="W23" s="54">
        <v>2227</v>
      </c>
      <c r="X23" s="56" t="s">
        <v>67</v>
      </c>
      <c r="Y23" s="130">
        <v>70</v>
      </c>
      <c r="Z23" s="54">
        <v>2211</v>
      </c>
      <c r="AA23" s="56" t="s">
        <v>67</v>
      </c>
      <c r="AB23" s="130">
        <v>68</v>
      </c>
      <c r="AC23" s="54">
        <v>2285</v>
      </c>
      <c r="AD23" s="56" t="s">
        <v>67</v>
      </c>
      <c r="AE23" s="130">
        <v>68</v>
      </c>
      <c r="AF23" s="54">
        <v>2377</v>
      </c>
      <c r="AG23" s="56" t="s">
        <v>67</v>
      </c>
      <c r="AH23" s="130">
        <v>67</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25">
      <c r="A24" s="38" t="s">
        <v>153</v>
      </c>
      <c r="B24" s="207">
        <v>1561</v>
      </c>
      <c r="C24" s="271" t="s">
        <v>182</v>
      </c>
      <c r="D24" s="201">
        <v>80</v>
      </c>
      <c r="E24" s="54">
        <v>1586</v>
      </c>
      <c r="F24" s="56" t="s">
        <v>67</v>
      </c>
      <c r="G24" s="130">
        <v>90</v>
      </c>
      <c r="H24" s="54">
        <v>1621</v>
      </c>
      <c r="I24" s="56" t="s">
        <v>67</v>
      </c>
      <c r="J24" s="130">
        <v>97</v>
      </c>
      <c r="K24" s="54">
        <v>1462</v>
      </c>
      <c r="L24" s="56" t="s">
        <v>67</v>
      </c>
      <c r="M24" s="130">
        <v>77</v>
      </c>
      <c r="N24" s="54">
        <v>1500</v>
      </c>
      <c r="O24" s="56" t="s">
        <v>67</v>
      </c>
      <c r="P24" s="130">
        <v>75</v>
      </c>
      <c r="Q24" s="54">
        <v>1372</v>
      </c>
      <c r="R24" s="56" t="s">
        <v>67</v>
      </c>
      <c r="S24" s="130">
        <v>73</v>
      </c>
      <c r="T24" s="54">
        <v>1409</v>
      </c>
      <c r="U24" s="56" t="s">
        <v>67</v>
      </c>
      <c r="V24" s="130">
        <v>55</v>
      </c>
      <c r="W24" s="54">
        <v>1412</v>
      </c>
      <c r="X24" s="56" t="s">
        <v>67</v>
      </c>
      <c r="Y24" s="130">
        <v>54</v>
      </c>
      <c r="Z24" s="54">
        <v>1387</v>
      </c>
      <c r="AA24" s="56" t="s">
        <v>67</v>
      </c>
      <c r="AB24" s="130">
        <v>53</v>
      </c>
      <c r="AC24" s="54">
        <v>1473</v>
      </c>
      <c r="AD24" s="56" t="s">
        <v>67</v>
      </c>
      <c r="AE24" s="130">
        <v>53</v>
      </c>
      <c r="AF24" s="54">
        <v>1549</v>
      </c>
      <c r="AG24" s="56" t="s">
        <v>67</v>
      </c>
      <c r="AH24" s="130">
        <v>53</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25">
      <c r="A25" s="38" t="s">
        <v>151</v>
      </c>
      <c r="B25" s="269">
        <v>1016</v>
      </c>
      <c r="C25" s="212" t="s">
        <v>182</v>
      </c>
      <c r="D25" s="203">
        <v>64</v>
      </c>
      <c r="E25" s="133">
        <v>979</v>
      </c>
      <c r="F25" s="45" t="s">
        <v>67</v>
      </c>
      <c r="G25" s="131">
        <v>76</v>
      </c>
      <c r="H25" s="133">
        <v>914</v>
      </c>
      <c r="I25" s="45" t="s">
        <v>67</v>
      </c>
      <c r="J25" s="131">
        <v>78</v>
      </c>
      <c r="K25" s="133">
        <v>867</v>
      </c>
      <c r="L25" s="45" t="s">
        <v>67</v>
      </c>
      <c r="M25" s="131">
        <v>62</v>
      </c>
      <c r="N25" s="133">
        <v>902</v>
      </c>
      <c r="O25" s="45" t="s">
        <v>67</v>
      </c>
      <c r="P25" s="131">
        <v>57</v>
      </c>
      <c r="Q25" s="133">
        <v>864</v>
      </c>
      <c r="R25" s="45" t="s">
        <v>67</v>
      </c>
      <c r="S25" s="131">
        <v>58</v>
      </c>
      <c r="T25" s="133">
        <v>838</v>
      </c>
      <c r="U25" s="45" t="s">
        <v>67</v>
      </c>
      <c r="V25" s="131">
        <v>49</v>
      </c>
      <c r="W25" s="133">
        <v>815</v>
      </c>
      <c r="X25" s="45" t="s">
        <v>67</v>
      </c>
      <c r="Y25" s="131">
        <v>47</v>
      </c>
      <c r="Z25" s="133">
        <v>824</v>
      </c>
      <c r="AA25" s="45" t="s">
        <v>67</v>
      </c>
      <c r="AB25" s="131">
        <v>47</v>
      </c>
      <c r="AC25" s="133">
        <v>812</v>
      </c>
      <c r="AD25" s="45" t="s">
        <v>67</v>
      </c>
      <c r="AE25" s="131">
        <v>46</v>
      </c>
      <c r="AF25" s="133">
        <v>828</v>
      </c>
      <c r="AG25" s="45" t="s">
        <v>67</v>
      </c>
      <c r="AH25" s="131">
        <v>46</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25">
      <c r="A26" s="39" t="s">
        <v>154</v>
      </c>
      <c r="B26" s="270">
        <v>215</v>
      </c>
      <c r="C26" s="213" t="s">
        <v>179</v>
      </c>
      <c r="D26" s="205">
        <v>29</v>
      </c>
      <c r="E26" s="172">
        <v>230</v>
      </c>
      <c r="F26" s="56" t="s">
        <v>70</v>
      </c>
      <c r="G26" s="132">
        <v>38</v>
      </c>
      <c r="H26" s="172">
        <v>251</v>
      </c>
      <c r="I26" s="56" t="s">
        <v>70</v>
      </c>
      <c r="J26" s="131">
        <v>47</v>
      </c>
      <c r="K26" s="172">
        <v>246</v>
      </c>
      <c r="L26" s="56" t="s">
        <v>70</v>
      </c>
      <c r="M26" s="131">
        <v>35</v>
      </c>
      <c r="N26" s="172">
        <v>249</v>
      </c>
      <c r="O26" s="56" t="s">
        <v>70</v>
      </c>
      <c r="P26" s="131">
        <v>30</v>
      </c>
      <c r="Q26" s="172">
        <v>261</v>
      </c>
      <c r="R26" s="56" t="s">
        <v>70</v>
      </c>
      <c r="S26" s="131">
        <v>36</v>
      </c>
      <c r="T26" s="173">
        <v>272</v>
      </c>
      <c r="U26" s="45" t="s">
        <v>70</v>
      </c>
      <c r="V26" s="131">
        <v>30</v>
      </c>
      <c r="W26" s="172">
        <v>280</v>
      </c>
      <c r="X26" s="56" t="s">
        <v>70</v>
      </c>
      <c r="Y26" s="131">
        <v>29</v>
      </c>
      <c r="Z26" s="172">
        <v>280</v>
      </c>
      <c r="AA26" s="56" t="s">
        <v>70</v>
      </c>
      <c r="AB26" s="131">
        <v>30</v>
      </c>
      <c r="AC26" s="172">
        <v>287</v>
      </c>
      <c r="AD26" s="56" t="s">
        <v>70</v>
      </c>
      <c r="AE26" s="131">
        <v>29</v>
      </c>
      <c r="AF26" s="172">
        <v>268</v>
      </c>
      <c r="AG26" s="45" t="s">
        <v>70</v>
      </c>
      <c r="AH26" s="131">
        <v>27</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25">
      <c r="A27" s="40" t="s">
        <v>155</v>
      </c>
      <c r="B27" s="209">
        <v>24329</v>
      </c>
      <c r="C27" s="213" t="s">
        <v>182</v>
      </c>
      <c r="D27" s="205">
        <v>159</v>
      </c>
      <c r="E27" s="119">
        <v>23957</v>
      </c>
      <c r="F27" s="50" t="s">
        <v>67</v>
      </c>
      <c r="G27" s="132">
        <v>180</v>
      </c>
      <c r="H27" s="119">
        <v>23718</v>
      </c>
      <c r="I27" s="50" t="s">
        <v>67</v>
      </c>
      <c r="J27" s="132">
        <v>205</v>
      </c>
      <c r="K27" s="119">
        <v>23626</v>
      </c>
      <c r="L27" s="50" t="s">
        <v>67</v>
      </c>
      <c r="M27" s="132">
        <v>157</v>
      </c>
      <c r="N27" s="119">
        <v>23518</v>
      </c>
      <c r="O27" s="50" t="s">
        <v>67</v>
      </c>
      <c r="P27" s="132">
        <v>153</v>
      </c>
      <c r="Q27" s="119">
        <v>23310</v>
      </c>
      <c r="R27" s="50" t="s">
        <v>67</v>
      </c>
      <c r="S27" s="132">
        <v>183</v>
      </c>
      <c r="T27" s="174">
        <v>23183</v>
      </c>
      <c r="U27" s="50" t="s">
        <v>67</v>
      </c>
      <c r="V27" s="132">
        <v>101</v>
      </c>
      <c r="W27" s="119">
        <v>23015</v>
      </c>
      <c r="X27" s="50" t="s">
        <v>67</v>
      </c>
      <c r="Y27" s="132">
        <v>99</v>
      </c>
      <c r="Z27" s="119">
        <v>22684</v>
      </c>
      <c r="AA27" s="50" t="s">
        <v>67</v>
      </c>
      <c r="AB27" s="132">
        <v>97</v>
      </c>
      <c r="AC27" s="119">
        <v>22637</v>
      </c>
      <c r="AD27" s="50" t="s">
        <v>67</v>
      </c>
      <c r="AE27" s="132">
        <v>95</v>
      </c>
      <c r="AF27" s="119">
        <v>22587</v>
      </c>
      <c r="AG27" s="50" t="s">
        <v>67</v>
      </c>
      <c r="AH27" s="132">
        <v>92</v>
      </c>
    </row>
    <row r="28" spans="1:256" ht="1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row>
    <row r="29" spans="1:256" ht="1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row>
    <row r="30" spans="1:256" ht="1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row>
    <row r="31" spans="1:256" ht="1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row>
    <row r="32" spans="1:256" ht="1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row>
    <row r="33" spans="5:34" ht="15" customHeight="1" x14ac:dyDescent="0.25">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row>
    <row r="34" spans="5:34" ht="15" customHeight="1" x14ac:dyDescent="0.25">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row>
    <row r="35" spans="5:34" ht="15" customHeight="1" x14ac:dyDescent="0.25">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row>
    <row r="36" spans="5:34" ht="15" customHeight="1" x14ac:dyDescent="0.25">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row>
    <row r="37" spans="5:34" ht="15" customHeight="1" x14ac:dyDescent="0.25">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row>
    <row r="38" spans="5:34" ht="15" customHeight="1" x14ac:dyDescent="0.25">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row>
    <row r="39" spans="5:34" ht="15" customHeight="1" x14ac:dyDescent="0.25">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row>
    <row r="40" spans="5:34" ht="15" customHeight="1" x14ac:dyDescent="0.25">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row>
    <row r="41" spans="5:34" ht="15" customHeight="1" x14ac:dyDescent="0.25">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row>
    <row r="42" spans="5:34" ht="15" customHeight="1" x14ac:dyDescent="0.25">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row>
    <row r="43" spans="5:34" ht="15" customHeight="1" x14ac:dyDescent="0.25">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row>
  </sheetData>
  <hyperlinks>
    <hyperlink ref="A9" r:id="rId1" xr:uid="{00000000-0004-0000-0D00-000000000000}"/>
    <hyperlink ref="A10" r:id="rId2" xr:uid="{00000000-0004-0000-0D00-000001000000}"/>
    <hyperlink ref="A11" r:id="rId3" xr:uid="{00000000-0004-0000-0D00-000002000000}"/>
  </hyperlinks>
  <pageMargins left="0.7" right="0.7" top="0.75" bottom="0.75" header="0.3" footer="0.3"/>
  <pageSetup paperSize="9" orientation="portrait"/>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IV44"/>
  <sheetViews>
    <sheetView showGridLines="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56" ht="19.5" customHeight="1" x14ac:dyDescent="0.25">
      <c r="A1" s="196" t="s">
        <v>0</v>
      </c>
    </row>
    <row r="2" spans="1:256" ht="31.2" customHeight="1" x14ac:dyDescent="0.25">
      <c r="A2" s="197" t="s">
        <v>174</v>
      </c>
    </row>
    <row r="3" spans="1:256" ht="15.6" customHeight="1" x14ac:dyDescent="0.25">
      <c r="A3" s="38" t="s">
        <v>175</v>
      </c>
    </row>
    <row r="4" spans="1:256" ht="15.6" customHeight="1" x14ac:dyDescent="0.25">
      <c r="A4" s="38" t="s">
        <v>102</v>
      </c>
    </row>
    <row r="5" spans="1:256" ht="15.75" customHeight="1" x14ac:dyDescent="0.25">
      <c r="A5" s="38" t="s">
        <v>103</v>
      </c>
    </row>
    <row r="6" spans="1:256" ht="15.75" customHeight="1" x14ac:dyDescent="0.25">
      <c r="A6" s="38" t="s">
        <v>188</v>
      </c>
    </row>
    <row r="7" spans="1:256" ht="15.6" customHeight="1" x14ac:dyDescent="0.3">
      <c r="A7" s="38" t="s">
        <v>189</v>
      </c>
      <c r="B7" s="150"/>
      <c r="C7" s="150"/>
      <c r="D7" s="150"/>
      <c r="E7" s="150"/>
      <c r="F7" s="150"/>
      <c r="G7" s="150"/>
      <c r="H7" s="150"/>
      <c r="I7" s="150"/>
      <c r="J7" s="150"/>
      <c r="K7" s="150"/>
      <c r="L7" s="150"/>
      <c r="M7" s="150"/>
      <c r="N7" s="150"/>
      <c r="O7" s="150"/>
      <c r="P7" s="150"/>
      <c r="Q7" s="150"/>
      <c r="R7" s="150"/>
      <c r="S7" s="150"/>
      <c r="T7" s="150"/>
      <c r="U7" s="150"/>
      <c r="V7" s="150"/>
      <c r="W7" s="150"/>
      <c r="X7" s="150"/>
      <c r="Y7" s="150"/>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49"/>
      <c r="CH7" s="149"/>
      <c r="CI7" s="149"/>
      <c r="CJ7" s="149"/>
      <c r="CK7" s="149"/>
      <c r="CL7" s="149"/>
      <c r="CM7" s="149"/>
      <c r="CN7" s="149"/>
      <c r="CO7" s="149"/>
      <c r="CP7" s="149"/>
      <c r="CQ7" s="149"/>
      <c r="CR7" s="149"/>
      <c r="CS7" s="149"/>
      <c r="CT7" s="149"/>
      <c r="CU7" s="149"/>
      <c r="CV7" s="149"/>
      <c r="CW7" s="149"/>
      <c r="CX7" s="149"/>
      <c r="CY7" s="149"/>
      <c r="CZ7" s="149"/>
      <c r="DA7" s="149"/>
      <c r="DB7" s="149"/>
      <c r="DC7" s="149"/>
      <c r="DD7" s="149"/>
      <c r="DE7" s="149"/>
      <c r="DF7" s="149"/>
      <c r="DG7" s="149"/>
      <c r="DH7" s="149"/>
      <c r="DI7" s="149"/>
      <c r="DJ7" s="149"/>
      <c r="DK7" s="149"/>
      <c r="DL7" s="149"/>
      <c r="DM7" s="149"/>
      <c r="DN7" s="149"/>
      <c r="DO7" s="149"/>
      <c r="DP7" s="149"/>
      <c r="DQ7" s="149"/>
      <c r="DR7" s="149"/>
      <c r="DS7" s="149"/>
      <c r="DT7" s="149"/>
      <c r="DU7" s="149"/>
      <c r="DV7" s="149"/>
      <c r="DW7" s="149"/>
      <c r="DX7" s="149"/>
      <c r="DY7" s="149"/>
      <c r="DZ7" s="149"/>
      <c r="EA7" s="149"/>
      <c r="EB7" s="149"/>
      <c r="EC7" s="149"/>
      <c r="ED7" s="149"/>
      <c r="EE7" s="149"/>
      <c r="EF7" s="149"/>
      <c r="EG7" s="149"/>
      <c r="EH7" s="149"/>
      <c r="EI7" s="149"/>
      <c r="EJ7" s="149"/>
      <c r="EK7" s="149"/>
      <c r="EL7" s="149"/>
      <c r="EM7" s="149"/>
      <c r="EN7" s="149"/>
      <c r="EO7" s="149"/>
      <c r="EP7" s="149"/>
      <c r="EQ7" s="149"/>
      <c r="ER7" s="149"/>
      <c r="ES7" s="149"/>
      <c r="ET7" s="149"/>
      <c r="EU7" s="149"/>
      <c r="EV7" s="149"/>
      <c r="EW7" s="149"/>
      <c r="EX7" s="149"/>
      <c r="EY7" s="149"/>
      <c r="EZ7" s="149"/>
      <c r="FA7" s="149"/>
      <c r="FB7" s="149"/>
      <c r="FC7" s="149"/>
      <c r="FD7" s="149"/>
      <c r="FE7" s="149"/>
      <c r="FF7" s="149"/>
      <c r="FG7" s="149"/>
      <c r="FH7" s="149"/>
      <c r="FI7" s="149"/>
      <c r="FJ7" s="149"/>
      <c r="FK7" s="149"/>
      <c r="FL7" s="149"/>
      <c r="FM7" s="149"/>
      <c r="FN7" s="149"/>
      <c r="FO7" s="149"/>
      <c r="FP7" s="149"/>
      <c r="FQ7" s="149"/>
      <c r="FR7" s="149"/>
      <c r="FS7" s="149"/>
      <c r="FT7" s="149"/>
      <c r="FU7" s="149"/>
      <c r="FV7" s="149"/>
      <c r="FW7" s="149"/>
      <c r="FX7" s="149"/>
      <c r="FY7" s="149"/>
      <c r="FZ7" s="149"/>
      <c r="GA7" s="149"/>
      <c r="GB7" s="149"/>
      <c r="GC7" s="149"/>
      <c r="GD7" s="149"/>
      <c r="GE7" s="149"/>
      <c r="GF7" s="149"/>
      <c r="GG7" s="149"/>
      <c r="GH7" s="149"/>
      <c r="GI7" s="149"/>
      <c r="GJ7" s="149"/>
      <c r="GK7" s="149"/>
      <c r="GL7" s="149"/>
      <c r="GM7" s="149"/>
      <c r="GN7" s="149"/>
      <c r="GO7" s="149"/>
      <c r="GP7" s="149"/>
      <c r="GQ7" s="149"/>
      <c r="GR7" s="149"/>
      <c r="GS7" s="149"/>
      <c r="GT7" s="149"/>
      <c r="GU7" s="149"/>
      <c r="GV7" s="149"/>
      <c r="GW7" s="149"/>
      <c r="GX7" s="149"/>
      <c r="GY7" s="149"/>
      <c r="GZ7" s="149"/>
      <c r="HA7" s="149"/>
      <c r="HB7" s="149"/>
      <c r="HC7" s="149"/>
      <c r="HD7" s="149"/>
      <c r="HE7" s="149"/>
      <c r="HF7" s="149"/>
      <c r="HG7" s="149"/>
      <c r="HH7" s="149"/>
      <c r="HI7" s="149"/>
      <c r="HJ7" s="149"/>
      <c r="HK7" s="149"/>
      <c r="HL7" s="149"/>
      <c r="HM7" s="149"/>
      <c r="HN7" s="149"/>
      <c r="HO7" s="149"/>
      <c r="HP7" s="149"/>
      <c r="HQ7" s="149"/>
      <c r="HR7" s="149"/>
    </row>
    <row r="8" spans="1:256" ht="31.2" customHeight="1" x14ac:dyDescent="0.25">
      <c r="A8" s="48" t="s">
        <v>104</v>
      </c>
    </row>
    <row r="9" spans="1:256" x14ac:dyDescent="0.25">
      <c r="A9" s="185" t="s">
        <v>105</v>
      </c>
    </row>
    <row r="10" spans="1:256" x14ac:dyDescent="0.25">
      <c r="A10" s="185" t="s">
        <v>106</v>
      </c>
    </row>
    <row r="11" spans="1:256" ht="31.2" customHeight="1" x14ac:dyDescent="0.25">
      <c r="A11" s="195" t="s">
        <v>107</v>
      </c>
    </row>
    <row r="12" spans="1:256" ht="31.95" customHeight="1" x14ac:dyDescent="0.25">
      <c r="A12" s="157" t="s">
        <v>176</v>
      </c>
      <c r="B12" s="57" t="s">
        <v>109</v>
      </c>
      <c r="C12" s="42" t="s">
        <v>110</v>
      </c>
      <c r="D12" s="42" t="s">
        <v>111</v>
      </c>
      <c r="E12" s="57" t="s">
        <v>112</v>
      </c>
      <c r="F12" s="42" t="s">
        <v>113</v>
      </c>
      <c r="G12" s="43" t="s">
        <v>114</v>
      </c>
      <c r="H12" s="57" t="s">
        <v>115</v>
      </c>
      <c r="I12" s="42" t="s">
        <v>116</v>
      </c>
      <c r="J12" s="43" t="s">
        <v>117</v>
      </c>
      <c r="K12" s="57" t="s">
        <v>118</v>
      </c>
      <c r="L12" s="42" t="s">
        <v>119</v>
      </c>
      <c r="M12" s="43" t="s">
        <v>120</v>
      </c>
      <c r="N12" s="57" t="s">
        <v>121</v>
      </c>
      <c r="O12" s="42" t="s">
        <v>122</v>
      </c>
      <c r="P12" s="43" t="s">
        <v>123</v>
      </c>
      <c r="Q12" s="57" t="s">
        <v>124</v>
      </c>
      <c r="R12" s="42" t="s">
        <v>125</v>
      </c>
      <c r="S12" s="43" t="s">
        <v>126</v>
      </c>
      <c r="T12" s="57" t="s">
        <v>127</v>
      </c>
      <c r="U12" s="42" t="s">
        <v>128</v>
      </c>
      <c r="V12" s="43" t="s">
        <v>129</v>
      </c>
      <c r="W12" s="57" t="s">
        <v>130</v>
      </c>
      <c r="X12" s="42" t="s">
        <v>131</v>
      </c>
      <c r="Y12" s="43" t="s">
        <v>132</v>
      </c>
      <c r="Z12" s="57" t="s">
        <v>133</v>
      </c>
      <c r="AA12" s="42" t="s">
        <v>134</v>
      </c>
      <c r="AB12" s="43" t="s">
        <v>135</v>
      </c>
      <c r="AC12" s="57" t="s">
        <v>136</v>
      </c>
      <c r="AD12" s="42" t="s">
        <v>137</v>
      </c>
      <c r="AE12" s="43" t="s">
        <v>138</v>
      </c>
      <c r="AF12" s="57" t="s">
        <v>139</v>
      </c>
      <c r="AG12" s="42" t="s">
        <v>140</v>
      </c>
      <c r="AH12" s="43" t="s">
        <v>141</v>
      </c>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x14ac:dyDescent="0.25">
      <c r="A13" s="38" t="s">
        <v>142</v>
      </c>
      <c r="B13" s="275">
        <v>442</v>
      </c>
      <c r="C13" s="228" t="s">
        <v>179</v>
      </c>
      <c r="D13" s="245">
        <v>56</v>
      </c>
      <c r="E13" s="87">
        <v>388</v>
      </c>
      <c r="F13" s="105" t="s">
        <v>70</v>
      </c>
      <c r="G13" s="111">
        <v>57</v>
      </c>
      <c r="H13" s="87">
        <v>442</v>
      </c>
      <c r="I13" s="105" t="s">
        <v>70</v>
      </c>
      <c r="J13" s="111">
        <v>68</v>
      </c>
      <c r="K13" s="87">
        <v>397</v>
      </c>
      <c r="L13" s="105" t="s">
        <v>70</v>
      </c>
      <c r="M13" s="111">
        <v>49</v>
      </c>
      <c r="N13" s="87">
        <v>436</v>
      </c>
      <c r="O13" s="105" t="s">
        <v>70</v>
      </c>
      <c r="P13" s="111">
        <v>53</v>
      </c>
      <c r="Q13" s="87">
        <v>415</v>
      </c>
      <c r="R13" s="105" t="s">
        <v>70</v>
      </c>
      <c r="S13" s="111">
        <v>60</v>
      </c>
      <c r="T13" s="87">
        <v>441</v>
      </c>
      <c r="U13" s="105" t="s">
        <v>70</v>
      </c>
      <c r="V13" s="111">
        <v>44</v>
      </c>
      <c r="W13" s="87">
        <v>388</v>
      </c>
      <c r="X13" s="105" t="s">
        <v>70</v>
      </c>
      <c r="Y13" s="111">
        <v>39</v>
      </c>
      <c r="Z13" s="87">
        <v>393</v>
      </c>
      <c r="AA13" s="105" t="s">
        <v>70</v>
      </c>
      <c r="AB13" s="111">
        <v>41</v>
      </c>
      <c r="AC13" s="87">
        <v>403</v>
      </c>
      <c r="AD13" s="105" t="s">
        <v>70</v>
      </c>
      <c r="AE13" s="111">
        <v>45</v>
      </c>
      <c r="AF13" s="87">
        <v>394</v>
      </c>
      <c r="AG13" s="105" t="s">
        <v>70</v>
      </c>
      <c r="AH13" s="111">
        <v>42</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25">
      <c r="A14" s="38" t="s">
        <v>143</v>
      </c>
      <c r="B14" s="266">
        <v>216</v>
      </c>
      <c r="C14" s="229" t="s">
        <v>179</v>
      </c>
      <c r="D14" s="247">
        <v>28</v>
      </c>
      <c r="E14" s="88">
        <v>169</v>
      </c>
      <c r="F14" s="1" t="s">
        <v>70</v>
      </c>
      <c r="G14" s="112">
        <v>29</v>
      </c>
      <c r="H14" s="88">
        <v>188</v>
      </c>
      <c r="I14" s="1" t="s">
        <v>70</v>
      </c>
      <c r="J14" s="112">
        <v>34</v>
      </c>
      <c r="K14" s="88">
        <v>206</v>
      </c>
      <c r="L14" s="1" t="s">
        <v>70</v>
      </c>
      <c r="M14" s="112">
        <v>28</v>
      </c>
      <c r="N14" s="88">
        <v>183</v>
      </c>
      <c r="O14" s="1" t="s">
        <v>70</v>
      </c>
      <c r="P14" s="112">
        <v>21</v>
      </c>
      <c r="Q14" s="88">
        <v>212</v>
      </c>
      <c r="R14" s="1" t="s">
        <v>70</v>
      </c>
      <c r="S14" s="112">
        <v>31</v>
      </c>
      <c r="T14" s="88">
        <v>223</v>
      </c>
      <c r="U14" s="1" t="s">
        <v>70</v>
      </c>
      <c r="V14" s="112">
        <v>26</v>
      </c>
      <c r="W14" s="88">
        <v>184</v>
      </c>
      <c r="X14" s="1" t="s">
        <v>70</v>
      </c>
      <c r="Y14" s="112">
        <v>22</v>
      </c>
      <c r="Z14" s="88">
        <v>180</v>
      </c>
      <c r="AA14" s="1" t="s">
        <v>70</v>
      </c>
      <c r="AB14" s="112">
        <v>22</v>
      </c>
      <c r="AC14" s="88">
        <v>207</v>
      </c>
      <c r="AD14" s="1" t="s">
        <v>70</v>
      </c>
      <c r="AE14" s="112">
        <v>23</v>
      </c>
      <c r="AF14" s="88">
        <v>198</v>
      </c>
      <c r="AG14" s="1" t="s">
        <v>70</v>
      </c>
      <c r="AH14" s="112">
        <v>24</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25">
      <c r="A15" s="38" t="s">
        <v>144</v>
      </c>
      <c r="B15" s="276">
        <v>226</v>
      </c>
      <c r="C15" s="230" t="s">
        <v>180</v>
      </c>
      <c r="D15" s="249">
        <v>52</v>
      </c>
      <c r="E15" s="91">
        <v>219</v>
      </c>
      <c r="F15" s="1" t="s">
        <v>73</v>
      </c>
      <c r="G15" s="112">
        <v>46</v>
      </c>
      <c r="H15" s="91">
        <v>254</v>
      </c>
      <c r="I15" s="1" t="s">
        <v>73</v>
      </c>
      <c r="J15" s="112">
        <v>59</v>
      </c>
      <c r="K15" s="91">
        <v>191</v>
      </c>
      <c r="L15" s="1" t="s">
        <v>73</v>
      </c>
      <c r="M15" s="112">
        <v>40</v>
      </c>
      <c r="N15" s="88">
        <v>252</v>
      </c>
      <c r="O15" s="1" t="s">
        <v>70</v>
      </c>
      <c r="P15" s="112">
        <v>48</v>
      </c>
      <c r="Q15" s="91">
        <v>203</v>
      </c>
      <c r="R15" s="1" t="s">
        <v>73</v>
      </c>
      <c r="S15" s="112">
        <v>53</v>
      </c>
      <c r="T15" s="88">
        <v>218</v>
      </c>
      <c r="U15" s="1" t="s">
        <v>70</v>
      </c>
      <c r="V15" s="112">
        <v>38</v>
      </c>
      <c r="W15" s="88">
        <v>204</v>
      </c>
      <c r="X15" s="1" t="s">
        <v>70</v>
      </c>
      <c r="Y15" s="112">
        <v>34</v>
      </c>
      <c r="Z15" s="88">
        <v>213</v>
      </c>
      <c r="AA15" s="1" t="s">
        <v>70</v>
      </c>
      <c r="AB15" s="112">
        <v>36</v>
      </c>
      <c r="AC15" s="91">
        <v>195</v>
      </c>
      <c r="AD15" s="1" t="s">
        <v>73</v>
      </c>
      <c r="AE15" s="112">
        <v>39</v>
      </c>
      <c r="AF15" s="88">
        <v>196</v>
      </c>
      <c r="AG15" s="1" t="s">
        <v>70</v>
      </c>
      <c r="AH15" s="112">
        <v>35</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25">
      <c r="A16" s="39" t="s">
        <v>145</v>
      </c>
      <c r="B16" s="277">
        <v>29</v>
      </c>
      <c r="C16" s="231" t="s">
        <v>181</v>
      </c>
      <c r="D16" s="253">
        <v>12</v>
      </c>
      <c r="E16" s="93">
        <v>22</v>
      </c>
      <c r="F16" s="106" t="s">
        <v>76</v>
      </c>
      <c r="G16" s="114">
        <v>14</v>
      </c>
      <c r="H16" s="93">
        <v>33</v>
      </c>
      <c r="I16" s="106" t="s">
        <v>76</v>
      </c>
      <c r="J16" s="114">
        <v>15</v>
      </c>
      <c r="K16" s="93">
        <v>34</v>
      </c>
      <c r="L16" s="106" t="s">
        <v>76</v>
      </c>
      <c r="M16" s="114">
        <v>14</v>
      </c>
      <c r="N16" s="90">
        <v>29</v>
      </c>
      <c r="O16" s="106" t="s">
        <v>73</v>
      </c>
      <c r="P16" s="114">
        <v>11</v>
      </c>
      <c r="Q16" s="90">
        <v>41</v>
      </c>
      <c r="R16" s="106" t="s">
        <v>73</v>
      </c>
      <c r="S16" s="114">
        <v>15</v>
      </c>
      <c r="T16" s="90">
        <v>35</v>
      </c>
      <c r="U16" s="106" t="s">
        <v>73</v>
      </c>
      <c r="V16" s="114">
        <v>12</v>
      </c>
      <c r="W16" s="93">
        <v>34</v>
      </c>
      <c r="X16" s="106" t="s">
        <v>76</v>
      </c>
      <c r="Y16" s="114">
        <v>13</v>
      </c>
      <c r="Z16" s="90">
        <v>40</v>
      </c>
      <c r="AA16" s="106" t="s">
        <v>73</v>
      </c>
      <c r="AB16" s="114">
        <v>14</v>
      </c>
      <c r="AC16" s="90">
        <v>38</v>
      </c>
      <c r="AD16" s="106" t="s">
        <v>73</v>
      </c>
      <c r="AE16" s="114">
        <v>12</v>
      </c>
      <c r="AF16" s="90">
        <v>39</v>
      </c>
      <c r="AG16" s="106" t="s">
        <v>73</v>
      </c>
      <c r="AH16" s="114">
        <v>13</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25">
      <c r="A17" s="38" t="s">
        <v>146</v>
      </c>
      <c r="B17" s="251">
        <v>920</v>
      </c>
      <c r="C17" s="231" t="s">
        <v>182</v>
      </c>
      <c r="D17" s="253">
        <v>35</v>
      </c>
      <c r="E17" s="107">
        <v>918</v>
      </c>
      <c r="F17" s="106" t="s">
        <v>67</v>
      </c>
      <c r="G17" s="114">
        <v>39</v>
      </c>
      <c r="H17" s="107">
        <v>892</v>
      </c>
      <c r="I17" s="106" t="s">
        <v>67</v>
      </c>
      <c r="J17" s="114">
        <v>48</v>
      </c>
      <c r="K17" s="107">
        <v>890</v>
      </c>
      <c r="L17" s="106" t="s">
        <v>67</v>
      </c>
      <c r="M17" s="114">
        <v>31</v>
      </c>
      <c r="N17" s="107">
        <v>866</v>
      </c>
      <c r="O17" s="106" t="s">
        <v>67</v>
      </c>
      <c r="P17" s="114">
        <v>33</v>
      </c>
      <c r="Q17" s="107">
        <v>895</v>
      </c>
      <c r="R17" s="106" t="s">
        <v>67</v>
      </c>
      <c r="S17" s="114">
        <v>30</v>
      </c>
      <c r="T17" s="107">
        <v>891</v>
      </c>
      <c r="U17" s="106" t="s">
        <v>67</v>
      </c>
      <c r="V17" s="114">
        <v>25</v>
      </c>
      <c r="W17" s="107">
        <v>911</v>
      </c>
      <c r="X17" s="106" t="s">
        <v>67</v>
      </c>
      <c r="Y17" s="114">
        <v>26</v>
      </c>
      <c r="Z17" s="107">
        <v>885</v>
      </c>
      <c r="AA17" s="106" t="s">
        <v>67</v>
      </c>
      <c r="AB17" s="114">
        <v>28</v>
      </c>
      <c r="AC17" s="107">
        <v>885</v>
      </c>
      <c r="AD17" s="106" t="s">
        <v>67</v>
      </c>
      <c r="AE17" s="114">
        <v>25</v>
      </c>
      <c r="AF17" s="107">
        <v>884</v>
      </c>
      <c r="AG17" s="106" t="s">
        <v>67</v>
      </c>
      <c r="AH17" s="114">
        <v>27</v>
      </c>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25">
      <c r="A18" s="40" t="s">
        <v>147</v>
      </c>
      <c r="B18" s="254">
        <v>777</v>
      </c>
      <c r="C18" s="228" t="s">
        <v>182</v>
      </c>
      <c r="D18" s="245">
        <v>35</v>
      </c>
      <c r="E18" s="108">
        <v>759</v>
      </c>
      <c r="F18" s="105" t="s">
        <v>67</v>
      </c>
      <c r="G18" s="111">
        <v>40</v>
      </c>
      <c r="H18" s="108">
        <v>749</v>
      </c>
      <c r="I18" s="105" t="s">
        <v>67</v>
      </c>
      <c r="J18" s="111">
        <v>45</v>
      </c>
      <c r="K18" s="108">
        <v>737</v>
      </c>
      <c r="L18" s="105" t="s">
        <v>67</v>
      </c>
      <c r="M18" s="111">
        <v>32</v>
      </c>
      <c r="N18" s="108">
        <v>737</v>
      </c>
      <c r="O18" s="105" t="s">
        <v>67</v>
      </c>
      <c r="P18" s="111">
        <v>33</v>
      </c>
      <c r="Q18" s="108">
        <v>755</v>
      </c>
      <c r="R18" s="105" t="s">
        <v>67</v>
      </c>
      <c r="S18" s="111">
        <v>31</v>
      </c>
      <c r="T18" s="108">
        <v>764</v>
      </c>
      <c r="U18" s="105" t="s">
        <v>67</v>
      </c>
      <c r="V18" s="111">
        <v>27</v>
      </c>
      <c r="W18" s="108">
        <v>766</v>
      </c>
      <c r="X18" s="105" t="s">
        <v>67</v>
      </c>
      <c r="Y18" s="111">
        <v>29</v>
      </c>
      <c r="Z18" s="108">
        <v>755</v>
      </c>
      <c r="AA18" s="105" t="s">
        <v>67</v>
      </c>
      <c r="AB18" s="111">
        <v>28</v>
      </c>
      <c r="AC18" s="108">
        <v>750</v>
      </c>
      <c r="AD18" s="105" t="s">
        <v>67</v>
      </c>
      <c r="AE18" s="111">
        <v>27</v>
      </c>
      <c r="AF18" s="108">
        <v>742</v>
      </c>
      <c r="AG18" s="105" t="s">
        <v>67</v>
      </c>
      <c r="AH18" s="111">
        <v>28</v>
      </c>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25">
      <c r="A19" s="38" t="s">
        <v>148</v>
      </c>
      <c r="B19" s="255">
        <v>436</v>
      </c>
      <c r="C19" s="229" t="s">
        <v>182</v>
      </c>
      <c r="D19" s="247">
        <v>42</v>
      </c>
      <c r="E19" s="88">
        <v>405</v>
      </c>
      <c r="F19" s="1" t="s">
        <v>70</v>
      </c>
      <c r="G19" s="112">
        <v>49</v>
      </c>
      <c r="H19" s="88">
        <v>416</v>
      </c>
      <c r="I19" s="1" t="s">
        <v>70</v>
      </c>
      <c r="J19" s="112">
        <v>54</v>
      </c>
      <c r="K19" s="103">
        <v>363</v>
      </c>
      <c r="L19" s="272" t="s">
        <v>67</v>
      </c>
      <c r="M19" s="112">
        <v>34</v>
      </c>
      <c r="N19" s="88">
        <v>363</v>
      </c>
      <c r="O19" s="1" t="s">
        <v>70</v>
      </c>
      <c r="P19" s="112">
        <v>38</v>
      </c>
      <c r="Q19" s="103">
        <v>391</v>
      </c>
      <c r="R19" s="1" t="s">
        <v>67</v>
      </c>
      <c r="S19" s="112">
        <v>38</v>
      </c>
      <c r="T19" s="103">
        <v>382</v>
      </c>
      <c r="U19" s="1" t="s">
        <v>67</v>
      </c>
      <c r="V19" s="112">
        <v>31</v>
      </c>
      <c r="W19" s="103">
        <v>415</v>
      </c>
      <c r="X19" s="1" t="s">
        <v>67</v>
      </c>
      <c r="Y19" s="112">
        <v>34</v>
      </c>
      <c r="Z19" s="103">
        <v>412</v>
      </c>
      <c r="AA19" s="1" t="s">
        <v>67</v>
      </c>
      <c r="AB19" s="112">
        <v>32</v>
      </c>
      <c r="AC19" s="103">
        <v>392</v>
      </c>
      <c r="AD19" s="1" t="s">
        <v>67</v>
      </c>
      <c r="AE19" s="112">
        <v>30</v>
      </c>
      <c r="AF19" s="103">
        <v>391</v>
      </c>
      <c r="AG19" s="1" t="s">
        <v>67</v>
      </c>
      <c r="AH19" s="112">
        <v>29</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25">
      <c r="A20" s="38" t="s">
        <v>149</v>
      </c>
      <c r="B20" s="266">
        <v>230</v>
      </c>
      <c r="C20" s="229" t="s">
        <v>179</v>
      </c>
      <c r="D20" s="247">
        <v>26</v>
      </c>
      <c r="E20" s="88">
        <v>219</v>
      </c>
      <c r="F20" s="1" t="s">
        <v>70</v>
      </c>
      <c r="G20" s="112">
        <v>32</v>
      </c>
      <c r="H20" s="88">
        <v>210</v>
      </c>
      <c r="I20" s="1" t="s">
        <v>70</v>
      </c>
      <c r="J20" s="112">
        <v>27</v>
      </c>
      <c r="K20" s="88">
        <v>232</v>
      </c>
      <c r="L20" s="1" t="s">
        <v>70</v>
      </c>
      <c r="M20" s="112">
        <v>24</v>
      </c>
      <c r="N20" s="88">
        <v>237</v>
      </c>
      <c r="O20" s="1" t="s">
        <v>70</v>
      </c>
      <c r="P20" s="112">
        <v>24</v>
      </c>
      <c r="Q20" s="88">
        <v>230</v>
      </c>
      <c r="R20" s="1" t="s">
        <v>70</v>
      </c>
      <c r="S20" s="112">
        <v>25</v>
      </c>
      <c r="T20" s="103">
        <v>241</v>
      </c>
      <c r="U20" s="1" t="s">
        <v>67</v>
      </c>
      <c r="V20" s="112">
        <v>21</v>
      </c>
      <c r="W20" s="103">
        <v>216</v>
      </c>
      <c r="X20" s="1" t="s">
        <v>67</v>
      </c>
      <c r="Y20" s="112">
        <v>21</v>
      </c>
      <c r="Z20" s="88">
        <v>202</v>
      </c>
      <c r="AA20" s="1" t="s">
        <v>70</v>
      </c>
      <c r="AB20" s="112">
        <v>20</v>
      </c>
      <c r="AC20" s="103">
        <v>232</v>
      </c>
      <c r="AD20" s="1" t="s">
        <v>67</v>
      </c>
      <c r="AE20" s="112">
        <v>19</v>
      </c>
      <c r="AF20" s="103">
        <v>219</v>
      </c>
      <c r="AG20" s="1" t="s">
        <v>67</v>
      </c>
      <c r="AH20" s="112">
        <v>19</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25">
      <c r="A21" s="38" t="s">
        <v>150</v>
      </c>
      <c r="B21" s="278">
        <v>34</v>
      </c>
      <c r="C21" s="229" t="s">
        <v>180</v>
      </c>
      <c r="D21" s="247">
        <v>12</v>
      </c>
      <c r="E21" s="91">
        <v>45</v>
      </c>
      <c r="F21" s="1" t="s">
        <v>73</v>
      </c>
      <c r="G21" s="112">
        <v>15</v>
      </c>
      <c r="H21" s="274">
        <v>39</v>
      </c>
      <c r="I21" s="1" t="s">
        <v>76</v>
      </c>
      <c r="J21" s="112">
        <v>16</v>
      </c>
      <c r="K21" s="91">
        <v>51</v>
      </c>
      <c r="L21" s="1" t="s">
        <v>73</v>
      </c>
      <c r="M21" s="112">
        <v>14</v>
      </c>
      <c r="N21" s="91">
        <v>42</v>
      </c>
      <c r="O21" s="1" t="s">
        <v>73</v>
      </c>
      <c r="P21" s="112">
        <v>14</v>
      </c>
      <c r="Q21" s="91">
        <v>44</v>
      </c>
      <c r="R21" s="1" t="s">
        <v>73</v>
      </c>
      <c r="S21" s="112">
        <v>13</v>
      </c>
      <c r="T21" s="91">
        <v>37</v>
      </c>
      <c r="U21" s="1" t="s">
        <v>73</v>
      </c>
      <c r="V21" s="112">
        <v>9</v>
      </c>
      <c r="W21" s="91">
        <v>43</v>
      </c>
      <c r="X21" s="1" t="s">
        <v>73</v>
      </c>
      <c r="Y21" s="112">
        <v>10</v>
      </c>
      <c r="Z21" s="91">
        <v>51</v>
      </c>
      <c r="AA21" s="1" t="s">
        <v>73</v>
      </c>
      <c r="AB21" s="112">
        <v>11</v>
      </c>
      <c r="AC21" s="91">
        <v>44</v>
      </c>
      <c r="AD21" s="1" t="s">
        <v>73</v>
      </c>
      <c r="AE21" s="112">
        <v>9</v>
      </c>
      <c r="AF21" s="91">
        <v>40</v>
      </c>
      <c r="AG21" s="1" t="s">
        <v>73</v>
      </c>
      <c r="AH21" s="112">
        <v>9</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25">
      <c r="A22" s="41" t="s">
        <v>151</v>
      </c>
      <c r="B22" s="276">
        <v>77</v>
      </c>
      <c r="C22" s="230" t="s">
        <v>180</v>
      </c>
      <c r="D22" s="249">
        <v>16</v>
      </c>
      <c r="E22" s="92">
        <v>90</v>
      </c>
      <c r="F22" s="104" t="s">
        <v>73</v>
      </c>
      <c r="G22" s="113">
        <v>21</v>
      </c>
      <c r="H22" s="92">
        <v>84</v>
      </c>
      <c r="I22" s="104" t="s">
        <v>73</v>
      </c>
      <c r="J22" s="113">
        <v>21</v>
      </c>
      <c r="K22" s="273">
        <v>91</v>
      </c>
      <c r="L22" s="104" t="s">
        <v>70</v>
      </c>
      <c r="M22" s="113">
        <v>15</v>
      </c>
      <c r="N22" s="89">
        <v>95</v>
      </c>
      <c r="O22" s="104" t="s">
        <v>70</v>
      </c>
      <c r="P22" s="113">
        <v>17</v>
      </c>
      <c r="Q22" s="89">
        <v>90</v>
      </c>
      <c r="R22" s="104" t="s">
        <v>70</v>
      </c>
      <c r="S22" s="113">
        <v>16</v>
      </c>
      <c r="T22" s="89">
        <v>104</v>
      </c>
      <c r="U22" s="104" t="s">
        <v>70</v>
      </c>
      <c r="V22" s="113">
        <v>17</v>
      </c>
      <c r="W22" s="89">
        <v>92</v>
      </c>
      <c r="X22" s="104" t="s">
        <v>70</v>
      </c>
      <c r="Y22" s="113">
        <v>15</v>
      </c>
      <c r="Z22" s="89">
        <v>90</v>
      </c>
      <c r="AA22" s="104" t="s">
        <v>70</v>
      </c>
      <c r="AB22" s="113">
        <v>15</v>
      </c>
      <c r="AC22" s="89">
        <v>82</v>
      </c>
      <c r="AD22" s="104" t="s">
        <v>70</v>
      </c>
      <c r="AE22" s="113">
        <v>14</v>
      </c>
      <c r="AF22" s="89">
        <v>92</v>
      </c>
      <c r="AG22" s="104" t="s">
        <v>70</v>
      </c>
      <c r="AH22" s="113">
        <v>15</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25">
      <c r="A23" s="38" t="s">
        <v>152</v>
      </c>
      <c r="B23" s="266">
        <v>143</v>
      </c>
      <c r="C23" s="229" t="s">
        <v>179</v>
      </c>
      <c r="D23" s="247">
        <v>24</v>
      </c>
      <c r="E23" s="88">
        <v>159</v>
      </c>
      <c r="F23" s="1" t="s">
        <v>70</v>
      </c>
      <c r="G23" s="112">
        <v>26</v>
      </c>
      <c r="H23" s="91">
        <v>143</v>
      </c>
      <c r="I23" s="1" t="s">
        <v>73</v>
      </c>
      <c r="J23" s="112">
        <v>30</v>
      </c>
      <c r="K23" s="88">
        <v>153</v>
      </c>
      <c r="L23" s="1" t="s">
        <v>70</v>
      </c>
      <c r="M23" s="112">
        <v>24</v>
      </c>
      <c r="N23" s="88">
        <v>129</v>
      </c>
      <c r="O23" s="1" t="s">
        <v>70</v>
      </c>
      <c r="P23" s="112">
        <v>21</v>
      </c>
      <c r="Q23" s="88">
        <v>140</v>
      </c>
      <c r="R23" s="1" t="s">
        <v>70</v>
      </c>
      <c r="S23" s="112">
        <v>20</v>
      </c>
      <c r="T23" s="88">
        <v>128</v>
      </c>
      <c r="U23" s="1" t="s">
        <v>70</v>
      </c>
      <c r="V23" s="112">
        <v>18</v>
      </c>
      <c r="W23" s="88">
        <v>145</v>
      </c>
      <c r="X23" s="1" t="s">
        <v>70</v>
      </c>
      <c r="Y23" s="112">
        <v>19</v>
      </c>
      <c r="Z23" s="88">
        <v>130</v>
      </c>
      <c r="AA23" s="1" t="s">
        <v>70</v>
      </c>
      <c r="AB23" s="112">
        <v>17</v>
      </c>
      <c r="AC23" s="88">
        <v>135</v>
      </c>
      <c r="AD23" s="1" t="s">
        <v>70</v>
      </c>
      <c r="AE23" s="112">
        <v>17</v>
      </c>
      <c r="AF23" s="88">
        <v>142</v>
      </c>
      <c r="AG23" s="1" t="s">
        <v>70</v>
      </c>
      <c r="AH23" s="112">
        <v>17</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25">
      <c r="A24" s="38" t="s">
        <v>153</v>
      </c>
      <c r="B24" s="278">
        <v>88</v>
      </c>
      <c r="C24" s="229" t="s">
        <v>180</v>
      </c>
      <c r="D24" s="247">
        <v>18</v>
      </c>
      <c r="E24" s="91">
        <v>101</v>
      </c>
      <c r="F24" s="1" t="s">
        <v>73</v>
      </c>
      <c r="G24" s="112">
        <v>22</v>
      </c>
      <c r="H24" s="91">
        <v>89</v>
      </c>
      <c r="I24" s="1" t="s">
        <v>73</v>
      </c>
      <c r="J24" s="112">
        <v>24</v>
      </c>
      <c r="K24" s="88">
        <v>91</v>
      </c>
      <c r="L24" s="1" t="s">
        <v>70</v>
      </c>
      <c r="M24" s="112">
        <v>18</v>
      </c>
      <c r="N24" s="91">
        <v>87</v>
      </c>
      <c r="O24" s="1" t="s">
        <v>73</v>
      </c>
      <c r="P24" s="112">
        <v>17</v>
      </c>
      <c r="Q24" s="88">
        <v>82</v>
      </c>
      <c r="R24" s="1" t="s">
        <v>70</v>
      </c>
      <c r="S24" s="112">
        <v>15</v>
      </c>
      <c r="T24" s="88">
        <v>81</v>
      </c>
      <c r="U24" s="1" t="s">
        <v>70</v>
      </c>
      <c r="V24" s="112">
        <v>14</v>
      </c>
      <c r="W24" s="88">
        <v>90</v>
      </c>
      <c r="X24" s="1" t="s">
        <v>70</v>
      </c>
      <c r="Y24" s="112">
        <v>15</v>
      </c>
      <c r="Z24" s="88">
        <v>89</v>
      </c>
      <c r="AA24" s="1" t="s">
        <v>70</v>
      </c>
      <c r="AB24" s="112">
        <v>14</v>
      </c>
      <c r="AC24" s="88">
        <v>86</v>
      </c>
      <c r="AD24" s="1" t="s">
        <v>70</v>
      </c>
      <c r="AE24" s="112">
        <v>14</v>
      </c>
      <c r="AF24" s="88">
        <v>89</v>
      </c>
      <c r="AG24" s="1" t="s">
        <v>70</v>
      </c>
      <c r="AH24" s="112">
        <v>14</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25">
      <c r="A25" s="38" t="s">
        <v>151</v>
      </c>
      <c r="B25" s="278">
        <v>55</v>
      </c>
      <c r="C25" s="229" t="s">
        <v>180</v>
      </c>
      <c r="D25" s="247">
        <v>15</v>
      </c>
      <c r="E25" s="91">
        <v>58</v>
      </c>
      <c r="F25" s="1" t="s">
        <v>73</v>
      </c>
      <c r="G25" s="112">
        <v>18</v>
      </c>
      <c r="H25" s="91">
        <v>54</v>
      </c>
      <c r="I25" s="1" t="s">
        <v>73</v>
      </c>
      <c r="J25" s="112">
        <v>19</v>
      </c>
      <c r="K25" s="91">
        <v>62</v>
      </c>
      <c r="L25" s="1" t="s">
        <v>73</v>
      </c>
      <c r="M25" s="112">
        <v>16</v>
      </c>
      <c r="N25" s="91">
        <v>42</v>
      </c>
      <c r="O25" s="1" t="s">
        <v>73</v>
      </c>
      <c r="P25" s="112">
        <v>12</v>
      </c>
      <c r="Q25" s="91">
        <v>58</v>
      </c>
      <c r="R25" s="1" t="s">
        <v>73</v>
      </c>
      <c r="S25" s="112">
        <v>15</v>
      </c>
      <c r="T25" s="91">
        <v>47</v>
      </c>
      <c r="U25" s="1" t="s">
        <v>73</v>
      </c>
      <c r="V25" s="112">
        <v>12</v>
      </c>
      <c r="W25" s="91">
        <v>55</v>
      </c>
      <c r="X25" s="1" t="s">
        <v>73</v>
      </c>
      <c r="Y25" s="112">
        <v>12</v>
      </c>
      <c r="Z25" s="91">
        <v>42</v>
      </c>
      <c r="AA25" s="1" t="s">
        <v>73</v>
      </c>
      <c r="AB25" s="112">
        <v>11</v>
      </c>
      <c r="AC25" s="91">
        <v>49</v>
      </c>
      <c r="AD25" s="1" t="s">
        <v>73</v>
      </c>
      <c r="AE25" s="112">
        <v>11</v>
      </c>
      <c r="AF25" s="91">
        <v>53</v>
      </c>
      <c r="AG25" s="1" t="s">
        <v>73</v>
      </c>
      <c r="AH25" s="112">
        <v>12</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25">
      <c r="A26" s="39" t="s">
        <v>154</v>
      </c>
      <c r="B26" s="267">
        <v>13</v>
      </c>
      <c r="C26" s="231" t="s">
        <v>181</v>
      </c>
      <c r="D26" s="252">
        <v>8</v>
      </c>
      <c r="E26" s="93">
        <v>14</v>
      </c>
      <c r="F26" s="106" t="s">
        <v>76</v>
      </c>
      <c r="G26" s="114">
        <v>10</v>
      </c>
      <c r="H26" s="93">
        <v>19</v>
      </c>
      <c r="I26" s="106" t="s">
        <v>76</v>
      </c>
      <c r="J26" s="114">
        <v>13</v>
      </c>
      <c r="K26" s="93">
        <v>11</v>
      </c>
      <c r="L26" s="106" t="s">
        <v>76</v>
      </c>
      <c r="M26" s="114">
        <v>6</v>
      </c>
      <c r="N26" s="93">
        <v>16</v>
      </c>
      <c r="O26" s="106" t="s">
        <v>76</v>
      </c>
      <c r="P26" s="114">
        <v>8</v>
      </c>
      <c r="Q26" s="93">
        <v>5</v>
      </c>
      <c r="R26" s="106" t="s">
        <v>76</v>
      </c>
      <c r="S26" s="114">
        <v>5</v>
      </c>
      <c r="T26" s="93">
        <v>6</v>
      </c>
      <c r="U26" s="106" t="s">
        <v>76</v>
      </c>
      <c r="V26" s="114">
        <v>4</v>
      </c>
      <c r="W26" s="93">
        <v>8</v>
      </c>
      <c r="X26" s="106" t="s">
        <v>76</v>
      </c>
      <c r="Y26" s="114">
        <v>5</v>
      </c>
      <c r="Z26" s="93">
        <v>11</v>
      </c>
      <c r="AA26" s="106" t="s">
        <v>76</v>
      </c>
      <c r="AB26" s="114">
        <v>5</v>
      </c>
      <c r="AC26" s="93">
        <v>12</v>
      </c>
      <c r="AD26" s="106" t="s">
        <v>76</v>
      </c>
      <c r="AE26" s="114">
        <v>6</v>
      </c>
      <c r="AF26" s="93">
        <v>9</v>
      </c>
      <c r="AG26" s="106" t="s">
        <v>76</v>
      </c>
      <c r="AH26" s="114">
        <v>5</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25">
      <c r="A27" s="40" t="s">
        <v>155</v>
      </c>
      <c r="B27" s="262">
        <v>1404</v>
      </c>
      <c r="C27" s="231" t="s">
        <v>182</v>
      </c>
      <c r="D27" s="252">
        <v>51</v>
      </c>
      <c r="E27" s="107">
        <v>1342</v>
      </c>
      <c r="F27" s="106" t="s">
        <v>67</v>
      </c>
      <c r="G27" s="114">
        <v>54</v>
      </c>
      <c r="H27" s="107">
        <v>1385</v>
      </c>
      <c r="I27" s="106" t="s">
        <v>67</v>
      </c>
      <c r="J27" s="114">
        <v>70</v>
      </c>
      <c r="K27" s="107">
        <v>1332</v>
      </c>
      <c r="L27" s="106" t="s">
        <v>67</v>
      </c>
      <c r="M27" s="114">
        <v>47</v>
      </c>
      <c r="N27" s="107">
        <v>1346</v>
      </c>
      <c r="O27" s="106" t="s">
        <v>67</v>
      </c>
      <c r="P27" s="114">
        <v>50</v>
      </c>
      <c r="Q27" s="107">
        <v>1356</v>
      </c>
      <c r="R27" s="106" t="s">
        <v>67</v>
      </c>
      <c r="S27" s="114">
        <v>48</v>
      </c>
      <c r="T27" s="107">
        <v>1373</v>
      </c>
      <c r="U27" s="106" t="s">
        <v>67</v>
      </c>
      <c r="V27" s="114">
        <v>33</v>
      </c>
      <c r="W27" s="119">
        <v>1341</v>
      </c>
      <c r="X27" s="106" t="s">
        <v>67</v>
      </c>
      <c r="Y27" s="114">
        <v>31</v>
      </c>
      <c r="Z27" s="107">
        <v>1329</v>
      </c>
      <c r="AA27" s="106" t="s">
        <v>67</v>
      </c>
      <c r="AB27" s="114">
        <v>33</v>
      </c>
      <c r="AC27" s="107">
        <v>1338</v>
      </c>
      <c r="AD27" s="106" t="s">
        <v>67</v>
      </c>
      <c r="AE27" s="114">
        <v>33</v>
      </c>
      <c r="AF27" s="107">
        <v>1326</v>
      </c>
      <c r="AG27" s="106" t="s">
        <v>67</v>
      </c>
      <c r="AH27" s="114">
        <v>33</v>
      </c>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row r="29" spans="1:256" ht="1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row>
    <row r="30" spans="1:256" ht="1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row>
    <row r="31" spans="1:256" ht="1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row>
    <row r="32" spans="1:256" ht="1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row>
    <row r="33" spans="1:30" ht="1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ht="1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ht="1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ht="1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ht="1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ht="1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spans="1:30" ht="1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ht="1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spans="1:30" ht="1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spans="1:30" ht="1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spans="1:30" ht="1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spans="1:30" ht="1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sheetData>
  <hyperlinks>
    <hyperlink ref="A9" r:id="rId1" xr:uid="{00000000-0004-0000-0E00-000000000000}"/>
    <hyperlink ref="A10" r:id="rId2" xr:uid="{00000000-0004-0000-0E00-000001000000}"/>
    <hyperlink ref="A11" r:id="rId3" xr:uid="{00000000-0004-0000-0E00-000002000000}"/>
  </hyperlinks>
  <pageMargins left="0.7" right="0.7" top="0.75" bottom="0.75" header="0.3" footer="0.3"/>
  <pageSetup paperSize="9" orientation="portrait"/>
  <tableParts count="1">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IV43"/>
  <sheetViews>
    <sheetView showGridLines="0" zoomScaleNormal="100" workbookViewId="0"/>
  </sheetViews>
  <sheetFormatPr defaultColWidth="10.90625" defaultRowHeight="15" x14ac:dyDescent="0.25"/>
  <cols>
    <col min="1" max="1" width="55.6328125" customWidth="1"/>
    <col min="2" max="2" width="13.08984375" bestFit="1" customWidth="1"/>
    <col min="3" max="3" width="8.1796875" bestFit="1" customWidth="1"/>
    <col min="4" max="4" width="9.453125" bestFit="1" customWidth="1"/>
    <col min="5" max="5" width="13.08984375" bestFit="1" customWidth="1"/>
    <col min="6" max="6" width="8.1796875" bestFit="1" customWidth="1"/>
    <col min="7" max="7" width="9.453125" bestFit="1" customWidth="1"/>
    <col min="8" max="8" width="13.08984375" bestFit="1" customWidth="1"/>
    <col min="9" max="9" width="8.1796875" bestFit="1" customWidth="1"/>
    <col min="10" max="10" width="9.453125" bestFit="1" customWidth="1"/>
    <col min="11" max="11" width="13.08984375" bestFit="1" customWidth="1"/>
    <col min="12" max="12" width="8.1796875" bestFit="1" customWidth="1"/>
    <col min="13" max="13" width="9.90625" bestFit="1" customWidth="1"/>
    <col min="14" max="14" width="13.08984375" bestFit="1" customWidth="1"/>
    <col min="15" max="15" width="8.1796875" bestFit="1" customWidth="1"/>
    <col min="16" max="16" width="9.90625" bestFit="1" customWidth="1"/>
    <col min="17" max="17" width="13.08984375" bestFit="1" customWidth="1"/>
    <col min="18" max="18" width="8.1796875" bestFit="1" customWidth="1"/>
    <col min="19" max="19" width="9.90625" bestFit="1" customWidth="1"/>
    <col min="20" max="20" width="13.08984375" bestFit="1" customWidth="1"/>
    <col min="21" max="21" width="8.1796875" bestFit="1" customWidth="1"/>
    <col min="22" max="22" width="9.90625" bestFit="1" customWidth="1"/>
    <col min="23" max="23" width="13.08984375" bestFit="1" customWidth="1"/>
    <col min="24" max="24" width="8.1796875" bestFit="1" customWidth="1"/>
    <col min="25" max="25" width="9.90625" bestFit="1" customWidth="1"/>
    <col min="26" max="26" width="13.08984375" bestFit="1" customWidth="1"/>
    <col min="27" max="27" width="8.1796875" bestFit="1" customWidth="1"/>
    <col min="28" max="28" width="9.90625" bestFit="1" customWidth="1"/>
    <col min="29" max="29" width="13.08984375" bestFit="1" customWidth="1"/>
    <col min="30" max="30" width="8.1796875" bestFit="1" customWidth="1"/>
    <col min="31" max="31" width="9.90625" bestFit="1" customWidth="1"/>
    <col min="32" max="32" width="13.08984375" bestFit="1" customWidth="1"/>
    <col min="33" max="33" width="8.1796875" bestFit="1" customWidth="1"/>
    <col min="34" max="34" width="9.90625" bestFit="1" customWidth="1"/>
  </cols>
  <sheetData>
    <row r="1" spans="1:256" ht="19.5" customHeight="1" x14ac:dyDescent="0.25">
      <c r="A1" s="196" t="s">
        <v>0</v>
      </c>
    </row>
    <row r="2" spans="1:256" ht="31.2" customHeight="1" x14ac:dyDescent="0.25">
      <c r="A2" s="197" t="s">
        <v>177</v>
      </c>
    </row>
    <row r="3" spans="1:256" ht="15.6" customHeight="1" x14ac:dyDescent="0.25">
      <c r="A3" s="38" t="s">
        <v>178</v>
      </c>
    </row>
    <row r="4" spans="1:256" ht="15.6" customHeight="1" x14ac:dyDescent="0.25">
      <c r="A4" s="38" t="s">
        <v>102</v>
      </c>
    </row>
    <row r="5" spans="1:256" ht="15.75" customHeight="1" x14ac:dyDescent="0.25">
      <c r="A5" s="38" t="s">
        <v>103</v>
      </c>
    </row>
    <row r="6" spans="1:256" ht="15.75" customHeight="1" x14ac:dyDescent="0.25">
      <c r="A6" s="38" t="s">
        <v>188</v>
      </c>
    </row>
    <row r="7" spans="1:256" ht="15.6" customHeight="1" x14ac:dyDescent="0.3">
      <c r="A7" s="38" t="s">
        <v>189</v>
      </c>
      <c r="B7" s="150"/>
      <c r="C7" s="150"/>
      <c r="D7" s="150"/>
      <c r="E7" s="150"/>
      <c r="F7" s="150"/>
      <c r="G7" s="150"/>
      <c r="H7" s="150"/>
      <c r="I7" s="150"/>
      <c r="J7" s="150"/>
      <c r="K7" s="150"/>
      <c r="L7" s="150"/>
      <c r="M7" s="150"/>
      <c r="N7" s="150"/>
      <c r="O7" s="150"/>
      <c r="P7" s="150"/>
      <c r="Q7" s="150"/>
      <c r="R7" s="150"/>
      <c r="S7" s="150"/>
      <c r="T7" s="150"/>
      <c r="U7" s="150"/>
      <c r="V7" s="150"/>
      <c r="W7" s="150"/>
      <c r="X7" s="150"/>
      <c r="Y7" s="150"/>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49"/>
      <c r="CH7" s="149"/>
      <c r="CI7" s="149"/>
      <c r="CJ7" s="149"/>
      <c r="CK7" s="149"/>
      <c r="CL7" s="149"/>
      <c r="CM7" s="149"/>
      <c r="CN7" s="149"/>
      <c r="CO7" s="149"/>
      <c r="CP7" s="149"/>
      <c r="CQ7" s="149"/>
      <c r="CR7" s="149"/>
      <c r="CS7" s="149"/>
      <c r="CT7" s="149"/>
      <c r="CU7" s="149"/>
      <c r="CV7" s="149"/>
      <c r="CW7" s="149"/>
      <c r="CX7" s="149"/>
      <c r="CY7" s="149"/>
      <c r="CZ7" s="149"/>
      <c r="DA7" s="149"/>
      <c r="DB7" s="149"/>
      <c r="DC7" s="149"/>
      <c r="DD7" s="149"/>
      <c r="DE7" s="149"/>
      <c r="DF7" s="149"/>
      <c r="DG7" s="149"/>
      <c r="DH7" s="149"/>
      <c r="DI7" s="149"/>
      <c r="DJ7" s="149"/>
      <c r="DK7" s="149"/>
      <c r="DL7" s="149"/>
      <c r="DM7" s="149"/>
      <c r="DN7" s="149"/>
      <c r="DO7" s="149"/>
      <c r="DP7" s="149"/>
      <c r="DQ7" s="149"/>
      <c r="DR7" s="149"/>
      <c r="DS7" s="149"/>
      <c r="DT7" s="149"/>
      <c r="DU7" s="149"/>
      <c r="DV7" s="149"/>
      <c r="DW7" s="149"/>
      <c r="DX7" s="149"/>
      <c r="DY7" s="149"/>
      <c r="DZ7" s="149"/>
      <c r="EA7" s="149"/>
      <c r="EB7" s="149"/>
      <c r="EC7" s="149"/>
      <c r="ED7" s="149"/>
      <c r="EE7" s="149"/>
      <c r="EF7" s="149"/>
      <c r="EG7" s="149"/>
      <c r="EH7" s="149"/>
      <c r="EI7" s="149"/>
      <c r="EJ7" s="149"/>
      <c r="EK7" s="149"/>
      <c r="EL7" s="149"/>
      <c r="EM7" s="149"/>
      <c r="EN7" s="149"/>
      <c r="EO7" s="149"/>
      <c r="EP7" s="149"/>
      <c r="EQ7" s="149"/>
      <c r="ER7" s="149"/>
      <c r="ES7" s="149"/>
      <c r="ET7" s="149"/>
      <c r="EU7" s="149"/>
      <c r="EV7" s="149"/>
      <c r="EW7" s="149"/>
      <c r="EX7" s="149"/>
      <c r="EY7" s="149"/>
      <c r="EZ7" s="149"/>
      <c r="FA7" s="149"/>
      <c r="FB7" s="149"/>
      <c r="FC7" s="149"/>
      <c r="FD7" s="149"/>
      <c r="FE7" s="149"/>
      <c r="FF7" s="149"/>
      <c r="FG7" s="149"/>
      <c r="FH7" s="149"/>
      <c r="FI7" s="149"/>
      <c r="FJ7" s="149"/>
      <c r="FK7" s="149"/>
      <c r="FL7" s="149"/>
      <c r="FM7" s="149"/>
      <c r="FN7" s="149"/>
      <c r="FO7" s="149"/>
      <c r="FP7" s="149"/>
      <c r="FQ7" s="149"/>
      <c r="FR7" s="149"/>
      <c r="FS7" s="149"/>
      <c r="FT7" s="149"/>
      <c r="FU7" s="149"/>
      <c r="FV7" s="149"/>
      <c r="FW7" s="149"/>
      <c r="FX7" s="149"/>
      <c r="FY7" s="149"/>
      <c r="FZ7" s="149"/>
      <c r="GA7" s="149"/>
      <c r="GB7" s="149"/>
      <c r="GC7" s="149"/>
      <c r="GD7" s="149"/>
      <c r="GE7" s="149"/>
      <c r="GF7" s="149"/>
      <c r="GG7" s="149"/>
      <c r="GH7" s="149"/>
      <c r="GI7" s="149"/>
      <c r="GJ7" s="149"/>
      <c r="GK7" s="149"/>
      <c r="GL7" s="149"/>
      <c r="GM7" s="149"/>
      <c r="GN7" s="149"/>
      <c r="GO7" s="149"/>
      <c r="GP7" s="149"/>
      <c r="GQ7" s="149"/>
      <c r="GR7" s="149"/>
      <c r="GS7" s="149"/>
      <c r="GT7" s="149"/>
      <c r="GU7" s="149"/>
      <c r="GV7" s="149"/>
      <c r="GW7" s="149"/>
      <c r="GX7" s="149"/>
      <c r="GY7" s="149"/>
      <c r="GZ7" s="149"/>
      <c r="HA7" s="149"/>
      <c r="HB7" s="149"/>
      <c r="HC7" s="149"/>
      <c r="HD7" s="149"/>
      <c r="HE7" s="149"/>
      <c r="HF7" s="149"/>
      <c r="HG7" s="149"/>
      <c r="HH7" s="149"/>
      <c r="HI7" s="149"/>
      <c r="HJ7" s="149"/>
      <c r="HK7" s="149"/>
      <c r="HL7" s="149"/>
      <c r="HM7" s="149"/>
      <c r="HN7" s="149"/>
      <c r="HO7" s="149"/>
      <c r="HP7" s="149"/>
      <c r="HQ7" s="149"/>
      <c r="HR7" s="149"/>
    </row>
    <row r="8" spans="1:256" ht="31.2" customHeight="1" x14ac:dyDescent="0.25">
      <c r="A8" s="48" t="s">
        <v>104</v>
      </c>
    </row>
    <row r="9" spans="1:256" ht="15.6" customHeight="1" x14ac:dyDescent="0.25">
      <c r="A9" s="185" t="s">
        <v>105</v>
      </c>
    </row>
    <row r="10" spans="1:256" ht="15.6" customHeight="1" x14ac:dyDescent="0.25">
      <c r="A10" s="185" t="s">
        <v>106</v>
      </c>
    </row>
    <row r="11" spans="1:256" ht="31.2" customHeight="1" x14ac:dyDescent="0.25">
      <c r="A11" s="195" t="s">
        <v>107</v>
      </c>
    </row>
    <row r="12" spans="1:256" ht="31.2" customHeight="1" x14ac:dyDescent="0.25">
      <c r="A12" s="157" t="s">
        <v>176</v>
      </c>
      <c r="B12" s="176" t="s">
        <v>109</v>
      </c>
      <c r="C12" s="176" t="s">
        <v>110</v>
      </c>
      <c r="D12" s="176" t="s">
        <v>111</v>
      </c>
      <c r="E12" s="57" t="s">
        <v>112</v>
      </c>
      <c r="F12" s="42" t="s">
        <v>113</v>
      </c>
      <c r="G12" s="43" t="s">
        <v>114</v>
      </c>
      <c r="H12" s="57" t="s">
        <v>115</v>
      </c>
      <c r="I12" s="42" t="s">
        <v>116</v>
      </c>
      <c r="J12" s="43" t="s">
        <v>117</v>
      </c>
      <c r="K12" s="57" t="s">
        <v>118</v>
      </c>
      <c r="L12" s="42" t="s">
        <v>119</v>
      </c>
      <c r="M12" s="43" t="s">
        <v>120</v>
      </c>
      <c r="N12" s="57" t="s">
        <v>121</v>
      </c>
      <c r="O12" s="42" t="s">
        <v>122</v>
      </c>
      <c r="P12" s="43" t="s">
        <v>123</v>
      </c>
      <c r="Q12" s="57" t="s">
        <v>124</v>
      </c>
      <c r="R12" s="42" t="s">
        <v>125</v>
      </c>
      <c r="S12" s="43" t="s">
        <v>126</v>
      </c>
      <c r="T12" s="57" t="s">
        <v>127</v>
      </c>
      <c r="U12" s="42" t="s">
        <v>128</v>
      </c>
      <c r="V12" s="43" t="s">
        <v>129</v>
      </c>
      <c r="W12" s="57" t="s">
        <v>130</v>
      </c>
      <c r="X12" s="42" t="s">
        <v>131</v>
      </c>
      <c r="Y12" s="43" t="s">
        <v>132</v>
      </c>
      <c r="Z12" s="57" t="s">
        <v>133</v>
      </c>
      <c r="AA12" s="42" t="s">
        <v>134</v>
      </c>
      <c r="AB12" s="43" t="s">
        <v>135</v>
      </c>
      <c r="AC12" s="57" t="s">
        <v>136</v>
      </c>
      <c r="AD12" s="42" t="s">
        <v>137</v>
      </c>
      <c r="AE12" s="43" t="s">
        <v>138</v>
      </c>
      <c r="AF12" s="42" t="s">
        <v>139</v>
      </c>
      <c r="AG12" s="42" t="s">
        <v>140</v>
      </c>
      <c r="AH12" s="43" t="s">
        <v>141</v>
      </c>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row>
    <row r="13" spans="1:256" x14ac:dyDescent="0.25">
      <c r="A13" s="38" t="s">
        <v>142</v>
      </c>
      <c r="B13" s="218">
        <v>903</v>
      </c>
      <c r="C13" s="228" t="s">
        <v>182</v>
      </c>
      <c r="D13" s="219">
        <v>86</v>
      </c>
      <c r="E13" s="108">
        <v>941</v>
      </c>
      <c r="F13" s="105" t="s">
        <v>67</v>
      </c>
      <c r="G13" s="111">
        <v>92</v>
      </c>
      <c r="H13" s="87">
        <v>891</v>
      </c>
      <c r="I13" s="105" t="s">
        <v>70</v>
      </c>
      <c r="J13" s="111">
        <v>100</v>
      </c>
      <c r="K13" s="87">
        <v>904</v>
      </c>
      <c r="L13" s="105" t="s">
        <v>70</v>
      </c>
      <c r="M13" s="111">
        <v>95</v>
      </c>
      <c r="N13" s="87">
        <v>904</v>
      </c>
      <c r="O13" s="105" t="s">
        <v>70</v>
      </c>
      <c r="P13" s="111">
        <v>91</v>
      </c>
      <c r="Q13" s="87">
        <v>875</v>
      </c>
      <c r="R13" s="105" t="s">
        <v>70</v>
      </c>
      <c r="S13" s="111">
        <v>88</v>
      </c>
      <c r="T13" s="108">
        <v>873</v>
      </c>
      <c r="U13" s="105" t="s">
        <v>67</v>
      </c>
      <c r="V13" s="111">
        <v>58</v>
      </c>
      <c r="W13" s="108">
        <v>834</v>
      </c>
      <c r="X13" s="105" t="s">
        <v>67</v>
      </c>
      <c r="Y13" s="111">
        <v>58</v>
      </c>
      <c r="Z13" s="108">
        <v>780</v>
      </c>
      <c r="AA13" s="105" t="s">
        <v>67</v>
      </c>
      <c r="AB13" s="111">
        <v>59</v>
      </c>
      <c r="AC13" s="108">
        <v>741</v>
      </c>
      <c r="AD13" s="105" t="s">
        <v>67</v>
      </c>
      <c r="AE13" s="111">
        <v>58</v>
      </c>
      <c r="AF13" s="154">
        <v>775</v>
      </c>
      <c r="AG13" s="105" t="s">
        <v>67</v>
      </c>
      <c r="AH13" s="111">
        <v>54</v>
      </c>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pans="1:256" x14ac:dyDescent="0.25">
      <c r="A14" s="38" t="s">
        <v>143</v>
      </c>
      <c r="B14" s="200">
        <v>476</v>
      </c>
      <c r="C14" s="229" t="s">
        <v>179</v>
      </c>
      <c r="D14" s="220">
        <v>50</v>
      </c>
      <c r="E14" s="88">
        <v>503</v>
      </c>
      <c r="F14" s="1" t="s">
        <v>70</v>
      </c>
      <c r="G14" s="112">
        <v>58</v>
      </c>
      <c r="H14" s="88">
        <v>490</v>
      </c>
      <c r="I14" s="1" t="s">
        <v>70</v>
      </c>
      <c r="J14" s="112">
        <v>63</v>
      </c>
      <c r="K14" s="88">
        <v>476</v>
      </c>
      <c r="L14" s="1" t="s">
        <v>70</v>
      </c>
      <c r="M14" s="112">
        <v>56</v>
      </c>
      <c r="N14" s="88">
        <v>498</v>
      </c>
      <c r="O14" s="1" t="s">
        <v>70</v>
      </c>
      <c r="P14" s="112">
        <v>50</v>
      </c>
      <c r="Q14" s="88">
        <v>466</v>
      </c>
      <c r="R14" s="1" t="s">
        <v>70</v>
      </c>
      <c r="S14" s="112">
        <v>49</v>
      </c>
      <c r="T14" s="103">
        <v>470</v>
      </c>
      <c r="U14" s="1" t="s">
        <v>67</v>
      </c>
      <c r="V14" s="112">
        <v>34</v>
      </c>
      <c r="W14" s="103">
        <v>444</v>
      </c>
      <c r="X14" s="1" t="s">
        <v>67</v>
      </c>
      <c r="Y14" s="112">
        <v>34</v>
      </c>
      <c r="Z14" s="103">
        <v>440</v>
      </c>
      <c r="AA14" s="1" t="s">
        <v>67</v>
      </c>
      <c r="AB14" s="112">
        <v>35</v>
      </c>
      <c r="AC14" s="103">
        <v>416</v>
      </c>
      <c r="AD14" s="1" t="s">
        <v>67</v>
      </c>
      <c r="AE14" s="112">
        <v>35</v>
      </c>
      <c r="AF14" s="152">
        <v>461</v>
      </c>
      <c r="AG14" s="1" t="s">
        <v>67</v>
      </c>
      <c r="AH14" s="112">
        <v>35</v>
      </c>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pans="1:256" x14ac:dyDescent="0.25">
      <c r="A15" s="38" t="s">
        <v>144</v>
      </c>
      <c r="B15" s="217">
        <v>427</v>
      </c>
      <c r="C15" s="230" t="s">
        <v>179</v>
      </c>
      <c r="D15" s="222">
        <v>72</v>
      </c>
      <c r="E15" s="89">
        <v>438</v>
      </c>
      <c r="F15" s="104" t="s">
        <v>70</v>
      </c>
      <c r="G15" s="113">
        <v>72</v>
      </c>
      <c r="H15" s="89">
        <v>400</v>
      </c>
      <c r="I15" s="104" t="s">
        <v>70</v>
      </c>
      <c r="J15" s="113">
        <v>71</v>
      </c>
      <c r="K15" s="89">
        <v>428</v>
      </c>
      <c r="L15" s="104" t="s">
        <v>70</v>
      </c>
      <c r="M15" s="113">
        <v>80</v>
      </c>
      <c r="N15" s="89">
        <v>406</v>
      </c>
      <c r="O15" s="104" t="s">
        <v>70</v>
      </c>
      <c r="P15" s="113">
        <v>78</v>
      </c>
      <c r="Q15" s="92">
        <v>409</v>
      </c>
      <c r="R15" s="104" t="s">
        <v>73</v>
      </c>
      <c r="S15" s="113">
        <v>82</v>
      </c>
      <c r="T15" s="89">
        <v>403</v>
      </c>
      <c r="U15" s="104" t="s">
        <v>70</v>
      </c>
      <c r="V15" s="113">
        <v>49</v>
      </c>
      <c r="W15" s="89">
        <v>389</v>
      </c>
      <c r="X15" s="104" t="s">
        <v>70</v>
      </c>
      <c r="Y15" s="113">
        <v>50</v>
      </c>
      <c r="Z15" s="89">
        <v>340</v>
      </c>
      <c r="AA15" s="104" t="s">
        <v>70</v>
      </c>
      <c r="AB15" s="113">
        <v>49</v>
      </c>
      <c r="AC15" s="89">
        <v>325</v>
      </c>
      <c r="AD15" s="104" t="s">
        <v>70</v>
      </c>
      <c r="AE15" s="113">
        <v>49</v>
      </c>
      <c r="AF15" s="135">
        <v>314</v>
      </c>
      <c r="AG15" s="104" t="s">
        <v>70</v>
      </c>
      <c r="AH15" s="113">
        <v>44</v>
      </c>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pans="1:256" x14ac:dyDescent="0.25">
      <c r="A16" s="39" t="s">
        <v>145</v>
      </c>
      <c r="B16" s="268">
        <v>69</v>
      </c>
      <c r="C16" s="228" t="s">
        <v>180</v>
      </c>
      <c r="D16" s="224">
        <v>21</v>
      </c>
      <c r="E16" s="90">
        <v>51</v>
      </c>
      <c r="F16" s="106" t="s">
        <v>73</v>
      </c>
      <c r="G16" s="114">
        <v>19</v>
      </c>
      <c r="H16" s="90">
        <v>83</v>
      </c>
      <c r="I16" s="106" t="s">
        <v>73</v>
      </c>
      <c r="J16" s="114">
        <v>32</v>
      </c>
      <c r="K16" s="90">
        <v>53</v>
      </c>
      <c r="L16" s="106" t="s">
        <v>73</v>
      </c>
      <c r="M16" s="114">
        <v>20</v>
      </c>
      <c r="N16" s="90">
        <v>51</v>
      </c>
      <c r="O16" s="106" t="s">
        <v>73</v>
      </c>
      <c r="P16" s="114">
        <v>16</v>
      </c>
      <c r="Q16" s="90">
        <v>64</v>
      </c>
      <c r="R16" s="106" t="s">
        <v>73</v>
      </c>
      <c r="S16" s="114">
        <v>22</v>
      </c>
      <c r="T16" s="90">
        <v>59</v>
      </c>
      <c r="U16" s="106" t="s">
        <v>73</v>
      </c>
      <c r="V16" s="114">
        <v>14</v>
      </c>
      <c r="W16" s="90">
        <v>62</v>
      </c>
      <c r="X16" s="106" t="s">
        <v>73</v>
      </c>
      <c r="Y16" s="114">
        <v>14</v>
      </c>
      <c r="Z16" s="90">
        <v>66</v>
      </c>
      <c r="AA16" s="106" t="s">
        <v>73</v>
      </c>
      <c r="AB16" s="114">
        <v>15</v>
      </c>
      <c r="AC16" s="90">
        <v>68</v>
      </c>
      <c r="AD16" s="106" t="s">
        <v>73</v>
      </c>
      <c r="AE16" s="114">
        <v>17</v>
      </c>
      <c r="AF16" s="139">
        <v>71</v>
      </c>
      <c r="AG16" s="106" t="s">
        <v>73</v>
      </c>
      <c r="AH16" s="114">
        <v>16</v>
      </c>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pans="1:256" x14ac:dyDescent="0.25">
      <c r="A17" s="38" t="s">
        <v>146</v>
      </c>
      <c r="B17" s="218">
        <v>1536</v>
      </c>
      <c r="C17" s="228" t="s">
        <v>182</v>
      </c>
      <c r="D17" s="224">
        <v>37</v>
      </c>
      <c r="E17" s="107">
        <v>1569</v>
      </c>
      <c r="F17" s="106" t="s">
        <v>67</v>
      </c>
      <c r="G17" s="114">
        <v>45</v>
      </c>
      <c r="H17" s="107">
        <v>1536</v>
      </c>
      <c r="I17" s="106" t="s">
        <v>67</v>
      </c>
      <c r="J17" s="114">
        <v>60</v>
      </c>
      <c r="K17" s="107">
        <v>1569</v>
      </c>
      <c r="L17" s="106" t="s">
        <v>67</v>
      </c>
      <c r="M17" s="114">
        <v>46</v>
      </c>
      <c r="N17" s="107">
        <v>1546</v>
      </c>
      <c r="O17" s="106" t="s">
        <v>67</v>
      </c>
      <c r="P17" s="114">
        <v>43</v>
      </c>
      <c r="Q17" s="107">
        <v>1517</v>
      </c>
      <c r="R17" s="106" t="s">
        <v>67</v>
      </c>
      <c r="S17" s="114">
        <v>43</v>
      </c>
      <c r="T17" s="107">
        <v>1544</v>
      </c>
      <c r="U17" s="106" t="s">
        <v>67</v>
      </c>
      <c r="V17" s="114">
        <v>34</v>
      </c>
      <c r="W17" s="107">
        <v>1520</v>
      </c>
      <c r="X17" s="106" t="s">
        <v>67</v>
      </c>
      <c r="Y17" s="114">
        <v>33</v>
      </c>
      <c r="Z17" s="107">
        <v>1568</v>
      </c>
      <c r="AA17" s="106" t="s">
        <v>67</v>
      </c>
      <c r="AB17" s="114">
        <v>33</v>
      </c>
      <c r="AC17" s="107">
        <v>1551</v>
      </c>
      <c r="AD17" s="106" t="s">
        <v>67</v>
      </c>
      <c r="AE17" s="114">
        <v>36</v>
      </c>
      <c r="AF17" s="153">
        <v>1516</v>
      </c>
      <c r="AG17" s="106" t="s">
        <v>67</v>
      </c>
      <c r="AH17" s="114">
        <v>31</v>
      </c>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pans="1:256" x14ac:dyDescent="0.25">
      <c r="A18" s="40" t="s">
        <v>147</v>
      </c>
      <c r="B18" s="218">
        <v>1307</v>
      </c>
      <c r="C18" s="228" t="s">
        <v>182</v>
      </c>
      <c r="D18" s="219">
        <v>39</v>
      </c>
      <c r="E18" s="108">
        <v>1348</v>
      </c>
      <c r="F18" s="105" t="s">
        <v>67</v>
      </c>
      <c r="G18" s="111">
        <v>47</v>
      </c>
      <c r="H18" s="108">
        <v>1327</v>
      </c>
      <c r="I18" s="105" t="s">
        <v>67</v>
      </c>
      <c r="J18" s="111">
        <v>62</v>
      </c>
      <c r="K18" s="108">
        <v>1337</v>
      </c>
      <c r="L18" s="105" t="s">
        <v>67</v>
      </c>
      <c r="M18" s="111">
        <v>52</v>
      </c>
      <c r="N18" s="108">
        <v>1317</v>
      </c>
      <c r="O18" s="105" t="s">
        <v>67</v>
      </c>
      <c r="P18" s="111">
        <v>44</v>
      </c>
      <c r="Q18" s="108">
        <v>1310</v>
      </c>
      <c r="R18" s="105" t="s">
        <v>67</v>
      </c>
      <c r="S18" s="111">
        <v>48</v>
      </c>
      <c r="T18" s="108">
        <v>1317</v>
      </c>
      <c r="U18" s="105" t="s">
        <v>67</v>
      </c>
      <c r="V18" s="111">
        <v>37</v>
      </c>
      <c r="W18" s="108">
        <v>1293</v>
      </c>
      <c r="X18" s="105" t="s">
        <v>67</v>
      </c>
      <c r="Y18" s="111">
        <v>36</v>
      </c>
      <c r="Z18" s="108">
        <v>1346</v>
      </c>
      <c r="AA18" s="105" t="s">
        <v>67</v>
      </c>
      <c r="AB18" s="111">
        <v>36</v>
      </c>
      <c r="AC18" s="108">
        <v>1332</v>
      </c>
      <c r="AD18" s="105" t="s">
        <v>67</v>
      </c>
      <c r="AE18" s="111">
        <v>39</v>
      </c>
      <c r="AF18" s="154">
        <v>1291</v>
      </c>
      <c r="AG18" s="105" t="s">
        <v>67</v>
      </c>
      <c r="AH18" s="111">
        <v>34</v>
      </c>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pans="1:256" x14ac:dyDescent="0.25">
      <c r="A19" s="38" t="s">
        <v>148</v>
      </c>
      <c r="B19" s="225">
        <v>694</v>
      </c>
      <c r="C19" s="229" t="s">
        <v>182</v>
      </c>
      <c r="D19" s="220">
        <v>48</v>
      </c>
      <c r="E19" s="103">
        <v>753</v>
      </c>
      <c r="F19" s="1" t="s">
        <v>67</v>
      </c>
      <c r="G19" s="112">
        <v>60</v>
      </c>
      <c r="H19" s="88">
        <v>731</v>
      </c>
      <c r="I19" s="1" t="s">
        <v>70</v>
      </c>
      <c r="J19" s="112">
        <v>80</v>
      </c>
      <c r="K19" s="103">
        <v>727</v>
      </c>
      <c r="L19" s="1" t="s">
        <v>67</v>
      </c>
      <c r="M19" s="112">
        <v>55</v>
      </c>
      <c r="N19" s="103">
        <v>717</v>
      </c>
      <c r="O19" s="1" t="s">
        <v>67</v>
      </c>
      <c r="P19" s="112">
        <v>51</v>
      </c>
      <c r="Q19" s="103">
        <v>716</v>
      </c>
      <c r="R19" s="1" t="s">
        <v>67</v>
      </c>
      <c r="S19" s="112">
        <v>58</v>
      </c>
      <c r="T19" s="103">
        <v>716</v>
      </c>
      <c r="U19" s="1" t="s">
        <v>67</v>
      </c>
      <c r="V19" s="112">
        <v>42</v>
      </c>
      <c r="W19" s="103">
        <v>662</v>
      </c>
      <c r="X19" s="1" t="s">
        <v>67</v>
      </c>
      <c r="Y19" s="112">
        <v>42</v>
      </c>
      <c r="Z19" s="103">
        <v>724</v>
      </c>
      <c r="AA19" s="1" t="s">
        <v>67</v>
      </c>
      <c r="AB19" s="112">
        <v>43</v>
      </c>
      <c r="AC19" s="103">
        <v>701</v>
      </c>
      <c r="AD19" s="1" t="s">
        <v>67</v>
      </c>
      <c r="AE19" s="112">
        <v>44</v>
      </c>
      <c r="AF19" s="152">
        <v>662</v>
      </c>
      <c r="AG19" s="1" t="s">
        <v>67</v>
      </c>
      <c r="AH19" s="112">
        <v>40</v>
      </c>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pans="1:256" x14ac:dyDescent="0.25">
      <c r="A20" s="38" t="s">
        <v>149</v>
      </c>
      <c r="B20" s="225">
        <v>410</v>
      </c>
      <c r="C20" s="229" t="s">
        <v>182</v>
      </c>
      <c r="D20" s="220">
        <v>30</v>
      </c>
      <c r="E20" s="88">
        <v>377</v>
      </c>
      <c r="F20" s="1" t="s">
        <v>70</v>
      </c>
      <c r="G20" s="112">
        <v>42</v>
      </c>
      <c r="H20" s="88">
        <v>381</v>
      </c>
      <c r="I20" s="1" t="s">
        <v>70</v>
      </c>
      <c r="J20" s="112">
        <v>46</v>
      </c>
      <c r="K20" s="103">
        <v>406</v>
      </c>
      <c r="L20" s="1" t="s">
        <v>67</v>
      </c>
      <c r="M20" s="112">
        <v>34</v>
      </c>
      <c r="N20" s="103">
        <v>377</v>
      </c>
      <c r="O20" s="1" t="s">
        <v>67</v>
      </c>
      <c r="P20" s="112">
        <v>32</v>
      </c>
      <c r="Q20" s="103">
        <v>367</v>
      </c>
      <c r="R20" s="1" t="s">
        <v>67</v>
      </c>
      <c r="S20" s="112">
        <v>32</v>
      </c>
      <c r="T20" s="103">
        <v>365</v>
      </c>
      <c r="U20" s="1" t="s">
        <v>67</v>
      </c>
      <c r="V20" s="112">
        <v>26</v>
      </c>
      <c r="W20" s="103">
        <v>409</v>
      </c>
      <c r="X20" s="1" t="s">
        <v>67</v>
      </c>
      <c r="Y20" s="112">
        <v>27</v>
      </c>
      <c r="Z20" s="103">
        <v>401</v>
      </c>
      <c r="AA20" s="1" t="s">
        <v>67</v>
      </c>
      <c r="AB20" s="112">
        <v>28</v>
      </c>
      <c r="AC20" s="103">
        <v>410</v>
      </c>
      <c r="AD20" s="1" t="s">
        <v>67</v>
      </c>
      <c r="AE20" s="112">
        <v>28</v>
      </c>
      <c r="AF20" s="152">
        <v>413</v>
      </c>
      <c r="AG20" s="1" t="s">
        <v>67</v>
      </c>
      <c r="AH20" s="112">
        <v>26</v>
      </c>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x14ac:dyDescent="0.25">
      <c r="A21" s="38" t="s">
        <v>150</v>
      </c>
      <c r="B21" s="202">
        <v>57</v>
      </c>
      <c r="C21" s="229" t="s">
        <v>180</v>
      </c>
      <c r="D21" s="220">
        <v>14</v>
      </c>
      <c r="E21" s="91">
        <v>60</v>
      </c>
      <c r="F21" s="1" t="s">
        <v>73</v>
      </c>
      <c r="G21" s="112">
        <v>18</v>
      </c>
      <c r="H21" s="91">
        <v>52</v>
      </c>
      <c r="I21" s="1" t="s">
        <v>73</v>
      </c>
      <c r="J21" s="112">
        <v>18</v>
      </c>
      <c r="K21" s="91">
        <v>56</v>
      </c>
      <c r="L21" s="1" t="s">
        <v>73</v>
      </c>
      <c r="M21" s="112">
        <v>14</v>
      </c>
      <c r="N21" s="91">
        <v>71</v>
      </c>
      <c r="O21" s="1" t="s">
        <v>73</v>
      </c>
      <c r="P21" s="112">
        <v>19</v>
      </c>
      <c r="Q21" s="91">
        <v>69</v>
      </c>
      <c r="R21" s="1" t="s">
        <v>73</v>
      </c>
      <c r="S21" s="112">
        <v>15</v>
      </c>
      <c r="T21" s="88">
        <v>67</v>
      </c>
      <c r="U21" s="1" t="s">
        <v>70</v>
      </c>
      <c r="V21" s="112">
        <v>12</v>
      </c>
      <c r="W21" s="88">
        <v>64</v>
      </c>
      <c r="X21" s="1" t="s">
        <v>70</v>
      </c>
      <c r="Y21" s="112">
        <v>12</v>
      </c>
      <c r="Z21" s="91">
        <v>60</v>
      </c>
      <c r="AA21" s="1" t="s">
        <v>73</v>
      </c>
      <c r="AB21" s="112">
        <v>12</v>
      </c>
      <c r="AC21" s="88">
        <v>60</v>
      </c>
      <c r="AD21" s="1" t="s">
        <v>70</v>
      </c>
      <c r="AE21" s="112">
        <v>12</v>
      </c>
      <c r="AF21" s="138">
        <v>58</v>
      </c>
      <c r="AG21" s="1" t="s">
        <v>70</v>
      </c>
      <c r="AH21" s="112">
        <v>11</v>
      </c>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x14ac:dyDescent="0.25">
      <c r="A22" s="41" t="s">
        <v>151</v>
      </c>
      <c r="B22" s="217">
        <v>147</v>
      </c>
      <c r="C22" s="230" t="s">
        <v>179</v>
      </c>
      <c r="D22" s="222">
        <v>22</v>
      </c>
      <c r="E22" s="92">
        <v>158</v>
      </c>
      <c r="F22" s="104" t="s">
        <v>73</v>
      </c>
      <c r="G22" s="113">
        <v>33</v>
      </c>
      <c r="H22" s="89">
        <v>164</v>
      </c>
      <c r="I22" s="104" t="s">
        <v>70</v>
      </c>
      <c r="J22" s="113">
        <v>31</v>
      </c>
      <c r="K22" s="89">
        <v>148</v>
      </c>
      <c r="L22" s="104" t="s">
        <v>70</v>
      </c>
      <c r="M22" s="113">
        <v>22</v>
      </c>
      <c r="N22" s="89">
        <v>153</v>
      </c>
      <c r="O22" s="104" t="s">
        <v>70</v>
      </c>
      <c r="P22" s="113">
        <v>22</v>
      </c>
      <c r="Q22" s="89">
        <v>158</v>
      </c>
      <c r="R22" s="104" t="s">
        <v>70</v>
      </c>
      <c r="S22" s="113">
        <v>25</v>
      </c>
      <c r="T22" s="89">
        <v>169</v>
      </c>
      <c r="U22" s="104" t="s">
        <v>70</v>
      </c>
      <c r="V22" s="113">
        <v>21</v>
      </c>
      <c r="W22" s="89">
        <v>158</v>
      </c>
      <c r="X22" s="104" t="s">
        <v>70</v>
      </c>
      <c r="Y22" s="113">
        <v>20</v>
      </c>
      <c r="Z22" s="89">
        <v>162</v>
      </c>
      <c r="AA22" s="104" t="s">
        <v>70</v>
      </c>
      <c r="AB22" s="113">
        <v>21</v>
      </c>
      <c r="AC22" s="89">
        <v>160</v>
      </c>
      <c r="AD22" s="104" t="s">
        <v>70</v>
      </c>
      <c r="AE22" s="113">
        <v>20</v>
      </c>
      <c r="AF22" s="135">
        <v>158</v>
      </c>
      <c r="AG22" s="104" t="s">
        <v>70</v>
      </c>
      <c r="AH22" s="113">
        <v>19</v>
      </c>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x14ac:dyDescent="0.25">
      <c r="A23" s="38" t="s">
        <v>152</v>
      </c>
      <c r="B23" s="198">
        <v>229</v>
      </c>
      <c r="C23" s="228" t="s">
        <v>179</v>
      </c>
      <c r="D23" s="219">
        <v>26</v>
      </c>
      <c r="E23" s="87">
        <v>220</v>
      </c>
      <c r="F23" s="105" t="s">
        <v>70</v>
      </c>
      <c r="G23" s="111">
        <v>34</v>
      </c>
      <c r="H23" s="87">
        <v>209</v>
      </c>
      <c r="I23" s="105" t="s">
        <v>70</v>
      </c>
      <c r="J23" s="111">
        <v>39</v>
      </c>
      <c r="K23" s="87">
        <v>232</v>
      </c>
      <c r="L23" s="105" t="s">
        <v>70</v>
      </c>
      <c r="M23" s="111">
        <v>32</v>
      </c>
      <c r="N23" s="87">
        <v>229</v>
      </c>
      <c r="O23" s="105" t="s">
        <v>70</v>
      </c>
      <c r="P23" s="111">
        <v>31</v>
      </c>
      <c r="Q23" s="87">
        <v>208</v>
      </c>
      <c r="R23" s="105" t="s">
        <v>70</v>
      </c>
      <c r="S23" s="111">
        <v>29</v>
      </c>
      <c r="T23" s="87">
        <v>227</v>
      </c>
      <c r="U23" s="105" t="s">
        <v>70</v>
      </c>
      <c r="V23" s="111">
        <v>24</v>
      </c>
      <c r="W23" s="87">
        <v>227</v>
      </c>
      <c r="X23" s="105" t="s">
        <v>70</v>
      </c>
      <c r="Y23" s="111">
        <v>24</v>
      </c>
      <c r="Z23" s="87">
        <v>223</v>
      </c>
      <c r="AA23" s="105" t="s">
        <v>70</v>
      </c>
      <c r="AB23" s="111">
        <v>23</v>
      </c>
      <c r="AC23" s="87">
        <v>220</v>
      </c>
      <c r="AD23" s="105" t="s">
        <v>70</v>
      </c>
      <c r="AE23" s="111">
        <v>24</v>
      </c>
      <c r="AF23" s="168">
        <v>225</v>
      </c>
      <c r="AG23" s="105" t="s">
        <v>70</v>
      </c>
      <c r="AH23" s="111">
        <v>22</v>
      </c>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x14ac:dyDescent="0.25">
      <c r="A24" s="38" t="s">
        <v>153</v>
      </c>
      <c r="B24" s="200">
        <v>132</v>
      </c>
      <c r="C24" s="229" t="s">
        <v>179</v>
      </c>
      <c r="D24" s="220">
        <v>20</v>
      </c>
      <c r="E24" s="88">
        <v>138</v>
      </c>
      <c r="F24" s="1" t="s">
        <v>70</v>
      </c>
      <c r="G24" s="112">
        <v>27</v>
      </c>
      <c r="H24" s="91">
        <v>126</v>
      </c>
      <c r="I24" s="1" t="s">
        <v>73</v>
      </c>
      <c r="J24" s="112">
        <v>28</v>
      </c>
      <c r="K24" s="88">
        <v>135</v>
      </c>
      <c r="L24" s="1" t="s">
        <v>70</v>
      </c>
      <c r="M24" s="112">
        <v>25</v>
      </c>
      <c r="N24" s="88">
        <v>138</v>
      </c>
      <c r="O24" s="1" t="s">
        <v>70</v>
      </c>
      <c r="P24" s="112">
        <v>25</v>
      </c>
      <c r="Q24" s="88">
        <v>130</v>
      </c>
      <c r="R24" s="1" t="s">
        <v>70</v>
      </c>
      <c r="S24" s="112">
        <v>22</v>
      </c>
      <c r="T24" s="88">
        <v>136</v>
      </c>
      <c r="U24" s="1" t="s">
        <v>70</v>
      </c>
      <c r="V24" s="112">
        <v>18</v>
      </c>
      <c r="W24" s="88">
        <v>141</v>
      </c>
      <c r="X24" s="1" t="s">
        <v>70</v>
      </c>
      <c r="Y24" s="112">
        <v>20</v>
      </c>
      <c r="Z24" s="88">
        <v>141</v>
      </c>
      <c r="AA24" s="1" t="s">
        <v>70</v>
      </c>
      <c r="AB24" s="112">
        <v>18</v>
      </c>
      <c r="AC24" s="88">
        <v>137</v>
      </c>
      <c r="AD24" s="1" t="s">
        <v>70</v>
      </c>
      <c r="AE24" s="112">
        <v>18</v>
      </c>
      <c r="AF24" s="138">
        <v>137</v>
      </c>
      <c r="AG24" s="1" t="s">
        <v>70</v>
      </c>
      <c r="AH24" s="112">
        <v>17</v>
      </c>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row>
    <row r="25" spans="1:256" x14ac:dyDescent="0.25">
      <c r="A25" s="38" t="s">
        <v>151</v>
      </c>
      <c r="B25" s="217">
        <v>97</v>
      </c>
      <c r="C25" s="230" t="s">
        <v>179</v>
      </c>
      <c r="D25" s="222">
        <v>18</v>
      </c>
      <c r="E25" s="92">
        <v>82</v>
      </c>
      <c r="F25" s="104" t="s">
        <v>73</v>
      </c>
      <c r="G25" s="113">
        <v>23</v>
      </c>
      <c r="H25" s="92">
        <v>83</v>
      </c>
      <c r="I25" s="104" t="s">
        <v>73</v>
      </c>
      <c r="J25" s="113">
        <v>26</v>
      </c>
      <c r="K25" s="92">
        <v>97</v>
      </c>
      <c r="L25" s="104" t="s">
        <v>73</v>
      </c>
      <c r="M25" s="113">
        <v>20</v>
      </c>
      <c r="N25" s="92">
        <v>91</v>
      </c>
      <c r="O25" s="104" t="s">
        <v>73</v>
      </c>
      <c r="P25" s="113">
        <v>19</v>
      </c>
      <c r="Q25" s="92">
        <v>78</v>
      </c>
      <c r="R25" s="104" t="s">
        <v>73</v>
      </c>
      <c r="S25" s="113">
        <v>18</v>
      </c>
      <c r="T25" s="89">
        <v>91</v>
      </c>
      <c r="U25" s="104" t="s">
        <v>70</v>
      </c>
      <c r="V25" s="113">
        <v>16</v>
      </c>
      <c r="W25" s="89">
        <v>86</v>
      </c>
      <c r="X25" s="104" t="s">
        <v>70</v>
      </c>
      <c r="Y25" s="113">
        <v>15</v>
      </c>
      <c r="Z25" s="89">
        <v>81</v>
      </c>
      <c r="AA25" s="104" t="s">
        <v>70</v>
      </c>
      <c r="AB25" s="113">
        <v>15</v>
      </c>
      <c r="AC25" s="89">
        <v>83</v>
      </c>
      <c r="AD25" s="104" t="s">
        <v>70</v>
      </c>
      <c r="AE25" s="113">
        <v>16</v>
      </c>
      <c r="AF25" s="135">
        <v>88</v>
      </c>
      <c r="AG25" s="104" t="s">
        <v>70</v>
      </c>
      <c r="AH25" s="113">
        <v>15</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row>
    <row r="26" spans="1:256" x14ac:dyDescent="0.25">
      <c r="A26" s="39" t="s">
        <v>154</v>
      </c>
      <c r="B26" s="208">
        <v>11</v>
      </c>
      <c r="C26" s="230" t="s">
        <v>181</v>
      </c>
      <c r="D26" s="222">
        <v>7</v>
      </c>
      <c r="E26" s="93">
        <v>7</v>
      </c>
      <c r="F26" s="106" t="s">
        <v>76</v>
      </c>
      <c r="G26" s="114">
        <v>5</v>
      </c>
      <c r="H26" s="93">
        <v>17</v>
      </c>
      <c r="I26" s="106" t="s">
        <v>76</v>
      </c>
      <c r="J26" s="114">
        <v>12</v>
      </c>
      <c r="K26" s="93">
        <v>16</v>
      </c>
      <c r="L26" s="106" t="s">
        <v>76</v>
      </c>
      <c r="M26" s="114">
        <v>9</v>
      </c>
      <c r="N26" s="93">
        <v>12</v>
      </c>
      <c r="O26" s="106" t="s">
        <v>76</v>
      </c>
      <c r="P26" s="114">
        <v>7</v>
      </c>
      <c r="Q26" s="93">
        <v>13</v>
      </c>
      <c r="R26" s="106" t="s">
        <v>76</v>
      </c>
      <c r="S26" s="114">
        <v>8</v>
      </c>
      <c r="T26" s="93">
        <v>16</v>
      </c>
      <c r="U26" s="106" t="s">
        <v>76</v>
      </c>
      <c r="V26" s="114">
        <v>7</v>
      </c>
      <c r="W26" s="90">
        <v>18</v>
      </c>
      <c r="X26" s="106" t="s">
        <v>73</v>
      </c>
      <c r="Y26" s="114">
        <v>7</v>
      </c>
      <c r="Z26" s="93">
        <v>10</v>
      </c>
      <c r="AA26" s="106" t="s">
        <v>76</v>
      </c>
      <c r="AB26" s="114">
        <v>6</v>
      </c>
      <c r="AC26" s="93">
        <v>16</v>
      </c>
      <c r="AD26" s="106" t="s">
        <v>76</v>
      </c>
      <c r="AE26" s="114">
        <v>8</v>
      </c>
      <c r="AF26" s="175">
        <v>14</v>
      </c>
      <c r="AG26" s="106" t="s">
        <v>76</v>
      </c>
      <c r="AH26" s="114">
        <v>6</v>
      </c>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pans="1:256" x14ac:dyDescent="0.25">
      <c r="A27" s="40" t="s">
        <v>155</v>
      </c>
      <c r="B27" s="279">
        <v>2520</v>
      </c>
      <c r="C27" s="230" t="s">
        <v>182</v>
      </c>
      <c r="D27" s="221">
        <v>71</v>
      </c>
      <c r="E27" s="161">
        <v>2568</v>
      </c>
      <c r="F27" s="104" t="s">
        <v>67</v>
      </c>
      <c r="G27" s="113">
        <v>78</v>
      </c>
      <c r="H27" s="161">
        <v>2527</v>
      </c>
      <c r="I27" s="104" t="s">
        <v>67</v>
      </c>
      <c r="J27" s="113">
        <v>95</v>
      </c>
      <c r="K27" s="161">
        <v>2542</v>
      </c>
      <c r="L27" s="104" t="s">
        <v>67</v>
      </c>
      <c r="M27" s="113">
        <v>74</v>
      </c>
      <c r="N27" s="161">
        <v>2512</v>
      </c>
      <c r="O27" s="104" t="s">
        <v>67</v>
      </c>
      <c r="P27" s="113">
        <v>76</v>
      </c>
      <c r="Q27" s="161">
        <v>2470</v>
      </c>
      <c r="R27" s="104" t="s">
        <v>67</v>
      </c>
      <c r="S27" s="113">
        <v>76</v>
      </c>
      <c r="T27" s="161">
        <v>2492</v>
      </c>
      <c r="U27" s="104" t="s">
        <v>67</v>
      </c>
      <c r="V27" s="113">
        <v>43</v>
      </c>
      <c r="W27" s="161">
        <v>2434</v>
      </c>
      <c r="X27" s="104" t="s">
        <v>67</v>
      </c>
      <c r="Y27" s="113">
        <v>44</v>
      </c>
      <c r="Z27" s="161">
        <v>2425</v>
      </c>
      <c r="AA27" s="104" t="s">
        <v>67</v>
      </c>
      <c r="AB27" s="113">
        <v>44</v>
      </c>
      <c r="AC27" s="161">
        <v>2377</v>
      </c>
      <c r="AD27" s="104" t="s">
        <v>67</v>
      </c>
      <c r="AE27" s="113">
        <v>44</v>
      </c>
      <c r="AF27" s="152">
        <v>2376</v>
      </c>
      <c r="AG27" s="1" t="s">
        <v>67</v>
      </c>
      <c r="AH27" s="152">
        <v>40</v>
      </c>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row r="28" spans="1:256" ht="1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row>
    <row r="29" spans="1:256" ht="1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row>
    <row r="30" spans="1:256" ht="1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row>
    <row r="31" spans="1:256" ht="1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row>
    <row r="32" spans="1:256" ht="1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row>
    <row r="33" spans="1:30" ht="1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ht="1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ht="1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ht="1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ht="1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ht="1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spans="1:30" ht="1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ht="1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spans="1:30" ht="1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spans="1:30" ht="1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spans="1:30" ht="1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sheetData>
  <hyperlinks>
    <hyperlink ref="A9" r:id="rId1" xr:uid="{00000000-0004-0000-0F00-000000000000}"/>
    <hyperlink ref="A10" r:id="rId2" xr:uid="{00000000-0004-0000-0F00-000001000000}"/>
    <hyperlink ref="A11" r:id="rId3" xr:uid="{00000000-0004-0000-0F00-000002000000}"/>
  </hyperlinks>
  <pageMargins left="0.7" right="0.7" top="0.75" bottom="0.75" header="0.3" footer="0.3"/>
  <pageSetup paperSize="9" orientation="portrait"/>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14119</ReferenceId>
    <Notes xmlns="1e572c8d-6813-4013-8a4a-be491ac59459" xsi:nil="true"/>
    <TrackerId xmlns="1e572c8d-6813-4013-8a4a-be491ac59459">TRCK-4152</TrackerId>
  </documentManagement>
</p:properties>
</file>

<file path=customXml/itemProps1.xml><?xml version="1.0" encoding="utf-8"?>
<ds:datastoreItem xmlns:ds="http://schemas.openxmlformats.org/officeDocument/2006/customXml" ds:itemID="{F47F32F4-0074-44D2-A24C-851EF15A53F6}"/>
</file>

<file path=customXml/itemProps2.xml><?xml version="1.0" encoding="utf-8"?>
<ds:datastoreItem xmlns:ds="http://schemas.openxmlformats.org/officeDocument/2006/customXml" ds:itemID="{DDAC2368-D625-4989-8E22-6960CC128FB9}"/>
</file>

<file path=customXml/itemProps3.xml><?xml version="1.0" encoding="utf-8"?>
<ds:datastoreItem xmlns:ds="http://schemas.openxmlformats.org/officeDocument/2006/customXml" ds:itemID="{F2C34A11-4ED6-43A6-B89B-3E06BC9E5404}"/>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16</vt:i4>
      </vt:variant>
    </vt:vector>
  </HeadingPairs>
  <TitlesOfParts>
    <vt:vector size="16" baseType="lpstr">
      <vt:lpstr>Cover sheet</vt:lpstr>
      <vt:lpstr>Notes</vt:lpstr>
      <vt:lpstr>Statistical robustness</vt:lpstr>
      <vt:lpstr>Covid-19 and LFS</vt:lpstr>
      <vt:lpstr>North_East</vt:lpstr>
      <vt:lpstr>North_West</vt:lpstr>
      <vt:lpstr>Yorkshire_and_The_Humber</vt:lpstr>
      <vt:lpstr>East_Midlands</vt:lpstr>
      <vt:lpstr>West_Midlands</vt:lpstr>
      <vt:lpstr>East</vt:lpstr>
      <vt:lpstr>London</vt:lpstr>
      <vt:lpstr>South_East</vt:lpstr>
      <vt:lpstr>South_West</vt:lpstr>
      <vt:lpstr>England</vt:lpstr>
      <vt:lpstr>Wales</vt:lpstr>
      <vt:lpstr>Scotland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2026-03-20T15:54:04Z</dcterms:created>
  <dcterms:modified xsi:type="dcterms:W3CDTF">2026-03-20T15:54:13Z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