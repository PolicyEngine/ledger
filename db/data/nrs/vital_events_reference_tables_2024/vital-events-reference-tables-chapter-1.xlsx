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LWHL3-LV-FS01.nrscotland.gov.uk\DEMSTATS-WEB TEAM\Current work\Vital Events\Vital Events reference tables\"/>
    </mc:Choice>
  </mc:AlternateContent>
  <xr:revisionPtr revIDLastSave="0" documentId="13_ncr:1_{2EF1AC9A-CB1F-4386-8831-4275F1BF78D9}" xr6:coauthVersionLast="47" xr6:coauthVersionMax="47" xr10:uidLastSave="{00000000-0000-0000-0000-000000000000}"/>
  <bookViews>
    <workbookView xWindow="-110" yWindow="-110" windowWidth="19420" windowHeight="10300" xr2:uid="{00000000-000D-0000-FFFF-FFFF00000000}"/>
  </bookViews>
  <sheets>
    <sheet name="Cover" sheetId="1" r:id="rId1"/>
    <sheet name="Contents" sheetId="2" r:id="rId2"/>
    <sheet name="Notes" sheetId="3" r:id="rId3"/>
    <sheet name="Table_1.01a" sheetId="4" r:id="rId4"/>
    <sheet name="Table_1.01b" sheetId="5" r:id="rId5"/>
    <sheet name="Table_1.02" sheetId="6" r:id="rId6"/>
    <sheet name="Table_1.03" sheetId="7" r:id="rId7"/>
    <sheet name="Table_1.04" sheetId="8" r:id="rId8"/>
    <sheet name="Table_1.05" sheetId="9" r:id="rId9"/>
    <sheet name="Table_1.06" sheetId="10" r:id="rId10"/>
    <sheet name="Table_1.07"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 l="1"/>
  <c r="A11" i="2"/>
  <c r="A10" i="2"/>
  <c r="A9" i="2"/>
  <c r="A8" i="2"/>
  <c r="A7" i="2"/>
  <c r="A6" i="2"/>
  <c r="A5" i="2"/>
  <c r="A5" i="11"/>
  <c r="A5" i="10"/>
  <c r="A3" i="9"/>
  <c r="A4" i="8"/>
  <c r="A4" i="7"/>
  <c r="A5" i="6"/>
  <c r="A5" i="5"/>
  <c r="A5" i="4"/>
  <c r="A4" i="2"/>
</calcChain>
</file>

<file path=xl/sharedStrings.xml><?xml version="1.0" encoding="utf-8"?>
<sst xmlns="http://schemas.openxmlformats.org/spreadsheetml/2006/main" count="1272" uniqueCount="314">
  <si>
    <t>About this Spreadsheet</t>
  </si>
  <si>
    <t>This spreadsheet contains a contents sheet, notes sheet and 8 tables.</t>
  </si>
  <si>
    <t>Tables contain summary information on births, stillbirths, deaths, marriages and civil partnerships.</t>
  </si>
  <si>
    <t>This chapter is part of the 2024 vital events reference tables publication (webpage)</t>
  </si>
  <si>
    <t>Date of Publication</t>
  </si>
  <si>
    <t>These statistics were published at 09:30 on 26 August 2025</t>
  </si>
  <si>
    <t>Next update: Summer 2026</t>
  </si>
  <si>
    <t>Geographic coverage</t>
  </si>
  <si>
    <t>Scotland, UK and selected countries</t>
  </si>
  <si>
    <t>Notes</t>
  </si>
  <si>
    <t>Some tables refer to notes. When notes are mentioned, a note marker is presented in square brackets. The note text can be found in the notes sheet.</t>
  </si>
  <si>
    <t>Detailed notes and definitions can be found on the National records of Scotland Website.</t>
  </si>
  <si>
    <t>Additional notes and definitions for vital events reference tables (webpage)</t>
  </si>
  <si>
    <t>Supplier</t>
  </si>
  <si>
    <t>National Records of Scotland (NRS), Demographic Statistics, Vital Events Branch</t>
  </si>
  <si>
    <t>Symbols used within the tables</t>
  </si>
  <si>
    <t>Contact Information</t>
  </si>
  <si>
    <t>Feedback</t>
  </si>
  <si>
    <t>It is important that National Records of Scotland ensures that these statistics meet the needs of the people who use them. National Records of Scotland would appreciate feedback on the uses and usefulness of the information provided.</t>
  </si>
  <si>
    <t>Copyright and reproduction</t>
  </si>
  <si>
    <t>© Crown copyright 2025</t>
  </si>
  <si>
    <t>Table of Contents</t>
  </si>
  <si>
    <t>This worksheet contains one table.</t>
  </si>
  <si>
    <t>Sheet name</t>
  </si>
  <si>
    <t>Sheet title</t>
  </si>
  <si>
    <t>Notes used in this workbook</t>
  </si>
  <si>
    <t>Population and vital events, Scotland, annual averages 1855-60 to 2016-20</t>
  </si>
  <si>
    <t>Population and vital events, Scotland, 1971 to 2024</t>
  </si>
  <si>
    <t>Births, stillbirths, deaths, marriages and civil partnerships, numbers and rates, Scotland, quarterly, 2009 to 2024</t>
  </si>
  <si>
    <t>Estimated population, births, stillbirths, deaths, marriages and civil partnerships, numbers and rates, by administrative area, Scotland, 2024</t>
  </si>
  <si>
    <t>Births, deaths and death rates, by administrative area, resident and not resident in Scotland, 2024</t>
  </si>
  <si>
    <t>Standardised mortality ratios (based on Scotland experience) for selected causes, by administrative area, Scotland, 2024</t>
  </si>
  <si>
    <t>International populations and vital statistics rates, selected countries, latest available figures</t>
  </si>
  <si>
    <t>Summary comparisons with other countries of the United Kingdom</t>
  </si>
  <si>
    <t>back to contents</t>
  </si>
  <si>
    <t>Note Number</t>
  </si>
  <si>
    <t>Note text</t>
  </si>
  <si>
    <t>Relevant Tables</t>
  </si>
  <si>
    <t>[note 1]</t>
  </si>
  <si>
    <t>Rate calculated per 1,000 population.</t>
  </si>
  <si>
    <t>1.01a, 1.01b, 1.02</t>
  </si>
  <si>
    <t>[note 2]</t>
  </si>
  <si>
    <t>Multiple births figures include live births only prior to 1939. Multiple births figures are the numbers of multiple birth events rather than the number of babies who were live born and/or stillborn. A multiple birth may involve both live births and stillbirths.  For example, a twin birth could involve two live births, one live birth and one stillbirth, or two stillbirths. The separate figures for live births and stillbirths count the numbers of babies who were born alive and who were stillborn, respectively.</t>
  </si>
  <si>
    <t>1.01a, 1.01b</t>
  </si>
  <si>
    <t>[note 3]</t>
  </si>
  <si>
    <t>The definition of a stillbirth varies from country to country and over time. See Notes and Definitions for the UK definition of stillbirth that came into effect in 1992.</t>
  </si>
  <si>
    <t>[note 4]</t>
  </si>
  <si>
    <t>Rate calculated per 1,000 live and still births.</t>
  </si>
  <si>
    <t>[note 5]</t>
  </si>
  <si>
    <t>Rate calculated per 1,000 live births.</t>
  </si>
  <si>
    <t>[note 6]</t>
  </si>
  <si>
    <t>Same sex marriages came into effect on 16 December 2014. Annual averages for 2011-15 have not been calculated as there is not data for all years in this period.</t>
  </si>
  <si>
    <t>[note 7]</t>
  </si>
  <si>
    <t>The Civil Partnership Act 2004 came into force in the UK on 5 December 2005. Annual averages for 2001-05 have not been calculated as there is not data for all years in this period. Civil Partnerships became available to mixed sex couples from 30 June 2021.</t>
  </si>
  <si>
    <t>[note 8]</t>
  </si>
  <si>
    <t>In mid-March 2020 registration offices closed due to the COVID-19 pandemic. Birth registrations were postponed and most marriages and civil partnerships could not take place. Birth registration restarted in late June and marriages were been able to take place on a restricted basis from late June 2020. 
Some rates in 2020 are marked as [l] due to low reliability.  Due to the very small number of births and marriages registered in this period, the rates could be misleading.</t>
  </si>
  <si>
    <t>1.02</t>
  </si>
  <si>
    <t>[note 9]</t>
  </si>
  <si>
    <t>It is likely that many countries will have had restrictions on marriages in 2020 due to the COVID-19 pandemic. This will have affected the marriage rates for that year.</t>
  </si>
  <si>
    <t>1.06</t>
  </si>
  <si>
    <t>[note 10]</t>
  </si>
  <si>
    <t>More information on these measures can be found in the Notes and Definitions.</t>
  </si>
  <si>
    <t>1.07</t>
  </si>
  <si>
    <t>[note 11]</t>
  </si>
  <si>
    <t>Live births per 1,000 women aged 15-44.</t>
  </si>
  <si>
    <t>[note 12]</t>
  </si>
  <si>
    <t>Births and deaths to a country's non-residents are included in the figures for Scotland, Northen Ireland and the UK total, but excluded from the figures for England and Wales separately. As a results, there is a slight difference between the sum of the figures for the four countries and the total for the UK as a whole. The UK totals for births also include Isle of Man and Channel Islands, so may differ from those in Table 1.6.</t>
  </si>
  <si>
    <t>This table contains notes, which can be found in the Notes worksheet.</t>
  </si>
  <si>
    <t>[z] is used to indicate where data is not applicable.</t>
  </si>
  <si>
    <t>Year</t>
  </si>
  <si>
    <t>Estimated population (1,000s)</t>
  </si>
  <si>
    <t>Estimated male population (1,000s)</t>
  </si>
  <si>
    <t>Estimated female population (1,000s)</t>
  </si>
  <si>
    <t>Live births</t>
  </si>
  <si>
    <t>Live male births</t>
  </si>
  <si>
    <t>Live female births</t>
  </si>
  <si>
    <t>Live births: males per 1,000 females</t>
  </si>
  <si>
    <t>Live births to unmarried parents</t>
  </si>
  <si>
    <t>Percentage of live births to unmarried parents</t>
  </si>
  <si>
    <t>Infant deaths</t>
  </si>
  <si>
    <t>Deaths</t>
  </si>
  <si>
    <t>Male deaths</t>
  </si>
  <si>
    <t>Female deaths</t>
  </si>
  <si>
    <t>1855-60</t>
  </si>
  <si>
    <t>1861-65</t>
  </si>
  <si>
    <t>1866-70</t>
  </si>
  <si>
    <t>1871-75</t>
  </si>
  <si>
    <t>1876-80</t>
  </si>
  <si>
    <t>1881-85</t>
  </si>
  <si>
    <t>1886-90</t>
  </si>
  <si>
    <t>1891-95</t>
  </si>
  <si>
    <t>1896-1900</t>
  </si>
  <si>
    <t>1901-05</t>
  </si>
  <si>
    <t>1906-10</t>
  </si>
  <si>
    <t>1911-15</t>
  </si>
  <si>
    <t>1916-20</t>
  </si>
  <si>
    <t>1921-25</t>
  </si>
  <si>
    <t>1926-30</t>
  </si>
  <si>
    <t>1931-35</t>
  </si>
  <si>
    <t>1936-40</t>
  </si>
  <si>
    <t>1941-45</t>
  </si>
  <si>
    <t>1946-50</t>
  </si>
  <si>
    <t>1951-55</t>
  </si>
  <si>
    <t>1956-60</t>
  </si>
  <si>
    <t>1961-65</t>
  </si>
  <si>
    <t>1966-70</t>
  </si>
  <si>
    <t>1971-75</t>
  </si>
  <si>
    <t>1976-80</t>
  </si>
  <si>
    <t>1981-85</t>
  </si>
  <si>
    <t>1986-90</t>
  </si>
  <si>
    <t>1991-95</t>
  </si>
  <si>
    <t>1996-2000</t>
  </si>
  <si>
    <t>2001-05</t>
  </si>
  <si>
    <t>2006-10</t>
  </si>
  <si>
    <t>2011-15</t>
  </si>
  <si>
    <t>2016-20</t>
  </si>
  <si>
    <t>Mixed sex civil partnerships [note 7]</t>
  </si>
  <si>
    <t>[l] is used to indicate where data is of low reliability.</t>
  </si>
  <si>
    <t>Period</t>
  </si>
  <si>
    <t>Perinatal deaths</t>
  </si>
  <si>
    <t>Perinatal death rate [note 4]</t>
  </si>
  <si>
    <t>Neonatal deaths</t>
  </si>
  <si>
    <t>Neonatal death rate [note 5]</t>
  </si>
  <si>
    <t>Infant death rate [note 5]</t>
  </si>
  <si>
    <t>Death rate [note 1]</t>
  </si>
  <si>
    <t>Annual</t>
  </si>
  <si>
    <t>Q1</t>
  </si>
  <si>
    <t>Q2</t>
  </si>
  <si>
    <t>Q3</t>
  </si>
  <si>
    <t>Q4</t>
  </si>
  <si>
    <t>Area type</t>
  </si>
  <si>
    <t>Area name</t>
  </si>
  <si>
    <t>Population</t>
  </si>
  <si>
    <t>Male population</t>
  </si>
  <si>
    <t>Female population</t>
  </si>
  <si>
    <t>Live birth standardised rate</t>
  </si>
  <si>
    <t>Standardised death rate</t>
  </si>
  <si>
    <t>Country</t>
  </si>
  <si>
    <t>Scotland</t>
  </si>
  <si>
    <t>Council Area</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</si>
  <si>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</si>
  <si>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</si>
  <si>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</si>
  <si>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</si>
  <si>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</si>
  <si>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</si>
  <si>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</si>
  <si>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</si>
  <si>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</si>
  <si>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</si>
  <si>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</si>
  <si>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</si>
  <si>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</si>
  <si>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</si>
  <si>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</si>
  <si>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</si>
  <si>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</si>
  <si>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</si>
  <si>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</si>
  <si>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</si>
  <si>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</si>
  <si>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</si>
  <si>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</si>
  <si>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</si>
  <si>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</si>
  <si>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</si>
  <si>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</si>
  <si>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</si>
  <si>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</si>
  <si>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</si>
  <si>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</si>
  <si>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</si>
  <si>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NHS Board area</t>
  </si>
  <si>
    <t>Ayrshire and Arran</t>
  </si>
  <si>
    <t>Borders</t>
  </si>
  <si>
    <t>Forth Valley</t>
  </si>
  <si>
    <t>Grampian</t>
  </si>
  <si>
    <t>Greater Glasgow and Clyde</t>
  </si>
  <si>
    <t>Lanarkshire</t>
  </si>
  <si>
    <t>Lothian</t>
  </si>
  <si>
    <t>Orkney</t>
  </si>
  <si>
    <t>Shetland</t>
  </si>
  <si>
    <t>Tayside</t>
  </si>
  <si>
    <t>Western Isles</t>
  </si>
  <si>
    <t>Death rates are calculated per 100,000 population.</t>
  </si>
  <si>
    <t>Area</t>
  </si>
  <si>
    <t>Live births resident in Scotland</t>
  </si>
  <si>
    <t>Live male births resident in Scotland</t>
  </si>
  <si>
    <t>Live female births resident in Scotland</t>
  </si>
  <si>
    <t>Live births not resident in Scotland</t>
  </si>
  <si>
    <t>Deaths resident in Scotland</t>
  </si>
  <si>
    <t>Male deaths resident in Scotland</t>
  </si>
  <si>
    <t>Female deaths resident in Scotland</t>
  </si>
  <si>
    <t>Deaths not resident in Scotland</t>
  </si>
  <si>
    <t>Rate of deaths resident in Scotland</t>
  </si>
  <si>
    <t>Rate of deaths resident in Scotland standardised for age and sex</t>
  </si>
  <si>
    <t>SCOTLAND</t>
  </si>
  <si>
    <t>Council area</t>
  </si>
  <si>
    <t>All deaths</t>
  </si>
  <si>
    <t>Malignant neoplasms - all sites
(C00-97)</t>
  </si>
  <si>
    <t>Malignant neoplasms - stomach
(C16)</t>
  </si>
  <si>
    <t>Malignant neoplasms - large intestine
(C18)</t>
  </si>
  <si>
    <t>Malignant neoplasms - trachea, bronchus and lung
(C33-34)</t>
  </si>
  <si>
    <t>Malignant neoplasms - breast (female)
(C50)</t>
  </si>
  <si>
    <t>Ischaemic heart diseases
(I20-25)</t>
  </si>
  <si>
    <t>Cerebrovascular diseases
(I60-69)</t>
  </si>
  <si>
    <t>Pneumonia
(J12-18)</t>
  </si>
  <si>
    <t>Dementia and Alzheimer's Disease
(F01, F03, G30)</t>
  </si>
  <si>
    <t>Sources: Eurostat, the Office for National Statistics, Northern Ireland Statistics and Research Agency</t>
  </si>
  <si>
    <t>Country grouping</t>
  </si>
  <si>
    <t>Year estimated population measured</t>
  </si>
  <si>
    <t>Year live births measured</t>
  </si>
  <si>
    <t>Year stillbirths measured</t>
  </si>
  <si>
    <t>Year infant deaths measured</t>
  </si>
  <si>
    <t>Year deaths measured</t>
  </si>
  <si>
    <t>Year marriages measured</t>
  </si>
  <si>
    <t>United Kingdom</t>
  </si>
  <si>
    <t>European Union</t>
  </si>
  <si>
    <t>Austria</t>
  </si>
  <si>
    <t>Belgium</t>
  </si>
  <si>
    <t>Bulgaria</t>
  </si>
  <si>
    <t>Croatia</t>
  </si>
  <si>
    <t>Cyprus</t>
  </si>
  <si>
    <t>Czechia</t>
  </si>
  <si>
    <t>Denmark</t>
  </si>
  <si>
    <t>Estonia</t>
  </si>
  <si>
    <t>Finland</t>
  </si>
  <si>
    <t>France</t>
  </si>
  <si>
    <t>Germany</t>
  </si>
  <si>
    <t>Greece</t>
  </si>
  <si>
    <t>Hungary</t>
  </si>
  <si>
    <t>Irish Republic</t>
  </si>
  <si>
    <t>Italy</t>
  </si>
  <si>
    <t>Latvia</t>
  </si>
  <si>
    <t>Lithuania</t>
  </si>
  <si>
    <t>Luxembourg</t>
  </si>
  <si>
    <t>Malta</t>
  </si>
  <si>
    <t>Netherlands</t>
  </si>
  <si>
    <t>Poland</t>
  </si>
  <si>
    <t>Portugal</t>
  </si>
  <si>
    <t>Romania</t>
  </si>
  <si>
    <t>Slovakia</t>
  </si>
  <si>
    <t>Slovenia</t>
  </si>
  <si>
    <t>Spain</t>
  </si>
  <si>
    <t>Sweden</t>
  </si>
  <si>
    <t>Other Europe</t>
  </si>
  <si>
    <t>North Macedonia</t>
  </si>
  <si>
    <t>Norway</t>
  </si>
  <si>
    <t>Switzerland</t>
  </si>
  <si>
    <t>Turkey</t>
  </si>
  <si>
    <t>Age standardised mortality rates (ASMR) are based on the 2013 version of the European Standard Population and calculated per 100,000 population.</t>
  </si>
  <si>
    <t>Measure</t>
  </si>
  <si>
    <t>Sex</t>
  </si>
  <si>
    <t>England</t>
  </si>
  <si>
    <t>Wales</t>
  </si>
  <si>
    <t>Northern Ireland</t>
  </si>
  <si>
    <t>Population (1,000s)</t>
  </si>
  <si>
    <t>Persons</t>
  </si>
  <si>
    <t>Males</t>
  </si>
  <si>
    <t>Females</t>
  </si>
  <si>
    <t>Number of live births (1,000)</t>
  </si>
  <si>
    <t>Birth rate per 1,000 population</t>
  </si>
  <si>
    <t>General fertility rate [note 11]</t>
  </si>
  <si>
    <t>Total fertility rate</t>
  </si>
  <si>
    <t>Stillbirth rate</t>
  </si>
  <si>
    <t>Perinatal mortality rate</t>
  </si>
  <si>
    <t>Infant mortality rate</t>
  </si>
  <si>
    <t>Number of deaths (1,000s)</t>
  </si>
  <si>
    <t>Death rate per 1,000 population</t>
  </si>
  <si>
    <t>Standardised mortality ratio (UK=100)</t>
  </si>
  <si>
    <t>ASMR: Cancer (C00-97)</t>
  </si>
  <si>
    <t>ASMR: Ischaemic heart disease (I20-25)</t>
  </si>
  <si>
    <t>ASMR: Cerebrovascular disease (I60-69)</t>
  </si>
  <si>
    <t>ASMR: Respiratory diseases (J00-J99)</t>
  </si>
  <si>
    <t>ASMR: Dementia/Alzheimer (F01,F03,G30)</t>
  </si>
  <si>
    <t>[z]</t>
  </si>
  <si>
    <t>[l]</t>
  </si>
  <si>
    <t>Same sex marriages 
[note 6]</t>
  </si>
  <si>
    <t>Male same sex civil partnerships 
[note 7]</t>
  </si>
  <si>
    <t>Female same sex civil partnerships 
[note 7]</t>
  </si>
  <si>
    <t>Stillbirths rate
[note 3][note 4]</t>
  </si>
  <si>
    <t>Stillbirths 
[note 3]</t>
  </si>
  <si>
    <t>Live birth rate 
[note 1]</t>
  </si>
  <si>
    <t>Multiple births: twins 
[note 2]</t>
  </si>
  <si>
    <t>Multiple births: Triplets etc. 
[note 2]</t>
  </si>
  <si>
    <t>Percentage of maternities that are multiple births 
[note 2]</t>
  </si>
  <si>
    <t>Infant death rate 
[note 5]</t>
  </si>
  <si>
    <t>Death rate 
[note 1]</t>
  </si>
  <si>
    <t>Male death rate 
[note 1]</t>
  </si>
  <si>
    <t>Female death rate 
[note 1]</t>
  </si>
  <si>
    <t>Same sex marriage rate 
[note 1][note 6]</t>
  </si>
  <si>
    <t>Perinatal death rate 
[note 4]</t>
  </si>
  <si>
    <t>Neonatal death rate 
[note 5]</t>
  </si>
  <si>
    <t>Vital events reference tables chapter 1, summary statistics, Scotland, 2024</t>
  </si>
  <si>
    <t>Some tables in this spreadsheet have cells with no data. When this is the case the cells are marked up with shorthand: [x] for not available and [l] for low reliability.</t>
  </si>
  <si>
    <t>Marriage rate 
[note 1]</t>
  </si>
  <si>
    <t>All marriages</t>
  </si>
  <si>
    <t xml:space="preserve">Mixed sex marriages </t>
  </si>
  <si>
    <t>Mixed sex marriage rate 
[note 1]</t>
  </si>
  <si>
    <t xml:space="preserve">All marriages </t>
  </si>
  <si>
    <t>Mixed sex marriages</t>
  </si>
  <si>
    <t>Table 1.07: Summary comparisons with other countries of the United Kingdom, 2023 [note 10]</t>
  </si>
  <si>
    <t>Table 1.06: International populations and vital statistics rates, selected countries, latest available figures</t>
  </si>
  <si>
    <t>Table 1.05: Standardised mortality ratios (based on Scotland experience) for selected causes, by administrative area, Scotland, 2024</t>
  </si>
  <si>
    <t>Table 1.04: Births, deaths and death rates, by administrative area, resident and not resident in Scotland, 2024</t>
  </si>
  <si>
    <t>Table 1.03: Estimated population, births, stillbirths, deaths, marriages and civil partnerships, numbers and rates, by administrative area, Scotland, 2024</t>
  </si>
  <si>
    <t>Table 1.02: Births, stillbirths, deaths, marriages and civil partnerships, numbers and rates, Scotland, quarterly, 2009 to 2024 [note 8]</t>
  </si>
  <si>
    <t>Table 1.01(b): Population and vital events, Scotland, 1971 to 2024</t>
  </si>
  <si>
    <t>Table 1.01(a): Population and vital events, Scotland, annual averages 1855-60 to 2016-20</t>
  </si>
  <si>
    <t>Stillbirth rate 
[note 3][note 4]</t>
  </si>
  <si>
    <t>Marriage rate 
[note 1][note 9]</t>
  </si>
  <si>
    <t>United Kingdom 
[note 12]</t>
  </si>
  <si>
    <t>For feedback and statistics enquiries, please contact statisticscustomerservices@nrscotland.gov.uk</t>
  </si>
  <si>
    <t>For media enquiries, please contact communications@nrscotland.gov.uk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</si>
</sst>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u/>
      <sz val="12"/>
      <color theme="10"/>
      <name val="Arial"/>
    </font>
    <font>
      <u/>
      <sz val="12"/>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49" fontId="4" fillId="0" borderId="0" xfId="0" applyNumberFormat="1" applyFont="1" applyAlignment="1">
      <alignment horizontal="left" wrapText="1"/>
    </xf>
    <xf numFmtId="49" fontId="0" fillId="0" borderId="0" xfId="0" applyNumberFormat="1" applyAlignment="1">
      <alignment horizontal="left" wrapText="1"/>
    </xf>
    <xf numFmtId="4" fontId="4" fillId="0" borderId="0" xfId="0" applyNumberFormat="1" applyFont="1" applyAlignment="1">
      <alignment horizontal="right" wrapText="1"/>
    </xf>
    <xf numFmtId="4" fontId="0" fillId="0" borderId="0" xfId="0" applyNumberFormat="1" applyAlignment="1">
      <alignment horizontal="right" wrapText="1"/>
    </xf>
    <xf numFmtId="3" fontId="4" fillId="0" borderId="0" xfId="0" applyNumberFormat="1" applyFont="1" applyAlignment="1">
      <alignment horizontal="right" wrapText="1"/>
    </xf>
    <xf numFmtId="3" fontId="0" fillId="0" borderId="0" xfId="0" applyNumberFormat="1" applyAlignment="1">
      <alignment horizontal="right" wrapText="1"/>
    </xf>
    <xf numFmtId="164" fontId="4" fillId="0" borderId="0" xfId="0" applyNumberFormat="1" applyFont="1" applyAlignment="1">
      <alignment horizontal="right" wrapText="1"/>
    </xf>
    <xf numFmtId="164" fontId="0" fillId="0" borderId="0" xfId="0" applyNumberFormat="1" applyAlignment="1">
      <alignment horizontal="right" wrapText="1"/>
    </xf>
    <xf numFmtId="0" fontId="5" fillId="0" borderId="0" xfId="0" applyFont="1"/>
    <xf numFmtId="0" fontId="5" fillId="0" borderId="0" xfId="0" applyFont="1" applyAlignment="1">
      <alignment horizontal="left" wrapText="1"/>
    </xf>
    <xf numFmtId="165" fontId="0" fillId="0" borderId="0" xfId="0" applyNumberFormat="1" applyAlignment="1">
      <alignment horizontal="right" wrapText="1"/>
    </xf>
    <xf numFmtId="0" fontId="1" fillId="0" borderId="0" xfId="1" applyAlignment="1">
      <alignment horizontal="left" wrapText="1"/>
    </xf>
    <xf numFmtId="0" fontId="6" fillId="0" borderId="0" xfId="1" applyFont="1" applyAlignment="1">
      <alignment horizontal="left" wrapText="1"/>
    </xf>
    <xf numFmtId="0" fontId="1" fillId="0" borderId="0" xfId="1"/>
    <xf numFmtId="0" fontId="6" fillId="0" borderId="0" xfId="0" applyFont="1"/>
  </cellXfs>
  <cellStyles count="2">
    <cellStyle name="Hyperlink" xfId="1" builtinId="8"/>
    <cellStyle name="Normal" xfId="0" builtinId="0"/>
  </cellStyles>
  <dxfs count="56">
    <dxf>
      <numFmt numFmtId="3" formatCode="#,##0"/>
    </dxf>
    <dxf>
      <numFmt numFmtId="3" formatCode="#,##0"/>
    </dxf>
    <dxf>
      <numFmt numFmtId="3" formatCode="#,##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3" formatCode="#,##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165" formatCode="#,##0.0"/>
    </dxf>
    <dxf>
      <numFmt numFmtId="3" formatCode="#,##0"/>
    </dxf>
    <dxf>
      <numFmt numFmtId="3" formatCode="#,##0"/>
    </dxf>
    <dxf>
      <numFmt numFmtId="3"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12" totalsRowShown="0">
  <tableColumns count="2">
    <tableColumn id="1" xr3:uid="{00000000-0010-0000-0000-000001000000}" name="Sheet name"/>
    <tableColumn id="2" xr3:uid="{00000000-0010-0000-0000-000002000000}" name="Sheet tit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16" totalsRowShown="0">
  <tableColumns count="3">
    <tableColumn id="1" xr3:uid="{00000000-0010-0000-0100-000001000000}" name="Note Number"/>
    <tableColumn id="2" xr3:uid="{00000000-0010-0000-0100-000002000000}" name="Note text"/>
    <tableColumn id="3" xr3:uid="{00000000-0010-0000-0100-000003000000}" name="Relevant Table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01a" displayName="table_101a" ref="A6:AF39" totalsRowShown="0">
  <tableColumns count="32">
    <tableColumn id="1" xr3:uid="{00000000-0010-0000-0200-000001000000}" name="Year"/>
    <tableColumn id="2" xr3:uid="{00000000-0010-0000-0200-000002000000}" name="Estimated population (1,000s)" dataDxfId="55"/>
    <tableColumn id="3" xr3:uid="{00000000-0010-0000-0200-000003000000}" name="Estimated male population (1,000s)" dataDxfId="54"/>
    <tableColumn id="4" xr3:uid="{00000000-0010-0000-0200-000004000000}" name="Estimated female population (1,000s)" dataDxfId="53"/>
    <tableColumn id="5" xr3:uid="{00000000-0010-0000-0200-000005000000}" name="Live births"/>
    <tableColumn id="6" xr3:uid="{00000000-0010-0000-0200-000006000000}" name="Live birth rate _x000a_[note 1]" dataDxfId="52"/>
    <tableColumn id="7" xr3:uid="{00000000-0010-0000-0200-000007000000}" name="Live male births"/>
    <tableColumn id="8" xr3:uid="{00000000-0010-0000-0200-000008000000}" name="Live female births"/>
    <tableColumn id="9" xr3:uid="{00000000-0010-0000-0200-000009000000}" name="Live births: males per 1,000 females"/>
    <tableColumn id="10" xr3:uid="{00000000-0010-0000-0200-00000A000000}" name="Live births to unmarried parents"/>
    <tableColumn id="11" xr3:uid="{00000000-0010-0000-0200-00000B000000}" name="Percentage of live births to unmarried parents"/>
    <tableColumn id="12" xr3:uid="{00000000-0010-0000-0200-00000C000000}" name="Multiple births: twins _x000a_[note 2]"/>
    <tableColumn id="13" xr3:uid="{00000000-0010-0000-0200-00000D000000}" name="Multiple births: Triplets etc. _x000a_[note 2]"/>
    <tableColumn id="14" xr3:uid="{00000000-0010-0000-0200-00000E000000}" name="Percentage of maternities that are multiple births _x000a_[note 2]"/>
    <tableColumn id="15" xr3:uid="{00000000-0010-0000-0200-00000F000000}" name="Stillbirths _x000a_[note 3]"/>
    <tableColumn id="16" xr3:uid="{00000000-0010-0000-0200-000010000000}" name="Stillbirths rate_x000a_[note 3][note 4]"/>
    <tableColumn id="17" xr3:uid="{00000000-0010-0000-0200-000011000000}" name="Infant deaths"/>
    <tableColumn id="18" xr3:uid="{00000000-0010-0000-0200-000012000000}" name="Infant death rate _x000a_[note 5]" dataDxfId="51"/>
    <tableColumn id="19" xr3:uid="{00000000-0010-0000-0200-000013000000}" name="Deaths"/>
    <tableColumn id="20" xr3:uid="{00000000-0010-0000-0200-000014000000}" name="Death rate _x000a_[note 1]" dataDxfId="50"/>
    <tableColumn id="21" xr3:uid="{00000000-0010-0000-0200-000015000000}" name="Male deaths"/>
    <tableColumn id="22" xr3:uid="{00000000-0010-0000-0200-000016000000}" name="Male death rate _x000a_[note 1]" dataDxfId="49"/>
    <tableColumn id="23" xr3:uid="{00000000-0010-0000-0200-000017000000}" name="Female deaths"/>
    <tableColumn id="24" xr3:uid="{00000000-0010-0000-0200-000018000000}" name="Female death rate _x000a_[note 1]" dataDxfId="48"/>
    <tableColumn id="25" xr3:uid="{00000000-0010-0000-0200-000019000000}" name="All marriages"/>
    <tableColumn id="26" xr3:uid="{00000000-0010-0000-0200-00001A000000}" name="Marriage rate _x000a_[note 1]" dataDxfId="47"/>
    <tableColumn id="27" xr3:uid="{00000000-0010-0000-0200-00001B000000}" name="Mixed sex marriages "/>
    <tableColumn id="28" xr3:uid="{00000000-0010-0000-0200-00001C000000}" name="Mixed sex marriage rate _x000a_[note 1]"/>
    <tableColumn id="29" xr3:uid="{00000000-0010-0000-0200-00001D000000}" name="Same sex marriages _x000a_[note 6]"/>
    <tableColumn id="30" xr3:uid="{00000000-0010-0000-0200-00001E000000}" name="Same sex marriage rate _x000a_[note 1][note 6]"/>
    <tableColumn id="31" xr3:uid="{00000000-0010-0000-0200-00001F000000}" name="Male same sex civil partnerships _x000a_[note 7]"/>
    <tableColumn id="32" xr3:uid="{00000000-0010-0000-0200-000020000000}" name="Female same sex civil partnerships _x000a_[note 7]"/>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101b" displayName="table_101b" ref="A6:AG60" totalsRowShown="0">
  <tableColumns count="33">
    <tableColumn id="1" xr3:uid="{00000000-0010-0000-0300-000001000000}" name="Year"/>
    <tableColumn id="2" xr3:uid="{00000000-0010-0000-0300-000002000000}" name="Estimated population (1,000s)" dataDxfId="46"/>
    <tableColumn id="3" xr3:uid="{00000000-0010-0000-0300-000003000000}" name="Estimated male population (1,000s)" dataDxfId="45"/>
    <tableColumn id="4" xr3:uid="{00000000-0010-0000-0300-000004000000}" name="Estimated female population (1,000s)" dataDxfId="44"/>
    <tableColumn id="5" xr3:uid="{00000000-0010-0000-0300-000005000000}" name="Live births"/>
    <tableColumn id="6" xr3:uid="{00000000-0010-0000-0300-000006000000}" name="Live birth rate _x000a_[note 1]" dataDxfId="43"/>
    <tableColumn id="7" xr3:uid="{00000000-0010-0000-0300-000007000000}" name="Live male births"/>
    <tableColumn id="8" xr3:uid="{00000000-0010-0000-0300-000008000000}" name="Live female births"/>
    <tableColumn id="9" xr3:uid="{00000000-0010-0000-0300-000009000000}" name="Live births: males per 1,000 females"/>
    <tableColumn id="10" xr3:uid="{00000000-0010-0000-0300-00000A000000}" name="Live births to unmarried parents"/>
    <tableColumn id="11" xr3:uid="{00000000-0010-0000-0300-00000B000000}" name="Percentage of live births to unmarried parents"/>
    <tableColumn id="12" xr3:uid="{00000000-0010-0000-0300-00000C000000}" name="Multiple births: twins _x000a_[note 2]"/>
    <tableColumn id="13" xr3:uid="{00000000-0010-0000-0300-00000D000000}" name="Multiple births: Triplets etc. _x000a_[note 2]"/>
    <tableColumn id="14" xr3:uid="{00000000-0010-0000-0300-00000E000000}" name="Percentage of maternities that are multiple births _x000a_[note 2]"/>
    <tableColumn id="15" xr3:uid="{00000000-0010-0000-0300-00000F000000}" name="Stillbirths _x000a_[note 3]"/>
    <tableColumn id="16" xr3:uid="{00000000-0010-0000-0300-000010000000}" name="Stillbirths rate_x000a_[note 3][note 4]" dataDxfId="42"/>
    <tableColumn id="17" xr3:uid="{00000000-0010-0000-0300-000011000000}" name="Infant deaths"/>
    <tableColumn id="18" xr3:uid="{00000000-0010-0000-0300-000012000000}" name="Infant death rate _x000a_[note 5]" dataDxfId="41"/>
    <tableColumn id="19" xr3:uid="{00000000-0010-0000-0300-000013000000}" name="Deaths"/>
    <tableColumn id="20" xr3:uid="{00000000-0010-0000-0300-000014000000}" name="Death rate _x000a_[note 1]" dataDxfId="40"/>
    <tableColumn id="21" xr3:uid="{00000000-0010-0000-0300-000015000000}" name="Male deaths"/>
    <tableColumn id="22" xr3:uid="{00000000-0010-0000-0300-000016000000}" name="Male death rate _x000a_[note 1]" dataDxfId="39"/>
    <tableColumn id="23" xr3:uid="{00000000-0010-0000-0300-000017000000}" name="Female deaths"/>
    <tableColumn id="24" xr3:uid="{00000000-0010-0000-0300-000018000000}" name="Female death rate _x000a_[note 1]" dataDxfId="38"/>
    <tableColumn id="25" xr3:uid="{00000000-0010-0000-0300-000019000000}" name="All marriages"/>
    <tableColumn id="26" xr3:uid="{00000000-0010-0000-0300-00001A000000}" name="Marriage rate _x000a_[note 1]" dataDxfId="37"/>
    <tableColumn id="27" xr3:uid="{00000000-0010-0000-0300-00001B000000}" name="Mixed sex marriages "/>
    <tableColumn id="28" xr3:uid="{00000000-0010-0000-0300-00001C000000}" name="Mixed sex marriage rate _x000a_[note 1]" dataDxfId="36"/>
    <tableColumn id="29" xr3:uid="{00000000-0010-0000-0300-00001D000000}" name="Same sex marriages _x000a_[note 6]"/>
    <tableColumn id="30" xr3:uid="{00000000-0010-0000-0300-00001E000000}" name="Same sex marriage rate _x000a_[note 1][note 6]"/>
    <tableColumn id="31" xr3:uid="{00000000-0010-0000-0300-00001F000000}" name="Male same sex civil partnerships _x000a_[note 7]"/>
    <tableColumn id="32" xr3:uid="{00000000-0010-0000-0300-000020000000}" name="Female same sex civil partnerships _x000a_[note 7]"/>
    <tableColumn id="33" xr3:uid="{00000000-0010-0000-0300-000021000000}" name="Mixed sex civil partnerships [note 7]"/>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102" displayName="table_102" ref="A6:AB71" totalsRowShown="0">
  <tableColumns count="28">
    <tableColumn id="1" xr3:uid="{00000000-0010-0000-0400-000001000000}" name="Year"/>
    <tableColumn id="2" xr3:uid="{00000000-0010-0000-0400-000002000000}" name="Period"/>
    <tableColumn id="3" xr3:uid="{00000000-0010-0000-0400-000003000000}" name="Live births"/>
    <tableColumn id="4" xr3:uid="{00000000-0010-0000-0400-000004000000}" name="Live birth rate _x000a_[note 1]" dataDxfId="35"/>
    <tableColumn id="5" xr3:uid="{00000000-0010-0000-0400-000005000000}" name="Live male births"/>
    <tableColumn id="6" xr3:uid="{00000000-0010-0000-0400-000006000000}" name="Live female births"/>
    <tableColumn id="7" xr3:uid="{00000000-0010-0000-0400-000007000000}" name="Live births: males per 1,000 females"/>
    <tableColumn id="8" xr3:uid="{00000000-0010-0000-0400-000008000000}" name="Live births to unmarried parents"/>
    <tableColumn id="9" xr3:uid="{00000000-0010-0000-0400-000009000000}" name="Percentage of live births to unmarried parents"/>
    <tableColumn id="10" xr3:uid="{00000000-0010-0000-0400-00000A000000}" name="Stillbirths _x000a_[note 3]"/>
    <tableColumn id="11" xr3:uid="{00000000-0010-0000-0400-00000B000000}" name="Stillbirths rate_x000a_[note 3][note 4]" dataDxfId="34"/>
    <tableColumn id="12" xr3:uid="{00000000-0010-0000-0400-00000C000000}" name="Perinatal deaths"/>
    <tableColumn id="13" xr3:uid="{00000000-0010-0000-0400-00000D000000}" name="Perinatal death rate [note 4]" dataDxfId="33"/>
    <tableColumn id="14" xr3:uid="{00000000-0010-0000-0400-00000E000000}" name="Neonatal deaths"/>
    <tableColumn id="15" xr3:uid="{00000000-0010-0000-0400-00000F000000}" name="Neonatal death rate [note 5]" dataDxfId="32"/>
    <tableColumn id="16" xr3:uid="{00000000-0010-0000-0400-000010000000}" name="Infant deaths"/>
    <tableColumn id="17" xr3:uid="{00000000-0010-0000-0400-000011000000}" name="Infant death rate [note 5]" dataDxfId="31"/>
    <tableColumn id="18" xr3:uid="{00000000-0010-0000-0400-000012000000}" name="Deaths"/>
    <tableColumn id="19" xr3:uid="{00000000-0010-0000-0400-000013000000}" name="Death rate [note 1]" dataDxfId="30"/>
    <tableColumn id="20" xr3:uid="{00000000-0010-0000-0400-000014000000}" name="Male deaths"/>
    <tableColumn id="21" xr3:uid="{00000000-0010-0000-0400-000015000000}" name="Female deaths"/>
    <tableColumn id="22" xr3:uid="{00000000-0010-0000-0400-000016000000}" name="All marriages "/>
    <tableColumn id="23" xr3:uid="{00000000-0010-0000-0400-000017000000}" name="Marriage rate _x000a_[note 1]" dataDxfId="29"/>
    <tableColumn id="24" xr3:uid="{00000000-0010-0000-0400-000018000000}" name="Mixed sex marriages "/>
    <tableColumn id="25" xr3:uid="{00000000-0010-0000-0400-000019000000}" name="Same sex marriages _x000a_[note 6]"/>
    <tableColumn id="26" xr3:uid="{00000000-0010-0000-0400-00001A000000}" name="Male same sex civil partnerships _x000a_[note 7]"/>
    <tableColumn id="27" xr3:uid="{00000000-0010-0000-0400-00001B000000}" name="Female same sex civil partnerships _x000a_[note 7]"/>
    <tableColumn id="28" xr3:uid="{00000000-0010-0000-0400-00001C000000}" name="Mixed sex civil partnerships [note 7]"/>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103" displayName="table_103" ref="A5:AC52" totalsRowShown="0">
  <tableColumns count="29">
    <tableColumn id="1" xr3:uid="{00000000-0010-0000-0500-000001000000}" name="Area type"/>
    <tableColumn id="2" xr3:uid="{00000000-0010-0000-0500-000002000000}" name="Area name"/>
    <tableColumn id="3" xr3:uid="{00000000-0010-0000-0500-000003000000}" name="Population"/>
    <tableColumn id="4" xr3:uid="{00000000-0010-0000-0500-000004000000}" name="Male population"/>
    <tableColumn id="5" xr3:uid="{00000000-0010-0000-0500-000005000000}" name="Female population"/>
    <tableColumn id="6" xr3:uid="{00000000-0010-0000-0500-000006000000}" name="Live births"/>
    <tableColumn id="7" xr3:uid="{00000000-0010-0000-0500-000007000000}" name="Live birth rate _x000a_[note 1]" dataDxfId="28"/>
    <tableColumn id="8" xr3:uid="{00000000-0010-0000-0500-000008000000}" name="Live birth standardised rate" dataDxfId="27"/>
    <tableColumn id="9" xr3:uid="{00000000-0010-0000-0500-000009000000}" name="Live male births"/>
    <tableColumn id="10" xr3:uid="{00000000-0010-0000-0500-00000A000000}" name="Live female births"/>
    <tableColumn id="11" xr3:uid="{00000000-0010-0000-0500-00000B000000}" name="Stillbirths _x000a_[note 3]"/>
    <tableColumn id="12" xr3:uid="{00000000-0010-0000-0500-00000C000000}" name="Stillbirths rate_x000a_[note 3][note 4]" dataDxfId="26"/>
    <tableColumn id="13" xr3:uid="{00000000-0010-0000-0500-00000D000000}" name="Perinatal deaths"/>
    <tableColumn id="14" xr3:uid="{00000000-0010-0000-0500-00000E000000}" name="Perinatal death rate _x000a_[note 4]" dataDxfId="25"/>
    <tableColumn id="15" xr3:uid="{00000000-0010-0000-0500-00000F000000}" name="Neonatal deaths"/>
    <tableColumn id="16" xr3:uid="{00000000-0010-0000-0500-000010000000}" name="Neonatal death rate _x000a_[note 5]" dataDxfId="24"/>
    <tableColumn id="17" xr3:uid="{00000000-0010-0000-0500-000011000000}" name="Infant deaths"/>
    <tableColumn id="18" xr3:uid="{00000000-0010-0000-0500-000012000000}" name="Infant death rate _x000a_[note 5]" dataDxfId="23"/>
    <tableColumn id="19" xr3:uid="{00000000-0010-0000-0500-000013000000}" name="Deaths"/>
    <tableColumn id="20" xr3:uid="{00000000-0010-0000-0500-000014000000}" name="Death rate _x000a_[note 1]" dataDxfId="22"/>
    <tableColumn id="21" xr3:uid="{00000000-0010-0000-0500-000015000000}" name="Standardised death rate" dataDxfId="21"/>
    <tableColumn id="22" xr3:uid="{00000000-0010-0000-0500-000016000000}" name="Male deaths"/>
    <tableColumn id="23" xr3:uid="{00000000-0010-0000-0500-000017000000}" name="Female deaths"/>
    <tableColumn id="24" xr3:uid="{00000000-0010-0000-0500-000018000000}" name="All marriages "/>
    <tableColumn id="25" xr3:uid="{00000000-0010-0000-0500-000019000000}" name="Mixed sex marriages"/>
    <tableColumn id="26" xr3:uid="{00000000-0010-0000-0500-00001A000000}" name="Same sex marriages _x000a_[note 6]"/>
    <tableColumn id="27" xr3:uid="{00000000-0010-0000-0500-00001B000000}" name="Male same sex civil partnerships _x000a_[note 7]"/>
    <tableColumn id="28" xr3:uid="{00000000-0010-0000-0500-00001C000000}" name="Female same sex civil partnerships _x000a_[note 7]"/>
    <tableColumn id="29" xr3:uid="{00000000-0010-0000-0500-00001D000000}" name="Mixed sex civil partnerships [note 7]"/>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104" displayName="table_104" ref="A5:L52" totalsRowShown="0">
  <tableColumns count="12">
    <tableColumn id="1" xr3:uid="{00000000-0010-0000-0600-000001000000}" name="Area type"/>
    <tableColumn id="2" xr3:uid="{00000000-0010-0000-0600-000002000000}" name="Area"/>
    <tableColumn id="3" xr3:uid="{00000000-0010-0000-0600-000003000000}" name="Live births resident in Scotland"/>
    <tableColumn id="4" xr3:uid="{00000000-0010-0000-0600-000004000000}" name="Live male births resident in Scotland"/>
    <tableColumn id="5" xr3:uid="{00000000-0010-0000-0600-000005000000}" name="Live female births resident in Scotland"/>
    <tableColumn id="6" xr3:uid="{00000000-0010-0000-0600-000006000000}" name="Live births not resident in Scotland"/>
    <tableColumn id="7" xr3:uid="{00000000-0010-0000-0600-000007000000}" name="Deaths resident in Scotland"/>
    <tableColumn id="8" xr3:uid="{00000000-0010-0000-0600-000008000000}" name="Male deaths resident in Scotland"/>
    <tableColumn id="9" xr3:uid="{00000000-0010-0000-0600-000009000000}" name="Female deaths resident in Scotland"/>
    <tableColumn id="10" xr3:uid="{00000000-0010-0000-0600-00000A000000}" name="Deaths not resident in Scotland"/>
    <tableColumn id="11" xr3:uid="{00000000-0010-0000-0600-00000B000000}" name="Rate of deaths resident in Scotland"/>
    <tableColumn id="12" xr3:uid="{00000000-0010-0000-0600-00000C000000}" name="Rate of deaths resident in Scotland standardised for age and sex"/>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105" displayName="table_105" ref="A4:L51" totalsRowShown="0">
  <tableColumns count="12">
    <tableColumn id="1" xr3:uid="{00000000-0010-0000-0700-000001000000}" name="Area type"/>
    <tableColumn id="2" xr3:uid="{00000000-0010-0000-0700-000002000000}" name="Area name"/>
    <tableColumn id="3" xr3:uid="{00000000-0010-0000-0700-000003000000}" name="All deaths" dataDxfId="20"/>
    <tableColumn id="4" xr3:uid="{00000000-0010-0000-0700-000004000000}" name="Malignant neoplasms - all sites_x000a__x000a_(C00-97)" dataDxfId="19"/>
    <tableColumn id="5" xr3:uid="{00000000-0010-0000-0700-000005000000}" name="Malignant neoplasms - stomach_x000a__x000a_(C16)" dataDxfId="18"/>
    <tableColumn id="6" xr3:uid="{00000000-0010-0000-0700-000006000000}" name="Malignant neoplasms - large intestine_x000a__x000a_(C18)" dataDxfId="17"/>
    <tableColumn id="7" xr3:uid="{00000000-0010-0000-0700-000007000000}" name="Malignant neoplasms - trachea, bronchus and lung_x000a__x000a_(C33-34)" dataDxfId="16"/>
    <tableColumn id="8" xr3:uid="{00000000-0010-0000-0700-000008000000}" name="Malignant neoplasms - breast (female)_x000a__x000a_(C50)" dataDxfId="15"/>
    <tableColumn id="9" xr3:uid="{00000000-0010-0000-0700-000009000000}" name="Ischaemic heart diseases_x000a__x000a_(I20-25)" dataDxfId="14"/>
    <tableColumn id="10" xr3:uid="{00000000-0010-0000-0700-00000A000000}" name="Cerebrovascular diseases_x000a__x000a_(I60-69)" dataDxfId="13"/>
    <tableColumn id="11" xr3:uid="{00000000-0010-0000-0700-00000B000000}" name="Pneumonia_x000a__x000a_(J12-18)" dataDxfId="12"/>
    <tableColumn id="12" xr3:uid="{00000000-0010-0000-0700-00000C000000}" name="Dementia and Alzheimer's Disease_x000a__x000a_(F01, F03, G30)" dataDxfId="11"/>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106" displayName="table_106" ref="A6:N39" totalsRowShown="0">
  <tableColumns count="14">
    <tableColumn id="1" xr3:uid="{00000000-0010-0000-0800-000001000000}" name="Country grouping"/>
    <tableColumn id="2" xr3:uid="{00000000-0010-0000-0800-000002000000}" name="Country"/>
    <tableColumn id="3" xr3:uid="{00000000-0010-0000-0800-000003000000}" name="Year estimated population measured"/>
    <tableColumn id="4" xr3:uid="{00000000-0010-0000-0800-000004000000}" name="Estimated population (1,000s)" dataDxfId="10"/>
    <tableColumn id="5" xr3:uid="{00000000-0010-0000-0800-000005000000}" name="Year live births measured"/>
    <tableColumn id="6" xr3:uid="{00000000-0010-0000-0800-000006000000}" name="Live birth rate _x000a_[note 1]" dataDxfId="9"/>
    <tableColumn id="7" xr3:uid="{00000000-0010-0000-0800-000007000000}" name="Year stillbirths measured"/>
    <tableColumn id="8" xr3:uid="{00000000-0010-0000-0800-000008000000}" name="Stillbirth rate _x000a_[note 3][note 4]" dataDxfId="8"/>
    <tableColumn id="9" xr3:uid="{00000000-0010-0000-0800-000009000000}" name="Year infant deaths measured"/>
    <tableColumn id="10" xr3:uid="{00000000-0010-0000-0800-00000A000000}" name="Infant death rate _x000a_[note 5]" dataDxfId="7"/>
    <tableColumn id="11" xr3:uid="{00000000-0010-0000-0800-00000B000000}" name="Year deaths measured"/>
    <tableColumn id="12" xr3:uid="{00000000-0010-0000-0800-00000C000000}" name="Death rate _x000a_[note 1]" dataDxfId="6"/>
    <tableColumn id="13" xr3:uid="{00000000-0010-0000-0800-00000D000000}" name="Year marriages measured"/>
    <tableColumn id="14" xr3:uid="{00000000-0010-0000-0800-00000E000000}" name="Marriage rate _x000a_[note 1][note 9]" dataDxfId="5"/>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107" displayName="table_107" ref="A6:G31" totalsRowShown="0">
  <tableColumns count="7">
    <tableColumn id="1" xr3:uid="{00000000-0010-0000-0900-000001000000}" name="Measure"/>
    <tableColumn id="2" xr3:uid="{00000000-0010-0000-0900-000002000000}" name="Sex"/>
    <tableColumn id="3" xr3:uid="{00000000-0010-0000-0900-000003000000}" name="Scotland" dataDxfId="4"/>
    <tableColumn id="4" xr3:uid="{00000000-0010-0000-0900-000004000000}" name="England" dataDxfId="3"/>
    <tableColumn id="5" xr3:uid="{00000000-0010-0000-0900-000005000000}" name="Wales" dataDxfId="2"/>
    <tableColumn id="6" xr3:uid="{00000000-0010-0000-0900-000006000000}" name="Northern Ireland" dataDxfId="1"/>
    <tableColumn id="7" xr3:uid="{00000000-0010-0000-0900-000007000000}" name="United Kingdom _x000a_[note 12]" dataDxfId="0"/>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ww.nrscotland.gov.uk/media/h31hswth/vital-events-reference-tables-notes-and-definitions.pdf" TargetMode="External"/><Relationship Id="rId1" Type="http://schemas.openxmlformats.org/officeDocument/2006/relationships/hyperlink" Target="https://www.nrscotland.gov.uk/publications/vital-events-reference-tables-2024/"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abSelected="1" workbookViewId="0"/>
  </sheetViews>
  <sheetFormatPr defaultColWidth="11.61328125" defaultRowHeight="15.5" x14ac:dyDescent="0.35"/>
  <cols>
    <col min="1" max="1" width="72.69140625" customWidth="1"/>
  </cols>
  <sheetData>
    <row r="1" spans="1:1" ht="40" x14ac:dyDescent="0.4">
      <c r="A1" s="2" t="s">
        <v>293</v>
      </c>
    </row>
    <row r="2" spans="1:1" ht="34" customHeight="1" x14ac:dyDescent="0.4">
      <c r="A2" s="4" t="s">
        <v>0</v>
      </c>
    </row>
    <row r="3" spans="1:1" x14ac:dyDescent="0.35">
      <c r="A3" s="3" t="s">
        <v>1</v>
      </c>
    </row>
    <row r="4" spans="1:1" ht="31" x14ac:dyDescent="0.35">
      <c r="A4" s="3" t="s">
        <v>2</v>
      </c>
    </row>
    <row r="5" spans="1:1" x14ac:dyDescent="0.35">
      <c r="A5" s="1" t="s">
        <v>3</v>
      </c>
    </row>
    <row r="6" spans="1:1" ht="34" customHeight="1" x14ac:dyDescent="0.4">
      <c r="A6" s="4" t="s">
        <v>4</v>
      </c>
    </row>
    <row r="7" spans="1:1" x14ac:dyDescent="0.35">
      <c r="A7" s="3" t="s">
        <v>5</v>
      </c>
    </row>
    <row r="8" spans="1:1" x14ac:dyDescent="0.35">
      <c r="A8" s="3" t="s">
        <v>6</v>
      </c>
    </row>
    <row r="9" spans="1:1" ht="34" customHeight="1" x14ac:dyDescent="0.4">
      <c r="A9" s="4" t="s">
        <v>7</v>
      </c>
    </row>
    <row r="10" spans="1:1" x14ac:dyDescent="0.35">
      <c r="A10" s="3" t="s">
        <v>8</v>
      </c>
    </row>
    <row r="11" spans="1:1" ht="34" customHeight="1" x14ac:dyDescent="0.4">
      <c r="A11" s="4" t="s">
        <v>9</v>
      </c>
    </row>
    <row r="12" spans="1:1" ht="31" x14ac:dyDescent="0.35">
      <c r="A12" s="3" t="s">
        <v>10</v>
      </c>
    </row>
    <row r="13" spans="1:1" ht="31" x14ac:dyDescent="0.35">
      <c r="A13" s="3" t="s">
        <v>11</v>
      </c>
    </row>
    <row r="14" spans="1:1" x14ac:dyDescent="0.35">
      <c r="A14" s="1" t="s">
        <v>12</v>
      </c>
    </row>
    <row r="15" spans="1:1" ht="34" customHeight="1" x14ac:dyDescent="0.4">
      <c r="A15" s="4" t="s">
        <v>13</v>
      </c>
    </row>
    <row r="16" spans="1:1" x14ac:dyDescent="0.35">
      <c r="A16" s="3" t="s">
        <v>14</v>
      </c>
    </row>
    <row r="17" spans="1:1" ht="34" customHeight="1" x14ac:dyDescent="0.4">
      <c r="A17" s="4" t="s">
        <v>15</v>
      </c>
    </row>
    <row r="18" spans="1:1" ht="31" x14ac:dyDescent="0.35">
      <c r="A18" s="3" t="s">
        <v>294</v>
      </c>
    </row>
    <row r="19" spans="1:1" ht="34" customHeight="1" x14ac:dyDescent="0.4">
      <c r="A19" s="4" t="s">
        <v>16</v>
      </c>
    </row>
    <row r="20" spans="1:1" ht="31" x14ac:dyDescent="0.35">
      <c r="A20" s="1" t="s">
        <v>312</v>
      </c>
    </row>
    <row r="21" spans="1:1" x14ac:dyDescent="0.35">
      <c r="A21" s="1" t="s">
        <v>313</v>
      </c>
    </row>
    <row r="22" spans="1:1" ht="34" customHeight="1" x14ac:dyDescent="0.4">
      <c r="A22" s="4" t="s">
        <v>17</v>
      </c>
    </row>
    <row r="23" spans="1:1" ht="46.5" x14ac:dyDescent="0.35">
      <c r="A23" s="3" t="s">
        <v>18</v>
      </c>
    </row>
    <row r="24" spans="1:1" ht="34" customHeight="1" x14ac:dyDescent="0.4">
      <c r="A24" s="4" t="s">
        <v>19</v>
      </c>
    </row>
    <row r="25" spans="1:1" x14ac:dyDescent="0.35">
      <c r="A25" s="3" t="s">
        <v>20</v>
      </c>
    </row>
  </sheetData>
  <hyperlinks>
    <hyperlink ref="A5" r:id="rId1" xr:uid="{00000000-0004-0000-0000-000000000000}"/>
    <hyperlink ref="A14" r:id="rId2" xr:uid="{00000000-0004-0000-0000-000001000000}"/>
    <hyperlink ref="A20" r:id="rId3" xr:uid="{A6981DD8-293F-4266-BAF5-1DF853729128}"/>
    <hyperlink ref="A21" r:id="rId4" xr:uid="{D95B99D0-9DE7-43EA-9CEF-32E0B5306DEF}"/>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ColWidth="11.61328125" defaultRowHeight="15.5" x14ac:dyDescent="0.35"/>
  <cols>
    <col min="1" max="1" width="16.69140625" customWidth="1"/>
    <col min="2" max="2" width="56.69140625" customWidth="1"/>
  </cols>
  <sheetData>
    <row r="1" spans="1:2" ht="20" x14ac:dyDescent="0.4">
      <c r="A1" s="5" t="s">
        <v>21</v>
      </c>
    </row>
    <row r="2" spans="1:2" x14ac:dyDescent="0.35">
      <c r="A2" t="s">
        <v>22</v>
      </c>
    </row>
    <row r="3" spans="1:2" x14ac:dyDescent="0.35">
      <c r="A3" s="7" t="s">
        <v>23</v>
      </c>
      <c r="B3" s="7" t="s">
        <v>24</v>
      </c>
    </row>
    <row r="4" spans="1:2" x14ac:dyDescent="0.35">
      <c r="A4" s="17" t="str">
        <f>HYPERLINK("#Notes!A1","Notes")</f>
        <v>Notes</v>
      </c>
      <c r="B4" s="6" t="s">
        <v>25</v>
      </c>
    </row>
    <row r="5" spans="1:2" ht="31" x14ac:dyDescent="0.35">
      <c r="A5" s="20" t="str">
        <f>HYPERLINK("#Table_1.01a!A1","Table 1.01(a)")</f>
        <v>Table 1.01(a)</v>
      </c>
      <c r="B5" s="6" t="s">
        <v>26</v>
      </c>
    </row>
    <row r="6" spans="1:2" x14ac:dyDescent="0.35">
      <c r="A6" s="20" t="str">
        <f>HYPERLINK("#Table_1.01b!A1","Table 1.01(b)")</f>
        <v>Table 1.01(b)</v>
      </c>
      <c r="B6" s="6" t="s">
        <v>27</v>
      </c>
    </row>
    <row r="7" spans="1:2" ht="31" x14ac:dyDescent="0.35">
      <c r="A7" s="20" t="str">
        <f>HYPERLINK("#Table_1.02!A1","Table 1.02")</f>
        <v>Table 1.02</v>
      </c>
      <c r="B7" s="6" t="s">
        <v>28</v>
      </c>
    </row>
    <row r="8" spans="1:2" ht="46.5" x14ac:dyDescent="0.35">
      <c r="A8" s="20" t="str">
        <f>HYPERLINK("#Table_1.03!A1","Table 1.03")</f>
        <v>Table 1.03</v>
      </c>
      <c r="B8" s="6" t="s">
        <v>29</v>
      </c>
    </row>
    <row r="9" spans="1:2" ht="31" x14ac:dyDescent="0.35">
      <c r="A9" s="20" t="str">
        <f>HYPERLINK("#Table_1.04!A1","Table 1.04")</f>
        <v>Table 1.04</v>
      </c>
      <c r="B9" s="6" t="s">
        <v>30</v>
      </c>
    </row>
    <row r="10" spans="1:2" ht="31" x14ac:dyDescent="0.35">
      <c r="A10" s="20" t="str">
        <f>HYPERLINK("#Table_1.05!A1","Table 1.05")</f>
        <v>Table 1.05</v>
      </c>
      <c r="B10" s="6" t="s">
        <v>31</v>
      </c>
    </row>
    <row r="11" spans="1:2" ht="31" x14ac:dyDescent="0.35">
      <c r="A11" s="19" t="str">
        <f>HYPERLINK("#Table_1.06!A1","Table 1.06")</f>
        <v>Table 1.06</v>
      </c>
      <c r="B11" s="6" t="s">
        <v>32</v>
      </c>
    </row>
    <row r="12" spans="1:2" x14ac:dyDescent="0.35">
      <c r="A12" s="19" t="str">
        <f>HYPERLINK("#Table_1.07!A1","Table 1.07")</f>
        <v>Table 1.07</v>
      </c>
      <c r="B12" s="6" t="s">
        <v>33</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ColWidth="11.61328125" defaultRowHeight="15.5" x14ac:dyDescent="0.35"/>
  <cols>
    <col min="1" max="1" width="16.69140625" customWidth="1"/>
    <col min="2" max="2" width="56.69140625" customWidth="1"/>
    <col min="3" max="3" width="16.69140625" customWidth="1"/>
  </cols>
  <sheetData>
    <row r="1" spans="1:3" ht="20" x14ac:dyDescent="0.4">
      <c r="A1" s="5" t="s">
        <v>9</v>
      </c>
    </row>
    <row r="2" spans="1:3" x14ac:dyDescent="0.35">
      <c r="A2" t="s">
        <v>22</v>
      </c>
    </row>
    <row r="3" spans="1:3" x14ac:dyDescent="0.35">
      <c r="A3" s="21" t="s">
        <v>34</v>
      </c>
    </row>
    <row r="4" spans="1:3" x14ac:dyDescent="0.35">
      <c r="A4" s="7" t="s">
        <v>35</v>
      </c>
      <c r="B4" s="7" t="s">
        <v>36</v>
      </c>
      <c r="C4" s="7" t="s">
        <v>37</v>
      </c>
    </row>
    <row r="5" spans="1:3" x14ac:dyDescent="0.35">
      <c r="A5" s="6" t="s">
        <v>38</v>
      </c>
      <c r="B5" s="6" t="s">
        <v>39</v>
      </c>
      <c r="C5" s="6" t="s">
        <v>40</v>
      </c>
    </row>
    <row r="6" spans="1:3" ht="124" x14ac:dyDescent="0.35">
      <c r="A6" s="6" t="s">
        <v>41</v>
      </c>
      <c r="B6" s="6" t="s">
        <v>42</v>
      </c>
      <c r="C6" s="6" t="s">
        <v>43</v>
      </c>
    </row>
    <row r="7" spans="1:3" ht="46.5" x14ac:dyDescent="0.35">
      <c r="A7" s="6" t="s">
        <v>44</v>
      </c>
      <c r="B7" s="6" t="s">
        <v>45</v>
      </c>
      <c r="C7" s="6" t="s">
        <v>40</v>
      </c>
    </row>
    <row r="8" spans="1:3" x14ac:dyDescent="0.35">
      <c r="A8" s="6" t="s">
        <v>46</v>
      </c>
      <c r="B8" s="6" t="s">
        <v>47</v>
      </c>
      <c r="C8" s="6" t="s">
        <v>40</v>
      </c>
    </row>
    <row r="9" spans="1:3" x14ac:dyDescent="0.35">
      <c r="A9" s="6" t="s">
        <v>48</v>
      </c>
      <c r="B9" s="6" t="s">
        <v>49</v>
      </c>
      <c r="C9" s="6" t="s">
        <v>40</v>
      </c>
    </row>
    <row r="10" spans="1:3" ht="46.5" x14ac:dyDescent="0.35">
      <c r="A10" s="6" t="s">
        <v>50</v>
      </c>
      <c r="B10" s="6" t="s">
        <v>51</v>
      </c>
      <c r="C10" s="6" t="s">
        <v>40</v>
      </c>
    </row>
    <row r="11" spans="1:3" ht="77.5" x14ac:dyDescent="0.35">
      <c r="A11" s="6" t="s">
        <v>52</v>
      </c>
      <c r="B11" s="6" t="s">
        <v>53</v>
      </c>
      <c r="C11" s="6" t="s">
        <v>40</v>
      </c>
    </row>
    <row r="12" spans="1:3" ht="139.5" x14ac:dyDescent="0.35">
      <c r="A12" s="6" t="s">
        <v>54</v>
      </c>
      <c r="B12" s="6" t="s">
        <v>55</v>
      </c>
      <c r="C12" s="6" t="s">
        <v>56</v>
      </c>
    </row>
    <row r="13" spans="1:3" ht="46.5" x14ac:dyDescent="0.35">
      <c r="A13" s="6" t="s">
        <v>57</v>
      </c>
      <c r="B13" s="6" t="s">
        <v>58</v>
      </c>
      <c r="C13" s="6" t="s">
        <v>59</v>
      </c>
    </row>
    <row r="14" spans="1:3" ht="31" x14ac:dyDescent="0.35">
      <c r="A14" s="6" t="s">
        <v>60</v>
      </c>
      <c r="B14" s="6" t="s">
        <v>61</v>
      </c>
      <c r="C14" s="6" t="s">
        <v>62</v>
      </c>
    </row>
    <row r="15" spans="1:3" x14ac:dyDescent="0.35">
      <c r="A15" s="6" t="s">
        <v>63</v>
      </c>
      <c r="B15" s="6" t="s">
        <v>64</v>
      </c>
      <c r="C15" s="6" t="s">
        <v>62</v>
      </c>
    </row>
    <row r="16" spans="1:3" ht="108.5" x14ac:dyDescent="0.35">
      <c r="A16" s="6" t="s">
        <v>65</v>
      </c>
      <c r="B16" s="6" t="s">
        <v>66</v>
      </c>
      <c r="C16" s="6" t="s">
        <v>62</v>
      </c>
    </row>
  </sheetData>
  <hyperlinks>
    <hyperlink ref="A3" location="'Contents'!A1" display="back to contents" xr:uid="{0B852136-9D1C-4E03-8EB0-4D9F2ACE65CE}"/>
  </hyperlinks>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ColWidth="11.61328125" defaultRowHeight="15.5" x14ac:dyDescent="0.35"/>
  <cols>
    <col min="1" max="13" width="10.61328125" bestFit="1" customWidth="1"/>
    <col min="14" max="14" width="12.765625" customWidth="1"/>
    <col min="15" max="29" width="10.61328125" bestFit="1" customWidth="1"/>
    <col min="30" max="32" width="12.765625" customWidth="1"/>
  </cols>
  <sheetData>
    <row r="1" spans="1:32" ht="20" x14ac:dyDescent="0.4">
      <c r="A1" s="5" t="s">
        <v>308</v>
      </c>
    </row>
    <row r="2" spans="1:32" x14ac:dyDescent="0.35">
      <c r="A2" t="s">
        <v>22</v>
      </c>
    </row>
    <row r="3" spans="1:32" x14ac:dyDescent="0.35">
      <c r="A3" t="s">
        <v>67</v>
      </c>
    </row>
    <row r="4" spans="1:32" x14ac:dyDescent="0.35">
      <c r="A4" t="s">
        <v>68</v>
      </c>
    </row>
    <row r="5" spans="1:32" x14ac:dyDescent="0.35">
      <c r="A5" s="22" t="str">
        <f>HYPERLINK("#'Contents'!A1", "back to contents")</f>
        <v>back to contents</v>
      </c>
    </row>
    <row r="6" spans="1:32" ht="108.5" x14ac:dyDescent="0.35">
      <c r="A6" s="8" t="s">
        <v>69</v>
      </c>
      <c r="B6" s="10" t="s">
        <v>70</v>
      </c>
      <c r="C6" s="10" t="s">
        <v>71</v>
      </c>
      <c r="D6" s="10" t="s">
        <v>72</v>
      </c>
      <c r="E6" s="12" t="s">
        <v>73</v>
      </c>
      <c r="F6" s="10" t="s">
        <v>282</v>
      </c>
      <c r="G6" s="12" t="s">
        <v>74</v>
      </c>
      <c r="H6" s="12" t="s">
        <v>75</v>
      </c>
      <c r="I6" s="12" t="s">
        <v>76</v>
      </c>
      <c r="J6" s="12" t="s">
        <v>77</v>
      </c>
      <c r="K6" s="14" t="s">
        <v>78</v>
      </c>
      <c r="L6" s="12" t="s">
        <v>283</v>
      </c>
      <c r="M6" s="12" t="s">
        <v>284</v>
      </c>
      <c r="N6" s="14" t="s">
        <v>285</v>
      </c>
      <c r="O6" s="12" t="s">
        <v>281</v>
      </c>
      <c r="P6" s="12" t="s">
        <v>280</v>
      </c>
      <c r="Q6" s="12" t="s">
        <v>79</v>
      </c>
      <c r="R6" s="10" t="s">
        <v>286</v>
      </c>
      <c r="S6" s="12" t="s">
        <v>80</v>
      </c>
      <c r="T6" s="10" t="s">
        <v>287</v>
      </c>
      <c r="U6" s="12" t="s">
        <v>81</v>
      </c>
      <c r="V6" s="10" t="s">
        <v>288</v>
      </c>
      <c r="W6" s="12" t="s">
        <v>82</v>
      </c>
      <c r="X6" s="10" t="s">
        <v>289</v>
      </c>
      <c r="Y6" s="12" t="s">
        <v>296</v>
      </c>
      <c r="Z6" s="10" t="s">
        <v>295</v>
      </c>
      <c r="AA6" s="12" t="s">
        <v>297</v>
      </c>
      <c r="AB6" s="10" t="s">
        <v>298</v>
      </c>
      <c r="AC6" s="12" t="s">
        <v>277</v>
      </c>
      <c r="AD6" s="10" t="s">
        <v>290</v>
      </c>
      <c r="AE6" s="12" t="s">
        <v>278</v>
      </c>
      <c r="AF6" s="12" t="s">
        <v>279</v>
      </c>
    </row>
    <row r="7" spans="1:32" x14ac:dyDescent="0.35">
      <c r="A7" s="9" t="s">
        <v>83</v>
      </c>
      <c r="B7" s="13">
        <v>3018.4</v>
      </c>
      <c r="C7" s="13">
        <v>1433.3</v>
      </c>
      <c r="D7" s="13">
        <v>1585.1</v>
      </c>
      <c r="E7" s="13">
        <v>102462</v>
      </c>
      <c r="F7" s="18">
        <v>34.1</v>
      </c>
      <c r="G7" s="13">
        <v>52655</v>
      </c>
      <c r="H7" s="13">
        <v>49807</v>
      </c>
      <c r="I7" s="13">
        <v>1057</v>
      </c>
      <c r="J7" s="13">
        <v>8953</v>
      </c>
      <c r="K7" s="15">
        <v>8.6999999999999994E-2</v>
      </c>
      <c r="L7" s="13">
        <v>1282</v>
      </c>
      <c r="M7" s="13">
        <v>16</v>
      </c>
      <c r="N7" s="15">
        <v>1.26E-2</v>
      </c>
      <c r="O7" s="13" t="s">
        <v>275</v>
      </c>
      <c r="P7" s="13" t="s">
        <v>275</v>
      </c>
      <c r="Q7" s="13">
        <v>12250</v>
      </c>
      <c r="R7" s="18">
        <v>119.6</v>
      </c>
      <c r="S7" s="13">
        <v>62644</v>
      </c>
      <c r="T7" s="18">
        <v>20.8</v>
      </c>
      <c r="U7" s="13">
        <v>31139</v>
      </c>
      <c r="V7" s="18">
        <v>21.7</v>
      </c>
      <c r="W7" s="13">
        <v>31505</v>
      </c>
      <c r="X7" s="18">
        <v>19.8</v>
      </c>
      <c r="Y7" s="13">
        <v>20645</v>
      </c>
      <c r="Z7" s="18">
        <v>6.8</v>
      </c>
      <c r="AA7" s="13" t="s">
        <v>275</v>
      </c>
      <c r="AB7" s="11" t="s">
        <v>275</v>
      </c>
      <c r="AC7" s="13" t="s">
        <v>275</v>
      </c>
      <c r="AD7" s="11" t="s">
        <v>275</v>
      </c>
      <c r="AE7" s="13" t="s">
        <v>275</v>
      </c>
      <c r="AF7" s="13" t="s">
        <v>275</v>
      </c>
    </row>
    <row r="8" spans="1:32" x14ac:dyDescent="0.35">
      <c r="A8" s="9" t="s">
        <v>84</v>
      </c>
      <c r="B8" s="13">
        <v>3127.1</v>
      </c>
      <c r="C8" s="13">
        <v>1483.2</v>
      </c>
      <c r="D8" s="13">
        <v>1644</v>
      </c>
      <c r="E8" s="13">
        <v>109764</v>
      </c>
      <c r="F8" s="18">
        <v>35.1</v>
      </c>
      <c r="G8" s="13">
        <v>56336</v>
      </c>
      <c r="H8" s="13">
        <v>53428</v>
      </c>
      <c r="I8" s="13">
        <v>1054</v>
      </c>
      <c r="J8" s="13">
        <v>10742</v>
      </c>
      <c r="K8" s="15">
        <v>9.8000000000000004E-2</v>
      </c>
      <c r="L8" s="13">
        <v>1298</v>
      </c>
      <c r="M8" s="13">
        <v>13</v>
      </c>
      <c r="N8" s="15">
        <v>1.21E-2</v>
      </c>
      <c r="O8" s="13" t="s">
        <v>275</v>
      </c>
      <c r="P8" s="13" t="s">
        <v>275</v>
      </c>
      <c r="Q8" s="13">
        <v>13166</v>
      </c>
      <c r="R8" s="18">
        <v>119.9</v>
      </c>
      <c r="S8" s="13">
        <v>69265</v>
      </c>
      <c r="T8" s="18">
        <v>22.1</v>
      </c>
      <c r="U8" s="13">
        <v>34380</v>
      </c>
      <c r="V8" s="18">
        <v>23.2</v>
      </c>
      <c r="W8" s="13">
        <v>34885</v>
      </c>
      <c r="X8" s="18">
        <v>21.2</v>
      </c>
      <c r="Y8" s="13">
        <v>22013</v>
      </c>
      <c r="Z8" s="18">
        <v>7</v>
      </c>
      <c r="AA8" s="13" t="s">
        <v>275</v>
      </c>
      <c r="AB8" s="11" t="s">
        <v>275</v>
      </c>
      <c r="AC8" s="13" t="s">
        <v>275</v>
      </c>
      <c r="AD8" s="11" t="s">
        <v>275</v>
      </c>
      <c r="AE8" s="13" t="s">
        <v>275</v>
      </c>
      <c r="AF8" s="13" t="s">
        <v>275</v>
      </c>
    </row>
    <row r="9" spans="1:32" x14ac:dyDescent="0.35">
      <c r="A9" s="9" t="s">
        <v>85</v>
      </c>
      <c r="B9" s="13">
        <v>3275.6</v>
      </c>
      <c r="C9" s="13">
        <v>1559.6</v>
      </c>
      <c r="D9" s="13">
        <v>1716</v>
      </c>
      <c r="E9" s="13">
        <v>114394</v>
      </c>
      <c r="F9" s="18">
        <v>34.9</v>
      </c>
      <c r="G9" s="13">
        <v>58676</v>
      </c>
      <c r="H9" s="13">
        <v>55718</v>
      </c>
      <c r="I9" s="13">
        <v>1053</v>
      </c>
      <c r="J9" s="13">
        <v>11270</v>
      </c>
      <c r="K9" s="15">
        <v>9.9000000000000005E-2</v>
      </c>
      <c r="L9" s="13">
        <v>1393</v>
      </c>
      <c r="M9" s="13">
        <v>13</v>
      </c>
      <c r="N9" s="15">
        <v>1.24E-2</v>
      </c>
      <c r="O9" s="13" t="s">
        <v>275</v>
      </c>
      <c r="P9" s="13" t="s">
        <v>275</v>
      </c>
      <c r="Q9" s="13">
        <v>13971</v>
      </c>
      <c r="R9" s="18">
        <v>122.1</v>
      </c>
      <c r="S9" s="13">
        <v>71974</v>
      </c>
      <c r="T9" s="18">
        <v>22</v>
      </c>
      <c r="U9" s="13">
        <v>35823</v>
      </c>
      <c r="V9" s="18">
        <v>23</v>
      </c>
      <c r="W9" s="13">
        <v>36151</v>
      </c>
      <c r="X9" s="18">
        <v>21.1</v>
      </c>
      <c r="Y9" s="13">
        <v>22832</v>
      </c>
      <c r="Z9" s="18">
        <v>7</v>
      </c>
      <c r="AA9" s="13" t="s">
        <v>275</v>
      </c>
      <c r="AB9" s="11" t="s">
        <v>275</v>
      </c>
      <c r="AC9" s="13" t="s">
        <v>275</v>
      </c>
      <c r="AD9" s="11" t="s">
        <v>275</v>
      </c>
      <c r="AE9" s="13" t="s">
        <v>275</v>
      </c>
      <c r="AF9" s="13" t="s">
        <v>275</v>
      </c>
    </row>
    <row r="10" spans="1:32" x14ac:dyDescent="0.35">
      <c r="A10" s="9" t="s">
        <v>86</v>
      </c>
      <c r="B10" s="13">
        <v>3441.4</v>
      </c>
      <c r="C10" s="13">
        <v>1645.6</v>
      </c>
      <c r="D10" s="13">
        <v>1795.8</v>
      </c>
      <c r="E10" s="13">
        <v>120376</v>
      </c>
      <c r="F10" s="18">
        <v>35</v>
      </c>
      <c r="G10" s="13">
        <v>61964</v>
      </c>
      <c r="H10" s="13">
        <v>58412</v>
      </c>
      <c r="I10" s="13">
        <v>1061</v>
      </c>
      <c r="J10" s="13">
        <v>10941</v>
      </c>
      <c r="K10" s="15">
        <v>9.0999999999999998E-2</v>
      </c>
      <c r="L10" s="13">
        <v>1416</v>
      </c>
      <c r="M10" s="13">
        <v>13</v>
      </c>
      <c r="N10" s="15">
        <v>1.2E-2</v>
      </c>
      <c r="O10" s="13" t="s">
        <v>275</v>
      </c>
      <c r="P10" s="13" t="s">
        <v>275</v>
      </c>
      <c r="Q10" s="13">
        <v>15314</v>
      </c>
      <c r="R10" s="18">
        <v>127.2</v>
      </c>
      <c r="S10" s="13">
        <v>77988</v>
      </c>
      <c r="T10" s="18">
        <v>22.7</v>
      </c>
      <c r="U10" s="13">
        <v>38961</v>
      </c>
      <c r="V10" s="18">
        <v>23.7</v>
      </c>
      <c r="W10" s="13">
        <v>39027</v>
      </c>
      <c r="X10" s="18">
        <v>21.7</v>
      </c>
      <c r="Y10" s="13">
        <v>25754</v>
      </c>
      <c r="Z10" s="18">
        <v>7.5</v>
      </c>
      <c r="AA10" s="13" t="s">
        <v>275</v>
      </c>
      <c r="AB10" s="11" t="s">
        <v>275</v>
      </c>
      <c r="AC10" s="13" t="s">
        <v>275</v>
      </c>
      <c r="AD10" s="11" t="s">
        <v>275</v>
      </c>
      <c r="AE10" s="13" t="s">
        <v>275</v>
      </c>
      <c r="AF10" s="13" t="s">
        <v>275</v>
      </c>
    </row>
    <row r="11" spans="1:32" x14ac:dyDescent="0.35">
      <c r="A11" s="9" t="s">
        <v>87</v>
      </c>
      <c r="B11" s="13">
        <v>3628.7</v>
      </c>
      <c r="C11" s="13">
        <v>1743.5</v>
      </c>
      <c r="D11" s="13">
        <v>1885.2</v>
      </c>
      <c r="E11" s="13">
        <v>126086</v>
      </c>
      <c r="F11" s="18">
        <v>34.799999999999997</v>
      </c>
      <c r="G11" s="13">
        <v>64648</v>
      </c>
      <c r="H11" s="13">
        <v>61438</v>
      </c>
      <c r="I11" s="13">
        <v>1052</v>
      </c>
      <c r="J11" s="13">
        <v>10711</v>
      </c>
      <c r="K11" s="15">
        <v>8.5000000000000006E-2</v>
      </c>
      <c r="L11" s="13">
        <v>1430</v>
      </c>
      <c r="M11" s="13">
        <v>14</v>
      </c>
      <c r="N11" s="15">
        <v>1.1599999999999999E-2</v>
      </c>
      <c r="O11" s="13" t="s">
        <v>275</v>
      </c>
      <c r="P11" s="13" t="s">
        <v>275</v>
      </c>
      <c r="Q11" s="13">
        <v>14921</v>
      </c>
      <c r="R11" s="18">
        <v>118.3</v>
      </c>
      <c r="S11" s="13">
        <v>74801</v>
      </c>
      <c r="T11" s="18">
        <v>20.6</v>
      </c>
      <c r="U11" s="13">
        <v>37463</v>
      </c>
      <c r="V11" s="18">
        <v>21.5</v>
      </c>
      <c r="W11" s="13">
        <v>37338</v>
      </c>
      <c r="X11" s="18">
        <v>19.8</v>
      </c>
      <c r="Y11" s="13">
        <v>24956</v>
      </c>
      <c r="Z11" s="18">
        <v>6.9</v>
      </c>
      <c r="AA11" s="13" t="s">
        <v>275</v>
      </c>
      <c r="AB11" s="11" t="s">
        <v>275</v>
      </c>
      <c r="AC11" s="13" t="s">
        <v>275</v>
      </c>
      <c r="AD11" s="11" t="s">
        <v>275</v>
      </c>
      <c r="AE11" s="13" t="s">
        <v>275</v>
      </c>
      <c r="AF11" s="13" t="s">
        <v>275</v>
      </c>
    </row>
    <row r="12" spans="1:32" x14ac:dyDescent="0.35">
      <c r="A12" s="9" t="s">
        <v>88</v>
      </c>
      <c r="B12" s="13">
        <v>3799.2</v>
      </c>
      <c r="C12" s="13">
        <v>1830.9</v>
      </c>
      <c r="D12" s="13">
        <v>1968.3</v>
      </c>
      <c r="E12" s="13">
        <v>126409</v>
      </c>
      <c r="F12" s="18">
        <v>33.299999999999997</v>
      </c>
      <c r="G12" s="13">
        <v>64805</v>
      </c>
      <c r="H12" s="13">
        <v>61604</v>
      </c>
      <c r="I12" s="13">
        <v>1052</v>
      </c>
      <c r="J12" s="13">
        <v>10453</v>
      </c>
      <c r="K12" s="15">
        <v>8.3000000000000004E-2</v>
      </c>
      <c r="L12" s="13">
        <v>1417</v>
      </c>
      <c r="M12" s="13">
        <v>14</v>
      </c>
      <c r="N12" s="15">
        <v>1.15E-2</v>
      </c>
      <c r="O12" s="13" t="s">
        <v>275</v>
      </c>
      <c r="P12" s="13" t="s">
        <v>275</v>
      </c>
      <c r="Q12" s="13">
        <v>14864</v>
      </c>
      <c r="R12" s="18">
        <v>117.6</v>
      </c>
      <c r="S12" s="13">
        <v>74396</v>
      </c>
      <c r="T12" s="18">
        <v>19.600000000000001</v>
      </c>
      <c r="U12" s="13">
        <v>37041</v>
      </c>
      <c r="V12" s="18">
        <v>20.2</v>
      </c>
      <c r="W12" s="13">
        <v>37355</v>
      </c>
      <c r="X12" s="18">
        <v>19</v>
      </c>
      <c r="Y12" s="13">
        <v>26176</v>
      </c>
      <c r="Z12" s="18">
        <v>6.9</v>
      </c>
      <c r="AA12" s="13" t="s">
        <v>275</v>
      </c>
      <c r="AB12" s="11" t="s">
        <v>275</v>
      </c>
      <c r="AC12" s="13" t="s">
        <v>275</v>
      </c>
      <c r="AD12" s="11" t="s">
        <v>275</v>
      </c>
      <c r="AE12" s="13" t="s">
        <v>275</v>
      </c>
      <c r="AF12" s="13" t="s">
        <v>275</v>
      </c>
    </row>
    <row r="13" spans="1:32" x14ac:dyDescent="0.35">
      <c r="A13" s="9" t="s">
        <v>89</v>
      </c>
      <c r="B13" s="13">
        <v>3943.9</v>
      </c>
      <c r="C13" s="13">
        <v>1902.3</v>
      </c>
      <c r="D13" s="13">
        <v>2041.6</v>
      </c>
      <c r="E13" s="13">
        <v>123977</v>
      </c>
      <c r="F13" s="18">
        <v>31.4</v>
      </c>
      <c r="G13" s="13">
        <v>63674</v>
      </c>
      <c r="H13" s="13">
        <v>60303</v>
      </c>
      <c r="I13" s="13">
        <v>1056</v>
      </c>
      <c r="J13" s="13">
        <v>9973</v>
      </c>
      <c r="K13" s="15">
        <v>0.08</v>
      </c>
      <c r="L13" s="13">
        <v>1378</v>
      </c>
      <c r="M13" s="13">
        <v>13</v>
      </c>
      <c r="N13" s="15">
        <v>1.1299999999999999E-2</v>
      </c>
      <c r="O13" s="13" t="s">
        <v>275</v>
      </c>
      <c r="P13" s="13" t="s">
        <v>275</v>
      </c>
      <c r="Q13" s="13">
        <v>14943</v>
      </c>
      <c r="R13" s="18">
        <v>120.5</v>
      </c>
      <c r="S13" s="13">
        <v>74320</v>
      </c>
      <c r="T13" s="18">
        <v>18.8</v>
      </c>
      <c r="U13" s="13">
        <v>36729</v>
      </c>
      <c r="V13" s="18">
        <v>19.3</v>
      </c>
      <c r="W13" s="13">
        <v>37591</v>
      </c>
      <c r="X13" s="18">
        <v>18.399999999999999</v>
      </c>
      <c r="Y13" s="13">
        <v>25702</v>
      </c>
      <c r="Z13" s="18">
        <v>6.5</v>
      </c>
      <c r="AA13" s="13" t="s">
        <v>275</v>
      </c>
      <c r="AB13" s="11" t="s">
        <v>275</v>
      </c>
      <c r="AC13" s="13" t="s">
        <v>275</v>
      </c>
      <c r="AD13" s="11" t="s">
        <v>275</v>
      </c>
      <c r="AE13" s="13" t="s">
        <v>275</v>
      </c>
      <c r="AF13" s="13" t="s">
        <v>275</v>
      </c>
    </row>
    <row r="14" spans="1:32" x14ac:dyDescent="0.35">
      <c r="A14" s="9" t="s">
        <v>90</v>
      </c>
      <c r="B14" s="13">
        <v>4122.5</v>
      </c>
      <c r="C14" s="13">
        <v>1992.7</v>
      </c>
      <c r="D14" s="13">
        <v>2129.8000000000002</v>
      </c>
      <c r="E14" s="13">
        <v>125800</v>
      </c>
      <c r="F14" s="18">
        <v>30.5</v>
      </c>
      <c r="G14" s="13">
        <v>64558</v>
      </c>
      <c r="H14" s="13">
        <v>61242</v>
      </c>
      <c r="I14" s="13">
        <v>1054</v>
      </c>
      <c r="J14" s="13">
        <v>9326</v>
      </c>
      <c r="K14" s="15">
        <v>7.3999999999999996E-2</v>
      </c>
      <c r="L14" s="13">
        <v>1420</v>
      </c>
      <c r="M14" s="13">
        <v>13</v>
      </c>
      <c r="N14" s="15">
        <v>1.15E-2</v>
      </c>
      <c r="O14" s="13" t="s">
        <v>275</v>
      </c>
      <c r="P14" s="13" t="s">
        <v>275</v>
      </c>
      <c r="Q14" s="13">
        <v>15895</v>
      </c>
      <c r="R14" s="18">
        <v>126.4</v>
      </c>
      <c r="S14" s="13">
        <v>78350</v>
      </c>
      <c r="T14" s="18">
        <v>19</v>
      </c>
      <c r="U14" s="13">
        <v>38797</v>
      </c>
      <c r="V14" s="18">
        <v>19.5</v>
      </c>
      <c r="W14" s="13">
        <v>39553</v>
      </c>
      <c r="X14" s="18">
        <v>18.600000000000001</v>
      </c>
      <c r="Y14" s="13">
        <v>27962</v>
      </c>
      <c r="Z14" s="18">
        <v>6.8</v>
      </c>
      <c r="AA14" s="13" t="s">
        <v>275</v>
      </c>
      <c r="AB14" s="11" t="s">
        <v>275</v>
      </c>
      <c r="AC14" s="13" t="s">
        <v>275</v>
      </c>
      <c r="AD14" s="11" t="s">
        <v>275</v>
      </c>
      <c r="AE14" s="13" t="s">
        <v>275</v>
      </c>
      <c r="AF14" s="13" t="s">
        <v>275</v>
      </c>
    </row>
    <row r="15" spans="1:32" x14ac:dyDescent="0.35">
      <c r="A15" s="9" t="s">
        <v>91</v>
      </c>
      <c r="B15" s="13">
        <v>4345.1000000000004</v>
      </c>
      <c r="C15" s="13">
        <v>2107.9</v>
      </c>
      <c r="D15" s="13">
        <v>2237.1999999999998</v>
      </c>
      <c r="E15" s="13">
        <v>130209</v>
      </c>
      <c r="F15" s="18">
        <v>30</v>
      </c>
      <c r="G15" s="13">
        <v>66554</v>
      </c>
      <c r="H15" s="13">
        <v>63655</v>
      </c>
      <c r="I15" s="13">
        <v>1046</v>
      </c>
      <c r="J15" s="13">
        <v>8870</v>
      </c>
      <c r="K15" s="15">
        <v>6.8000000000000005E-2</v>
      </c>
      <c r="L15" s="13">
        <v>1465</v>
      </c>
      <c r="M15" s="13">
        <v>16</v>
      </c>
      <c r="N15" s="15">
        <v>1.15E-2</v>
      </c>
      <c r="O15" s="13" t="s">
        <v>275</v>
      </c>
      <c r="P15" s="13" t="s">
        <v>275</v>
      </c>
      <c r="Q15" s="13">
        <v>16857</v>
      </c>
      <c r="R15" s="18">
        <v>129.5</v>
      </c>
      <c r="S15" s="13">
        <v>78021</v>
      </c>
      <c r="T15" s="18">
        <v>17.899999999999999</v>
      </c>
      <c r="U15" s="13">
        <v>39070</v>
      </c>
      <c r="V15" s="18">
        <v>18.5</v>
      </c>
      <c r="W15" s="13">
        <v>38951</v>
      </c>
      <c r="X15" s="18">
        <v>17.399999999999999</v>
      </c>
      <c r="Y15" s="13">
        <v>31771</v>
      </c>
      <c r="Z15" s="18">
        <v>7.3</v>
      </c>
      <c r="AA15" s="13" t="s">
        <v>275</v>
      </c>
      <c r="AB15" s="11" t="s">
        <v>275</v>
      </c>
      <c r="AC15" s="13" t="s">
        <v>275</v>
      </c>
      <c r="AD15" s="11" t="s">
        <v>275</v>
      </c>
      <c r="AE15" s="13" t="s">
        <v>275</v>
      </c>
      <c r="AF15" s="13" t="s">
        <v>275</v>
      </c>
    </row>
    <row r="16" spans="1:32" x14ac:dyDescent="0.35">
      <c r="A16" s="9" t="s">
        <v>92</v>
      </c>
      <c r="B16" s="13">
        <v>4535.7</v>
      </c>
      <c r="C16" s="13">
        <v>2203.5</v>
      </c>
      <c r="D16" s="13">
        <v>2332.1999999999998</v>
      </c>
      <c r="E16" s="13">
        <v>132399</v>
      </c>
      <c r="F16" s="18">
        <v>29.2</v>
      </c>
      <c r="G16" s="13">
        <v>67565</v>
      </c>
      <c r="H16" s="13">
        <v>64834</v>
      </c>
      <c r="I16" s="13">
        <v>1042</v>
      </c>
      <c r="J16" s="13">
        <v>8609</v>
      </c>
      <c r="K16" s="15">
        <v>6.5000000000000002E-2</v>
      </c>
      <c r="L16" s="13">
        <v>1599</v>
      </c>
      <c r="M16" s="13">
        <v>17</v>
      </c>
      <c r="N16" s="15">
        <v>1.24E-2</v>
      </c>
      <c r="O16" s="13" t="s">
        <v>275</v>
      </c>
      <c r="P16" s="13" t="s">
        <v>275</v>
      </c>
      <c r="Q16" s="13">
        <v>15881</v>
      </c>
      <c r="R16" s="18">
        <v>119.9</v>
      </c>
      <c r="S16" s="13">
        <v>77313</v>
      </c>
      <c r="T16" s="18">
        <v>17.100000000000001</v>
      </c>
      <c r="U16" s="13">
        <v>38716</v>
      </c>
      <c r="V16" s="18">
        <v>17.600000000000001</v>
      </c>
      <c r="W16" s="13">
        <v>38597</v>
      </c>
      <c r="X16" s="18">
        <v>16.600000000000001</v>
      </c>
      <c r="Y16" s="13">
        <v>31838</v>
      </c>
      <c r="Z16" s="18">
        <v>7</v>
      </c>
      <c r="AA16" s="13" t="s">
        <v>275</v>
      </c>
      <c r="AB16" s="11" t="s">
        <v>275</v>
      </c>
      <c r="AC16" s="13" t="s">
        <v>275</v>
      </c>
      <c r="AD16" s="11" t="s">
        <v>275</v>
      </c>
      <c r="AE16" s="13" t="s">
        <v>275</v>
      </c>
      <c r="AF16" s="13" t="s">
        <v>275</v>
      </c>
    </row>
    <row r="17" spans="1:32" x14ac:dyDescent="0.35">
      <c r="A17" s="9" t="s">
        <v>93</v>
      </c>
      <c r="B17" s="13">
        <v>4679.8999999999996</v>
      </c>
      <c r="C17" s="13">
        <v>2271</v>
      </c>
      <c r="D17" s="13">
        <v>2408.9</v>
      </c>
      <c r="E17" s="13">
        <v>128987</v>
      </c>
      <c r="F17" s="18">
        <v>27.6</v>
      </c>
      <c r="G17" s="13">
        <v>65811</v>
      </c>
      <c r="H17" s="13">
        <v>63176</v>
      </c>
      <c r="I17" s="13">
        <v>1042</v>
      </c>
      <c r="J17" s="13">
        <v>9125</v>
      </c>
      <c r="K17" s="15">
        <v>7.0999999999999994E-2</v>
      </c>
      <c r="L17" s="13">
        <v>1609</v>
      </c>
      <c r="M17" s="13">
        <v>14</v>
      </c>
      <c r="N17" s="15">
        <v>1.2699999999999999E-2</v>
      </c>
      <c r="O17" s="13" t="s">
        <v>275</v>
      </c>
      <c r="P17" s="13" t="s">
        <v>275</v>
      </c>
      <c r="Q17" s="13">
        <v>14501</v>
      </c>
      <c r="R17" s="18">
        <v>112.4</v>
      </c>
      <c r="S17" s="13">
        <v>75534</v>
      </c>
      <c r="T17" s="18">
        <v>16.100000000000001</v>
      </c>
      <c r="U17" s="13">
        <v>37596</v>
      </c>
      <c r="V17" s="18">
        <v>16.600000000000001</v>
      </c>
      <c r="W17" s="13">
        <v>37938</v>
      </c>
      <c r="X17" s="18">
        <v>15.8</v>
      </c>
      <c r="Y17" s="13">
        <v>31811</v>
      </c>
      <c r="Z17" s="18">
        <v>6.8</v>
      </c>
      <c r="AA17" s="13" t="s">
        <v>275</v>
      </c>
      <c r="AB17" s="11" t="s">
        <v>275</v>
      </c>
      <c r="AC17" s="13" t="s">
        <v>275</v>
      </c>
      <c r="AD17" s="11" t="s">
        <v>275</v>
      </c>
      <c r="AE17" s="13" t="s">
        <v>275</v>
      </c>
      <c r="AF17" s="13" t="s">
        <v>275</v>
      </c>
    </row>
    <row r="18" spans="1:32" x14ac:dyDescent="0.35">
      <c r="A18" s="9" t="s">
        <v>94</v>
      </c>
      <c r="B18" s="13">
        <v>4748.3</v>
      </c>
      <c r="C18" s="13">
        <v>2301.3000000000002</v>
      </c>
      <c r="D18" s="13">
        <v>2447</v>
      </c>
      <c r="E18" s="13">
        <v>120654</v>
      </c>
      <c r="F18" s="18">
        <v>25.4</v>
      </c>
      <c r="G18" s="13">
        <v>61607</v>
      </c>
      <c r="H18" s="13">
        <v>59047</v>
      </c>
      <c r="I18" s="13">
        <v>1043</v>
      </c>
      <c r="J18" s="13">
        <v>8698</v>
      </c>
      <c r="K18" s="15">
        <v>7.1999999999999995E-2</v>
      </c>
      <c r="L18" s="13">
        <v>1538</v>
      </c>
      <c r="M18" s="13">
        <v>15</v>
      </c>
      <c r="N18" s="15">
        <v>1.2999999999999999E-2</v>
      </c>
      <c r="O18" s="13" t="s">
        <v>275</v>
      </c>
      <c r="P18" s="13" t="s">
        <v>275</v>
      </c>
      <c r="Q18" s="13">
        <v>13604</v>
      </c>
      <c r="R18" s="18">
        <v>112.8</v>
      </c>
      <c r="S18" s="13">
        <v>74466</v>
      </c>
      <c r="T18" s="18">
        <v>15.7</v>
      </c>
      <c r="U18" s="13">
        <v>37253</v>
      </c>
      <c r="V18" s="18">
        <v>16.2</v>
      </c>
      <c r="W18" s="13">
        <v>37213</v>
      </c>
      <c r="X18" s="18">
        <v>15.2</v>
      </c>
      <c r="Y18" s="13">
        <v>33857</v>
      </c>
      <c r="Z18" s="18">
        <v>7.1</v>
      </c>
      <c r="AA18" s="13" t="s">
        <v>275</v>
      </c>
      <c r="AB18" s="11" t="s">
        <v>275</v>
      </c>
      <c r="AC18" s="13" t="s">
        <v>275</v>
      </c>
      <c r="AD18" s="11" t="s">
        <v>275</v>
      </c>
      <c r="AE18" s="13" t="s">
        <v>275</v>
      </c>
      <c r="AF18" s="13" t="s">
        <v>275</v>
      </c>
    </row>
    <row r="19" spans="1:32" x14ac:dyDescent="0.35">
      <c r="A19" s="9" t="s">
        <v>95</v>
      </c>
      <c r="B19" s="13">
        <v>4823.8</v>
      </c>
      <c r="C19" s="13">
        <v>2318.6999999999998</v>
      </c>
      <c r="D19" s="13">
        <v>2505.1</v>
      </c>
      <c r="E19" s="13">
        <v>109750</v>
      </c>
      <c r="F19" s="18">
        <v>22.8</v>
      </c>
      <c r="G19" s="13">
        <v>56269</v>
      </c>
      <c r="H19" s="13">
        <v>53481</v>
      </c>
      <c r="I19" s="13">
        <v>1052</v>
      </c>
      <c r="J19" s="13">
        <v>8315</v>
      </c>
      <c r="K19" s="15">
        <v>7.5999999999999998E-2</v>
      </c>
      <c r="L19" s="13">
        <v>1491</v>
      </c>
      <c r="M19" s="13">
        <v>10</v>
      </c>
      <c r="N19" s="15">
        <v>1.3899999999999999E-2</v>
      </c>
      <c r="O19" s="13" t="s">
        <v>275</v>
      </c>
      <c r="P19" s="13" t="s">
        <v>275</v>
      </c>
      <c r="Q19" s="13">
        <v>10869</v>
      </c>
      <c r="R19" s="18">
        <v>99</v>
      </c>
      <c r="S19" s="13">
        <v>72365</v>
      </c>
      <c r="T19" s="18">
        <v>15</v>
      </c>
      <c r="U19" s="13">
        <v>36455</v>
      </c>
      <c r="V19" s="18">
        <v>15.7</v>
      </c>
      <c r="W19" s="13">
        <v>35910</v>
      </c>
      <c r="X19" s="18">
        <v>14.3</v>
      </c>
      <c r="Y19" s="13">
        <v>37437</v>
      </c>
      <c r="Z19" s="18">
        <v>7.8</v>
      </c>
      <c r="AA19" s="13" t="s">
        <v>275</v>
      </c>
      <c r="AB19" s="11" t="s">
        <v>275</v>
      </c>
      <c r="AC19" s="13" t="s">
        <v>275</v>
      </c>
      <c r="AD19" s="11" t="s">
        <v>275</v>
      </c>
      <c r="AE19" s="13" t="s">
        <v>275</v>
      </c>
      <c r="AF19" s="13" t="s">
        <v>275</v>
      </c>
    </row>
    <row r="20" spans="1:32" x14ac:dyDescent="0.35">
      <c r="A20" s="9" t="s">
        <v>96</v>
      </c>
      <c r="B20" s="13">
        <v>4879.6000000000004</v>
      </c>
      <c r="C20" s="13">
        <v>2344.3000000000002</v>
      </c>
      <c r="D20" s="13">
        <v>2535.3000000000002</v>
      </c>
      <c r="E20" s="13">
        <v>112245</v>
      </c>
      <c r="F20" s="18">
        <v>23</v>
      </c>
      <c r="G20" s="13">
        <v>57516</v>
      </c>
      <c r="H20" s="13">
        <v>54729</v>
      </c>
      <c r="I20" s="13">
        <v>1051</v>
      </c>
      <c r="J20" s="13">
        <v>7606</v>
      </c>
      <c r="K20" s="15">
        <v>6.8000000000000005E-2</v>
      </c>
      <c r="L20" s="13">
        <v>1459</v>
      </c>
      <c r="M20" s="13">
        <v>10</v>
      </c>
      <c r="N20" s="15">
        <v>1.3299999999999999E-2</v>
      </c>
      <c r="O20" s="13" t="s">
        <v>275</v>
      </c>
      <c r="P20" s="13" t="s">
        <v>275</v>
      </c>
      <c r="Q20" s="13">
        <v>10299</v>
      </c>
      <c r="R20" s="18">
        <v>91.8</v>
      </c>
      <c r="S20" s="13">
        <v>67652</v>
      </c>
      <c r="T20" s="18">
        <v>13.9</v>
      </c>
      <c r="U20" s="13">
        <v>33843</v>
      </c>
      <c r="V20" s="18">
        <v>14.4</v>
      </c>
      <c r="W20" s="13">
        <v>33809</v>
      </c>
      <c r="X20" s="18">
        <v>13.3</v>
      </c>
      <c r="Y20" s="13">
        <v>34720</v>
      </c>
      <c r="Z20" s="18">
        <v>7.1</v>
      </c>
      <c r="AA20" s="13" t="s">
        <v>275</v>
      </c>
      <c r="AB20" s="11" t="s">
        <v>275</v>
      </c>
      <c r="AC20" s="13" t="s">
        <v>275</v>
      </c>
      <c r="AD20" s="11" t="s">
        <v>275</v>
      </c>
      <c r="AE20" s="13" t="s">
        <v>275</v>
      </c>
      <c r="AF20" s="13" t="s">
        <v>275</v>
      </c>
    </row>
    <row r="21" spans="1:32" x14ac:dyDescent="0.35">
      <c r="A21" s="9" t="s">
        <v>97</v>
      </c>
      <c r="B21" s="13">
        <v>4845.1000000000004</v>
      </c>
      <c r="C21" s="13">
        <v>2323.5</v>
      </c>
      <c r="D21" s="13">
        <v>2521.6</v>
      </c>
      <c r="E21" s="13">
        <v>96674</v>
      </c>
      <c r="F21" s="18">
        <v>20</v>
      </c>
      <c r="G21" s="13">
        <v>49419</v>
      </c>
      <c r="H21" s="13">
        <v>47255</v>
      </c>
      <c r="I21" s="13">
        <v>1046</v>
      </c>
      <c r="J21" s="13">
        <v>7059</v>
      </c>
      <c r="K21" s="15">
        <v>7.2999999999999995E-2</v>
      </c>
      <c r="L21" s="13">
        <v>1228</v>
      </c>
      <c r="M21" s="13">
        <v>11</v>
      </c>
      <c r="N21" s="15">
        <v>1.2999999999999999E-2</v>
      </c>
      <c r="O21" s="13" t="s">
        <v>275</v>
      </c>
      <c r="P21" s="13" t="s">
        <v>275</v>
      </c>
      <c r="Q21" s="13">
        <v>8260</v>
      </c>
      <c r="R21" s="18">
        <v>85.4</v>
      </c>
      <c r="S21" s="13">
        <v>66017</v>
      </c>
      <c r="T21" s="18">
        <v>13.6</v>
      </c>
      <c r="U21" s="13">
        <v>33106</v>
      </c>
      <c r="V21" s="18">
        <v>14.3</v>
      </c>
      <c r="W21" s="13">
        <v>32911</v>
      </c>
      <c r="X21" s="18">
        <v>13.1</v>
      </c>
      <c r="Y21" s="13">
        <v>32605</v>
      </c>
      <c r="Z21" s="18">
        <v>6.7</v>
      </c>
      <c r="AA21" s="13" t="s">
        <v>275</v>
      </c>
      <c r="AB21" s="11" t="s">
        <v>275</v>
      </c>
      <c r="AC21" s="13" t="s">
        <v>275</v>
      </c>
      <c r="AD21" s="11" t="s">
        <v>275</v>
      </c>
      <c r="AE21" s="13" t="s">
        <v>275</v>
      </c>
      <c r="AF21" s="13" t="s">
        <v>275</v>
      </c>
    </row>
    <row r="22" spans="1:32" x14ac:dyDescent="0.35">
      <c r="A22" s="9" t="s">
        <v>98</v>
      </c>
      <c r="B22" s="13">
        <v>4905.1000000000004</v>
      </c>
      <c r="C22" s="13">
        <v>2359.6</v>
      </c>
      <c r="D22" s="13">
        <v>2545.5</v>
      </c>
      <c r="E22" s="13">
        <v>89306</v>
      </c>
      <c r="F22" s="18">
        <v>18.2</v>
      </c>
      <c r="G22" s="13">
        <v>45739</v>
      </c>
      <c r="H22" s="13">
        <v>43567</v>
      </c>
      <c r="I22" s="13">
        <v>1050</v>
      </c>
      <c r="J22" s="13">
        <v>6195</v>
      </c>
      <c r="K22" s="15">
        <v>6.9000000000000006E-2</v>
      </c>
      <c r="L22" s="13">
        <v>1076</v>
      </c>
      <c r="M22" s="13">
        <v>12</v>
      </c>
      <c r="N22" s="15">
        <v>1.23E-2</v>
      </c>
      <c r="O22" s="13" t="s">
        <v>275</v>
      </c>
      <c r="P22" s="13" t="s">
        <v>275</v>
      </c>
      <c r="Q22" s="13">
        <v>7212</v>
      </c>
      <c r="R22" s="18">
        <v>80.8</v>
      </c>
      <c r="S22" s="13">
        <v>64839</v>
      </c>
      <c r="T22" s="18">
        <v>13.2</v>
      </c>
      <c r="U22" s="13">
        <v>32498</v>
      </c>
      <c r="V22" s="18">
        <v>13.8</v>
      </c>
      <c r="W22" s="13">
        <v>32341</v>
      </c>
      <c r="X22" s="18">
        <v>12.7</v>
      </c>
      <c r="Y22" s="13">
        <v>34986</v>
      </c>
      <c r="Z22" s="18">
        <v>7.1</v>
      </c>
      <c r="AA22" s="13" t="s">
        <v>275</v>
      </c>
      <c r="AB22" s="11" t="s">
        <v>275</v>
      </c>
      <c r="AC22" s="13" t="s">
        <v>275</v>
      </c>
      <c r="AD22" s="11" t="s">
        <v>275</v>
      </c>
      <c r="AE22" s="13" t="s">
        <v>275</v>
      </c>
      <c r="AF22" s="13" t="s">
        <v>275</v>
      </c>
    </row>
    <row r="23" spans="1:32" x14ac:dyDescent="0.35">
      <c r="A23" s="9" t="s">
        <v>99</v>
      </c>
      <c r="B23" s="13">
        <v>4956.8</v>
      </c>
      <c r="C23" s="13">
        <v>2365.1999999999998</v>
      </c>
      <c r="D23" s="13">
        <v>2591.5</v>
      </c>
      <c r="E23" s="13">
        <v>87734</v>
      </c>
      <c r="F23" s="18">
        <v>17.600000000000001</v>
      </c>
      <c r="G23" s="13">
        <v>44945</v>
      </c>
      <c r="H23" s="13">
        <v>42789</v>
      </c>
      <c r="I23" s="13">
        <v>1050</v>
      </c>
      <c r="J23" s="13">
        <v>5397</v>
      </c>
      <c r="K23" s="15">
        <v>6.2E-2</v>
      </c>
      <c r="L23" s="13">
        <v>1118</v>
      </c>
      <c r="M23" s="13">
        <v>8</v>
      </c>
      <c r="N23" s="15">
        <v>1.2800000000000001E-2</v>
      </c>
      <c r="O23" s="13" t="s">
        <v>275</v>
      </c>
      <c r="P23" s="13" t="s">
        <v>275</v>
      </c>
      <c r="Q23" s="13">
        <v>6650</v>
      </c>
      <c r="R23" s="18">
        <v>75.8</v>
      </c>
      <c r="S23" s="13">
        <v>67166</v>
      </c>
      <c r="T23" s="18">
        <v>13.5</v>
      </c>
      <c r="U23" s="13">
        <v>34259</v>
      </c>
      <c r="V23" s="18">
        <v>14.4</v>
      </c>
      <c r="W23" s="13">
        <v>32907</v>
      </c>
      <c r="X23" s="18">
        <v>12.7</v>
      </c>
      <c r="Y23" s="13">
        <v>42941</v>
      </c>
      <c r="Z23" s="18">
        <v>8.6</v>
      </c>
      <c r="AA23" s="13" t="s">
        <v>275</v>
      </c>
      <c r="AB23" s="11" t="s">
        <v>275</v>
      </c>
      <c r="AC23" s="13" t="s">
        <v>275</v>
      </c>
      <c r="AD23" s="11" t="s">
        <v>275</v>
      </c>
      <c r="AE23" s="13" t="s">
        <v>275</v>
      </c>
      <c r="AF23" s="13" t="s">
        <v>275</v>
      </c>
    </row>
    <row r="24" spans="1:32" x14ac:dyDescent="0.35">
      <c r="A24" s="9" t="s">
        <v>100</v>
      </c>
      <c r="B24" s="13">
        <v>4711.8999999999996</v>
      </c>
      <c r="C24" s="13">
        <v>2086.8000000000002</v>
      </c>
      <c r="D24" s="13">
        <v>2625.1</v>
      </c>
      <c r="E24" s="13">
        <v>91593</v>
      </c>
      <c r="F24" s="18">
        <v>19.399999999999999</v>
      </c>
      <c r="G24" s="13">
        <v>47055</v>
      </c>
      <c r="H24" s="13">
        <v>44538</v>
      </c>
      <c r="I24" s="13">
        <v>1056</v>
      </c>
      <c r="J24" s="13">
        <v>6964</v>
      </c>
      <c r="K24" s="15">
        <v>7.5999999999999998E-2</v>
      </c>
      <c r="L24" s="13">
        <v>1263</v>
      </c>
      <c r="M24" s="13">
        <v>15</v>
      </c>
      <c r="N24" s="15">
        <v>1.3599999999999999E-2</v>
      </c>
      <c r="O24" s="13">
        <v>3393</v>
      </c>
      <c r="P24" s="18">
        <v>35.700000000000003</v>
      </c>
      <c r="Q24" s="13">
        <v>6202</v>
      </c>
      <c r="R24" s="18">
        <v>67.7</v>
      </c>
      <c r="S24" s="13">
        <v>66302</v>
      </c>
      <c r="T24" s="18">
        <v>13.8</v>
      </c>
      <c r="U24" s="13">
        <v>34230</v>
      </c>
      <c r="V24" s="18">
        <v>15.7</v>
      </c>
      <c r="W24" s="13">
        <v>32072</v>
      </c>
      <c r="X24" s="18">
        <v>12.2</v>
      </c>
      <c r="Y24" s="13">
        <v>43772</v>
      </c>
      <c r="Z24" s="18">
        <v>8.5</v>
      </c>
      <c r="AA24" s="13" t="s">
        <v>275</v>
      </c>
      <c r="AB24" s="11" t="s">
        <v>275</v>
      </c>
      <c r="AC24" s="13" t="s">
        <v>275</v>
      </c>
      <c r="AD24" s="11" t="s">
        <v>275</v>
      </c>
      <c r="AE24" s="13" t="s">
        <v>275</v>
      </c>
      <c r="AF24" s="13" t="s">
        <v>275</v>
      </c>
    </row>
    <row r="25" spans="1:32" x14ac:dyDescent="0.35">
      <c r="A25" s="9" t="s">
        <v>101</v>
      </c>
      <c r="B25" s="13">
        <v>5054.3</v>
      </c>
      <c r="C25" s="13">
        <v>2409.3000000000002</v>
      </c>
      <c r="D25" s="13">
        <v>2644.9</v>
      </c>
      <c r="E25" s="13">
        <v>101222</v>
      </c>
      <c r="F25" s="18">
        <v>20</v>
      </c>
      <c r="G25" s="13">
        <v>52146</v>
      </c>
      <c r="H25" s="13">
        <v>49076</v>
      </c>
      <c r="I25" s="13">
        <v>1063</v>
      </c>
      <c r="J25" s="13">
        <v>5819</v>
      </c>
      <c r="K25" s="15">
        <v>5.7000000000000002E-2</v>
      </c>
      <c r="L25" s="13">
        <v>1413</v>
      </c>
      <c r="M25" s="13">
        <v>17</v>
      </c>
      <c r="N25" s="15">
        <v>1.3899999999999999E-2</v>
      </c>
      <c r="O25" s="13">
        <v>3047</v>
      </c>
      <c r="P25" s="18">
        <v>29.2</v>
      </c>
      <c r="Q25" s="13">
        <v>4789</v>
      </c>
      <c r="R25" s="18">
        <v>47.3</v>
      </c>
      <c r="S25" s="13">
        <v>63854</v>
      </c>
      <c r="T25" s="18">
        <v>12.6</v>
      </c>
      <c r="U25" s="13">
        <v>32281</v>
      </c>
      <c r="V25" s="18">
        <v>13.4</v>
      </c>
      <c r="W25" s="13">
        <v>31573</v>
      </c>
      <c r="X25" s="18">
        <v>11.9</v>
      </c>
      <c r="Y25" s="13">
        <v>43206</v>
      </c>
      <c r="Z25" s="18">
        <v>8.5</v>
      </c>
      <c r="AA25" s="13" t="s">
        <v>275</v>
      </c>
      <c r="AB25" s="11" t="s">
        <v>275</v>
      </c>
      <c r="AC25" s="13" t="s">
        <v>275</v>
      </c>
      <c r="AD25" s="11" t="s">
        <v>275</v>
      </c>
      <c r="AE25" s="13" t="s">
        <v>275</v>
      </c>
      <c r="AF25" s="13" t="s">
        <v>275</v>
      </c>
    </row>
    <row r="26" spans="1:32" x14ac:dyDescent="0.35">
      <c r="A26" s="9" t="s">
        <v>102</v>
      </c>
      <c r="B26" s="13">
        <v>5103.6000000000004</v>
      </c>
      <c r="C26" s="13">
        <v>2437.8000000000002</v>
      </c>
      <c r="D26" s="13">
        <v>2665.8</v>
      </c>
      <c r="E26" s="13">
        <v>91366</v>
      </c>
      <c r="F26" s="18">
        <v>17.899999999999999</v>
      </c>
      <c r="G26" s="13">
        <v>46952</v>
      </c>
      <c r="H26" s="13">
        <v>44414</v>
      </c>
      <c r="I26" s="13">
        <v>1057</v>
      </c>
      <c r="J26" s="13">
        <v>4259</v>
      </c>
      <c r="K26" s="15">
        <v>4.7E-2</v>
      </c>
      <c r="L26" s="13">
        <v>1272</v>
      </c>
      <c r="M26" s="13">
        <v>12</v>
      </c>
      <c r="N26" s="15">
        <v>1.3899999999999999E-2</v>
      </c>
      <c r="O26" s="13">
        <v>2390</v>
      </c>
      <c r="P26" s="18">
        <v>25.5</v>
      </c>
      <c r="Q26" s="13">
        <v>3009</v>
      </c>
      <c r="R26" s="18">
        <v>32.9</v>
      </c>
      <c r="S26" s="13">
        <v>61838</v>
      </c>
      <c r="T26" s="18">
        <v>12.1</v>
      </c>
      <c r="U26" s="13">
        <v>31533</v>
      </c>
      <c r="V26" s="18">
        <v>12.9</v>
      </c>
      <c r="W26" s="13">
        <v>30305</v>
      </c>
      <c r="X26" s="18">
        <v>11.4</v>
      </c>
      <c r="Y26" s="13">
        <v>41718</v>
      </c>
      <c r="Z26" s="18">
        <v>8.1999999999999993</v>
      </c>
      <c r="AA26" s="13" t="s">
        <v>275</v>
      </c>
      <c r="AB26" s="11" t="s">
        <v>275</v>
      </c>
      <c r="AC26" s="13" t="s">
        <v>275</v>
      </c>
      <c r="AD26" s="11" t="s">
        <v>275</v>
      </c>
      <c r="AE26" s="13" t="s">
        <v>275</v>
      </c>
      <c r="AF26" s="13" t="s">
        <v>275</v>
      </c>
    </row>
    <row r="27" spans="1:32" x14ac:dyDescent="0.35">
      <c r="A27" s="9" t="s">
        <v>103</v>
      </c>
      <c r="B27" s="13">
        <v>5145.2</v>
      </c>
      <c r="C27" s="13">
        <v>2461.6</v>
      </c>
      <c r="D27" s="13">
        <v>2683.6</v>
      </c>
      <c r="E27" s="13">
        <v>98663</v>
      </c>
      <c r="F27" s="18">
        <v>19.2</v>
      </c>
      <c r="G27" s="13">
        <v>50677</v>
      </c>
      <c r="H27" s="13">
        <v>47986</v>
      </c>
      <c r="I27" s="13">
        <v>1056</v>
      </c>
      <c r="J27" s="13">
        <v>4140</v>
      </c>
      <c r="K27" s="15">
        <v>4.2000000000000003E-2</v>
      </c>
      <c r="L27" s="13">
        <v>1291</v>
      </c>
      <c r="M27" s="13">
        <v>11</v>
      </c>
      <c r="N27" s="15">
        <v>1.3100000000000001E-2</v>
      </c>
      <c r="O27" s="13">
        <v>2307</v>
      </c>
      <c r="P27" s="18">
        <v>22.9</v>
      </c>
      <c r="Q27" s="13">
        <v>2755</v>
      </c>
      <c r="R27" s="18">
        <v>27.9</v>
      </c>
      <c r="S27" s="13">
        <v>61965</v>
      </c>
      <c r="T27" s="18">
        <v>12</v>
      </c>
      <c r="U27" s="13">
        <v>31835</v>
      </c>
      <c r="V27" s="18">
        <v>12.9</v>
      </c>
      <c r="W27" s="13">
        <v>30130</v>
      </c>
      <c r="X27" s="18">
        <v>11.2</v>
      </c>
      <c r="Y27" s="13">
        <v>41671</v>
      </c>
      <c r="Z27" s="18">
        <v>8.1</v>
      </c>
      <c r="AA27" s="13" t="s">
        <v>275</v>
      </c>
      <c r="AB27" s="11" t="s">
        <v>275</v>
      </c>
      <c r="AC27" s="13" t="s">
        <v>275</v>
      </c>
      <c r="AD27" s="11" t="s">
        <v>275</v>
      </c>
      <c r="AE27" s="13" t="s">
        <v>275</v>
      </c>
      <c r="AF27" s="13" t="s">
        <v>275</v>
      </c>
    </row>
    <row r="28" spans="1:32" x14ac:dyDescent="0.35">
      <c r="A28" s="9" t="s">
        <v>104</v>
      </c>
      <c r="B28" s="13">
        <v>5201</v>
      </c>
      <c r="C28" s="13">
        <v>2496.4</v>
      </c>
      <c r="D28" s="13">
        <v>2704.5</v>
      </c>
      <c r="E28" s="13">
        <v>102642</v>
      </c>
      <c r="F28" s="18">
        <v>19.7</v>
      </c>
      <c r="G28" s="13">
        <v>52862</v>
      </c>
      <c r="H28" s="13">
        <v>49780</v>
      </c>
      <c r="I28" s="13">
        <v>1062</v>
      </c>
      <c r="J28" s="13">
        <v>5304</v>
      </c>
      <c r="K28" s="15">
        <v>5.1999999999999998E-2</v>
      </c>
      <c r="L28" s="13">
        <v>1219</v>
      </c>
      <c r="M28" s="13">
        <v>12</v>
      </c>
      <c r="N28" s="15">
        <v>1.1900000000000001E-2</v>
      </c>
      <c r="O28" s="13">
        <v>2000</v>
      </c>
      <c r="P28" s="18">
        <v>19.100000000000001</v>
      </c>
      <c r="Q28" s="13">
        <v>2568</v>
      </c>
      <c r="R28" s="18">
        <v>25</v>
      </c>
      <c r="S28" s="13">
        <v>63309</v>
      </c>
      <c r="T28" s="18">
        <v>12.2</v>
      </c>
      <c r="U28" s="13">
        <v>32786</v>
      </c>
      <c r="V28" s="18">
        <v>13.1</v>
      </c>
      <c r="W28" s="13">
        <v>30523</v>
      </c>
      <c r="X28" s="18">
        <v>11.3</v>
      </c>
      <c r="Y28" s="13">
        <v>40235</v>
      </c>
      <c r="Z28" s="18">
        <v>7.7</v>
      </c>
      <c r="AA28" s="13" t="s">
        <v>275</v>
      </c>
      <c r="AB28" s="11" t="s">
        <v>275</v>
      </c>
      <c r="AC28" s="13" t="s">
        <v>275</v>
      </c>
      <c r="AD28" s="11" t="s">
        <v>275</v>
      </c>
      <c r="AE28" s="13" t="s">
        <v>275</v>
      </c>
      <c r="AF28" s="13" t="s">
        <v>275</v>
      </c>
    </row>
    <row r="29" spans="1:32" x14ac:dyDescent="0.35">
      <c r="A29" s="9" t="s">
        <v>105</v>
      </c>
      <c r="B29" s="13">
        <v>5204.3</v>
      </c>
      <c r="C29" s="13">
        <v>2500</v>
      </c>
      <c r="D29" s="13">
        <v>2704.2</v>
      </c>
      <c r="E29" s="13">
        <v>93033</v>
      </c>
      <c r="F29" s="18">
        <v>17.899999999999999</v>
      </c>
      <c r="G29" s="13">
        <v>47996</v>
      </c>
      <c r="H29" s="13">
        <v>45037</v>
      </c>
      <c r="I29" s="13">
        <v>1066</v>
      </c>
      <c r="J29" s="13">
        <v>6653</v>
      </c>
      <c r="K29" s="15">
        <v>7.1999999999999995E-2</v>
      </c>
      <c r="L29" s="13">
        <v>983</v>
      </c>
      <c r="M29" s="13">
        <v>10</v>
      </c>
      <c r="N29" s="15">
        <v>1.06E-2</v>
      </c>
      <c r="O29" s="13">
        <v>1415</v>
      </c>
      <c r="P29" s="18">
        <v>15</v>
      </c>
      <c r="Q29" s="13">
        <v>1970</v>
      </c>
      <c r="R29" s="18">
        <v>21.2</v>
      </c>
      <c r="S29" s="13">
        <v>62797</v>
      </c>
      <c r="T29" s="18">
        <v>12.1</v>
      </c>
      <c r="U29" s="13">
        <v>32069</v>
      </c>
      <c r="V29" s="18">
        <v>12.8</v>
      </c>
      <c r="W29" s="13">
        <v>30728</v>
      </c>
      <c r="X29" s="18">
        <v>11.4</v>
      </c>
      <c r="Y29" s="13">
        <v>42832</v>
      </c>
      <c r="Z29" s="18">
        <v>8.1999999999999993</v>
      </c>
      <c r="AA29" s="13" t="s">
        <v>275</v>
      </c>
      <c r="AB29" s="11" t="s">
        <v>275</v>
      </c>
      <c r="AC29" s="13" t="s">
        <v>275</v>
      </c>
      <c r="AD29" s="11" t="s">
        <v>275</v>
      </c>
      <c r="AE29" s="13" t="s">
        <v>275</v>
      </c>
      <c r="AF29" s="13" t="s">
        <v>275</v>
      </c>
    </row>
    <row r="30" spans="1:32" x14ac:dyDescent="0.35">
      <c r="A30" s="9" t="s">
        <v>106</v>
      </c>
      <c r="B30" s="13">
        <v>5234.7</v>
      </c>
      <c r="C30" s="13">
        <v>2516</v>
      </c>
      <c r="D30" s="13">
        <v>2718.7</v>
      </c>
      <c r="E30" s="13">
        <v>75541</v>
      </c>
      <c r="F30" s="18">
        <v>14.4</v>
      </c>
      <c r="G30" s="13">
        <v>38838</v>
      </c>
      <c r="H30" s="13">
        <v>36703</v>
      </c>
      <c r="I30" s="13">
        <v>1058</v>
      </c>
      <c r="J30" s="13">
        <v>6575</v>
      </c>
      <c r="K30" s="15">
        <v>8.6999999999999994E-2</v>
      </c>
      <c r="L30" s="13">
        <v>751</v>
      </c>
      <c r="M30" s="13">
        <v>6</v>
      </c>
      <c r="N30" s="15">
        <v>9.9000000000000008E-3</v>
      </c>
      <c r="O30" s="13">
        <v>939</v>
      </c>
      <c r="P30" s="18">
        <v>12.3</v>
      </c>
      <c r="Q30" s="13">
        <v>1421</v>
      </c>
      <c r="R30" s="18">
        <v>18.8</v>
      </c>
      <c r="S30" s="13">
        <v>63808</v>
      </c>
      <c r="T30" s="18">
        <v>12.2</v>
      </c>
      <c r="U30" s="13">
        <v>32529</v>
      </c>
      <c r="V30" s="18">
        <v>12.9</v>
      </c>
      <c r="W30" s="13">
        <v>31279</v>
      </c>
      <c r="X30" s="18">
        <v>11.5</v>
      </c>
      <c r="Y30" s="13">
        <v>41404</v>
      </c>
      <c r="Z30" s="18">
        <v>7.9</v>
      </c>
      <c r="AA30" s="13" t="s">
        <v>275</v>
      </c>
      <c r="AB30" s="11" t="s">
        <v>275</v>
      </c>
      <c r="AC30" s="13" t="s">
        <v>275</v>
      </c>
      <c r="AD30" s="11" t="s">
        <v>275</v>
      </c>
      <c r="AE30" s="13" t="s">
        <v>275</v>
      </c>
      <c r="AF30" s="13" t="s">
        <v>275</v>
      </c>
    </row>
    <row r="31" spans="1:32" x14ac:dyDescent="0.35">
      <c r="A31" s="9" t="s">
        <v>107</v>
      </c>
      <c r="B31" s="13">
        <v>5213.8999999999996</v>
      </c>
      <c r="C31" s="13">
        <v>2509.3000000000002</v>
      </c>
      <c r="D31" s="13">
        <v>2704.5</v>
      </c>
      <c r="E31" s="13">
        <v>65758</v>
      </c>
      <c r="F31" s="18">
        <v>12.6</v>
      </c>
      <c r="G31" s="13">
        <v>33860</v>
      </c>
      <c r="H31" s="13">
        <v>31898</v>
      </c>
      <c r="I31" s="13">
        <v>1061</v>
      </c>
      <c r="J31" s="13">
        <v>6587</v>
      </c>
      <c r="K31" s="15">
        <v>0.1</v>
      </c>
      <c r="L31" s="13">
        <v>614</v>
      </c>
      <c r="M31" s="13">
        <v>6</v>
      </c>
      <c r="N31" s="15">
        <v>9.4000000000000004E-3</v>
      </c>
      <c r="O31" s="13">
        <v>529</v>
      </c>
      <c r="P31" s="18">
        <v>8</v>
      </c>
      <c r="Q31" s="13">
        <v>900</v>
      </c>
      <c r="R31" s="18">
        <v>13.7</v>
      </c>
      <c r="S31" s="13">
        <v>64343</v>
      </c>
      <c r="T31" s="18">
        <v>12.3</v>
      </c>
      <c r="U31" s="13">
        <v>32250</v>
      </c>
      <c r="V31" s="18">
        <v>12.9</v>
      </c>
      <c r="W31" s="13">
        <v>32094</v>
      </c>
      <c r="X31" s="18">
        <v>11.9</v>
      </c>
      <c r="Y31" s="13">
        <v>37801</v>
      </c>
      <c r="Z31" s="18">
        <v>7.3</v>
      </c>
      <c r="AA31" s="13" t="s">
        <v>275</v>
      </c>
      <c r="AB31" s="11" t="s">
        <v>275</v>
      </c>
      <c r="AC31" s="13" t="s">
        <v>275</v>
      </c>
      <c r="AD31" s="11" t="s">
        <v>275</v>
      </c>
      <c r="AE31" s="13" t="s">
        <v>275</v>
      </c>
      <c r="AF31" s="13" t="s">
        <v>275</v>
      </c>
    </row>
    <row r="32" spans="1:32" x14ac:dyDescent="0.35">
      <c r="A32" s="9" t="s">
        <v>108</v>
      </c>
      <c r="B32" s="13">
        <v>5151.8999999999996</v>
      </c>
      <c r="C32" s="13">
        <v>2481.1</v>
      </c>
      <c r="D32" s="13">
        <v>2670.8</v>
      </c>
      <c r="E32" s="13">
        <v>66422</v>
      </c>
      <c r="F32" s="18">
        <v>12.9</v>
      </c>
      <c r="G32" s="13">
        <v>34023</v>
      </c>
      <c r="H32" s="13">
        <v>32399</v>
      </c>
      <c r="I32" s="13">
        <v>1050</v>
      </c>
      <c r="J32" s="13">
        <v>10085</v>
      </c>
      <c r="K32" s="15">
        <v>0.152</v>
      </c>
      <c r="L32" s="13">
        <v>647</v>
      </c>
      <c r="M32" s="13">
        <v>7</v>
      </c>
      <c r="N32" s="15">
        <v>9.9000000000000008E-3</v>
      </c>
      <c r="O32" s="13">
        <v>389</v>
      </c>
      <c r="P32" s="18">
        <v>5.8</v>
      </c>
      <c r="Q32" s="13">
        <v>695</v>
      </c>
      <c r="R32" s="18">
        <v>10.5</v>
      </c>
      <c r="S32" s="13">
        <v>63723</v>
      </c>
      <c r="T32" s="18">
        <v>12.4</v>
      </c>
      <c r="U32" s="13">
        <v>31315</v>
      </c>
      <c r="V32" s="18">
        <v>12.6</v>
      </c>
      <c r="W32" s="13">
        <v>32408</v>
      </c>
      <c r="X32" s="18">
        <v>12.1</v>
      </c>
      <c r="Y32" s="13">
        <v>35756</v>
      </c>
      <c r="Z32" s="18">
        <v>6.9</v>
      </c>
      <c r="AA32" s="13" t="s">
        <v>275</v>
      </c>
      <c r="AB32" s="11" t="s">
        <v>275</v>
      </c>
      <c r="AC32" s="13" t="s">
        <v>275</v>
      </c>
      <c r="AD32" s="11" t="s">
        <v>275</v>
      </c>
      <c r="AE32" s="13" t="s">
        <v>275</v>
      </c>
      <c r="AF32" s="13" t="s">
        <v>275</v>
      </c>
    </row>
    <row r="33" spans="1:32" x14ac:dyDescent="0.35">
      <c r="A33" s="9" t="s">
        <v>109</v>
      </c>
      <c r="B33" s="13">
        <v>5089.5</v>
      </c>
      <c r="C33" s="13">
        <v>2449.8000000000002</v>
      </c>
      <c r="D33" s="13">
        <v>2639.7</v>
      </c>
      <c r="E33" s="13">
        <v>65544</v>
      </c>
      <c r="F33" s="18">
        <v>12.9</v>
      </c>
      <c r="G33" s="13">
        <v>33661</v>
      </c>
      <c r="H33" s="13">
        <v>31882</v>
      </c>
      <c r="I33" s="13">
        <v>1056</v>
      </c>
      <c r="J33" s="13">
        <v>15849</v>
      </c>
      <c r="K33" s="15">
        <v>0.24199999999999999</v>
      </c>
      <c r="L33" s="13">
        <v>711</v>
      </c>
      <c r="M33" s="13">
        <v>12</v>
      </c>
      <c r="N33" s="15">
        <v>1.11E-2</v>
      </c>
      <c r="O33" s="13">
        <v>350</v>
      </c>
      <c r="P33" s="18">
        <v>5.3</v>
      </c>
      <c r="Q33" s="13">
        <v>550</v>
      </c>
      <c r="R33" s="18">
        <v>8.4</v>
      </c>
      <c r="S33" s="13">
        <v>62796</v>
      </c>
      <c r="T33" s="18">
        <v>12.3</v>
      </c>
      <c r="U33" s="13">
        <v>30466</v>
      </c>
      <c r="V33" s="18">
        <v>12.4</v>
      </c>
      <c r="W33" s="13">
        <v>32330</v>
      </c>
      <c r="X33" s="18">
        <v>12.2</v>
      </c>
      <c r="Y33" s="13">
        <v>35440</v>
      </c>
      <c r="Z33" s="18">
        <v>7</v>
      </c>
      <c r="AA33" s="13" t="s">
        <v>275</v>
      </c>
      <c r="AB33" s="11" t="s">
        <v>275</v>
      </c>
      <c r="AC33" s="13" t="s">
        <v>275</v>
      </c>
      <c r="AD33" s="11" t="s">
        <v>275</v>
      </c>
      <c r="AE33" s="13" t="s">
        <v>275</v>
      </c>
      <c r="AF33" s="13" t="s">
        <v>275</v>
      </c>
    </row>
    <row r="34" spans="1:32" x14ac:dyDescent="0.35">
      <c r="A34" s="9" t="s">
        <v>110</v>
      </c>
      <c r="B34" s="13">
        <v>5093.5</v>
      </c>
      <c r="C34" s="13">
        <v>2449</v>
      </c>
      <c r="D34" s="13">
        <v>2644.5</v>
      </c>
      <c r="E34" s="13">
        <v>63571</v>
      </c>
      <c r="F34" s="18">
        <v>12.5</v>
      </c>
      <c r="G34" s="13">
        <v>32491</v>
      </c>
      <c r="H34" s="13">
        <v>31081</v>
      </c>
      <c r="I34" s="13">
        <v>1045</v>
      </c>
      <c r="J34" s="13">
        <v>19762</v>
      </c>
      <c r="K34" s="15">
        <v>0.311</v>
      </c>
      <c r="L34" s="13">
        <v>778</v>
      </c>
      <c r="M34" s="13">
        <v>20</v>
      </c>
      <c r="N34" s="15">
        <v>1.26E-2</v>
      </c>
      <c r="O34" s="13">
        <v>382</v>
      </c>
      <c r="P34" s="18">
        <v>6</v>
      </c>
      <c r="Q34" s="13">
        <v>418</v>
      </c>
      <c r="R34" s="18">
        <v>6.6</v>
      </c>
      <c r="S34" s="13">
        <v>61171</v>
      </c>
      <c r="T34" s="18">
        <v>12</v>
      </c>
      <c r="U34" s="13">
        <v>29271</v>
      </c>
      <c r="V34" s="18">
        <v>12</v>
      </c>
      <c r="W34" s="13">
        <v>31900</v>
      </c>
      <c r="X34" s="18">
        <v>12.1</v>
      </c>
      <c r="Y34" s="13">
        <v>32866</v>
      </c>
      <c r="Z34" s="18">
        <v>6.5</v>
      </c>
      <c r="AA34" s="13" t="s">
        <v>275</v>
      </c>
      <c r="AB34" s="11" t="s">
        <v>275</v>
      </c>
      <c r="AC34" s="13" t="s">
        <v>275</v>
      </c>
      <c r="AD34" s="11" t="s">
        <v>275</v>
      </c>
      <c r="AE34" s="13" t="s">
        <v>275</v>
      </c>
      <c r="AF34" s="13" t="s">
        <v>275</v>
      </c>
    </row>
    <row r="35" spans="1:32" x14ac:dyDescent="0.35">
      <c r="A35" s="9" t="s">
        <v>111</v>
      </c>
      <c r="B35" s="13">
        <v>5077.5</v>
      </c>
      <c r="C35" s="13">
        <v>2439.4</v>
      </c>
      <c r="D35" s="13">
        <v>2638.1</v>
      </c>
      <c r="E35" s="13">
        <v>56856</v>
      </c>
      <c r="F35" s="18">
        <v>11.2</v>
      </c>
      <c r="G35" s="13">
        <v>29195</v>
      </c>
      <c r="H35" s="13">
        <v>27660</v>
      </c>
      <c r="I35" s="13">
        <v>1055</v>
      </c>
      <c r="J35" s="13">
        <v>22283</v>
      </c>
      <c r="K35" s="15">
        <v>0.39200000000000002</v>
      </c>
      <c r="L35" s="13">
        <v>775</v>
      </c>
      <c r="M35" s="13">
        <v>20</v>
      </c>
      <c r="N35" s="15">
        <v>1.41E-2</v>
      </c>
      <c r="O35" s="13">
        <v>327</v>
      </c>
      <c r="P35" s="18">
        <v>5.7</v>
      </c>
      <c r="Q35" s="13">
        <v>316</v>
      </c>
      <c r="R35" s="18">
        <v>5.6</v>
      </c>
      <c r="S35" s="13">
        <v>59478</v>
      </c>
      <c r="T35" s="18">
        <v>11.7</v>
      </c>
      <c r="U35" s="13">
        <v>28352</v>
      </c>
      <c r="V35" s="18">
        <v>11.6</v>
      </c>
      <c r="W35" s="13">
        <v>31126</v>
      </c>
      <c r="X35" s="18">
        <v>11.8</v>
      </c>
      <c r="Y35" s="13">
        <v>29965</v>
      </c>
      <c r="Z35" s="18">
        <v>5.9</v>
      </c>
      <c r="AA35" s="13" t="s">
        <v>275</v>
      </c>
      <c r="AB35" s="11" t="s">
        <v>275</v>
      </c>
      <c r="AC35" s="13" t="s">
        <v>275</v>
      </c>
      <c r="AD35" s="11" t="s">
        <v>275</v>
      </c>
      <c r="AE35" s="13" t="s">
        <v>275</v>
      </c>
      <c r="AF35" s="13" t="s">
        <v>275</v>
      </c>
    </row>
    <row r="36" spans="1:32" x14ac:dyDescent="0.35">
      <c r="A36" s="9" t="s">
        <v>112</v>
      </c>
      <c r="B36" s="13">
        <v>5078.6000000000004</v>
      </c>
      <c r="C36" s="13">
        <v>2443.1</v>
      </c>
      <c r="D36" s="13">
        <v>2635.6</v>
      </c>
      <c r="E36" s="13">
        <v>52914</v>
      </c>
      <c r="F36" s="18">
        <v>10.4</v>
      </c>
      <c r="G36" s="13">
        <v>27152</v>
      </c>
      <c r="H36" s="13">
        <v>25762</v>
      </c>
      <c r="I36" s="13">
        <v>1054</v>
      </c>
      <c r="J36" s="13">
        <v>23995</v>
      </c>
      <c r="K36" s="15">
        <v>0.45300000000000001</v>
      </c>
      <c r="L36" s="13">
        <v>786</v>
      </c>
      <c r="M36" s="13">
        <v>10</v>
      </c>
      <c r="N36" s="15">
        <v>1.52E-2</v>
      </c>
      <c r="O36" s="13">
        <v>297</v>
      </c>
      <c r="P36" s="18">
        <v>5.6</v>
      </c>
      <c r="Q36" s="13">
        <v>275</v>
      </c>
      <c r="R36" s="18">
        <v>5.2</v>
      </c>
      <c r="S36" s="13">
        <v>57178</v>
      </c>
      <c r="T36" s="18">
        <v>11.3</v>
      </c>
      <c r="U36" s="13">
        <v>27239</v>
      </c>
      <c r="V36" s="18">
        <v>11.1</v>
      </c>
      <c r="W36" s="13">
        <v>29939</v>
      </c>
      <c r="X36" s="18">
        <v>11.4</v>
      </c>
      <c r="Y36" s="13">
        <v>30648</v>
      </c>
      <c r="Z36" s="18">
        <v>6</v>
      </c>
      <c r="AA36" s="13" t="s">
        <v>275</v>
      </c>
      <c r="AB36" s="11" t="s">
        <v>275</v>
      </c>
      <c r="AC36" s="13" t="s">
        <v>275</v>
      </c>
      <c r="AD36" s="11" t="s">
        <v>275</v>
      </c>
      <c r="AE36" s="13" t="s">
        <v>275</v>
      </c>
      <c r="AF36" s="13" t="s">
        <v>275</v>
      </c>
    </row>
    <row r="37" spans="1:32" x14ac:dyDescent="0.35">
      <c r="A37" s="9" t="s">
        <v>113</v>
      </c>
      <c r="B37" s="13">
        <v>5200</v>
      </c>
      <c r="C37" s="13">
        <v>2513.4</v>
      </c>
      <c r="D37" s="13">
        <v>2686.6</v>
      </c>
      <c r="E37" s="13">
        <v>58270</v>
      </c>
      <c r="F37" s="18">
        <v>11.2</v>
      </c>
      <c r="G37" s="13">
        <v>29755</v>
      </c>
      <c r="H37" s="13">
        <v>28515</v>
      </c>
      <c r="I37" s="13">
        <v>1043</v>
      </c>
      <c r="J37" s="13">
        <v>28851</v>
      </c>
      <c r="K37" s="15">
        <v>0.495</v>
      </c>
      <c r="L37" s="13">
        <v>907</v>
      </c>
      <c r="M37" s="13">
        <v>11</v>
      </c>
      <c r="N37" s="15">
        <v>1.5900000000000001E-2</v>
      </c>
      <c r="O37" s="13">
        <v>311</v>
      </c>
      <c r="P37" s="18">
        <v>5.3</v>
      </c>
      <c r="Q37" s="13">
        <v>245</v>
      </c>
      <c r="R37" s="18">
        <v>4.2</v>
      </c>
      <c r="S37" s="13">
        <v>54920</v>
      </c>
      <c r="T37" s="18">
        <v>10.6</v>
      </c>
      <c r="U37" s="13">
        <v>26288</v>
      </c>
      <c r="V37" s="18">
        <v>10.5</v>
      </c>
      <c r="W37" s="13">
        <v>28632</v>
      </c>
      <c r="X37" s="18">
        <v>10.7</v>
      </c>
      <c r="Y37" s="13">
        <v>28934</v>
      </c>
      <c r="Z37" s="18">
        <v>5.6</v>
      </c>
      <c r="AA37" s="13" t="s">
        <v>275</v>
      </c>
      <c r="AB37" s="11" t="s">
        <v>275</v>
      </c>
      <c r="AC37" s="13" t="s">
        <v>275</v>
      </c>
      <c r="AD37" s="11" t="s">
        <v>275</v>
      </c>
      <c r="AE37" s="13">
        <v>316</v>
      </c>
      <c r="AF37" s="13">
        <v>329</v>
      </c>
    </row>
    <row r="38" spans="1:32" x14ac:dyDescent="0.35">
      <c r="A38" s="9" t="s">
        <v>114</v>
      </c>
      <c r="B38" s="13">
        <v>5321.4</v>
      </c>
      <c r="C38" s="13">
        <v>2581.4</v>
      </c>
      <c r="D38" s="13">
        <v>2740</v>
      </c>
      <c r="E38" s="13">
        <v>56891</v>
      </c>
      <c r="F38" s="18">
        <v>10.7</v>
      </c>
      <c r="G38" s="13">
        <v>29212</v>
      </c>
      <c r="H38" s="13">
        <v>27678</v>
      </c>
      <c r="I38" s="13">
        <v>1055</v>
      </c>
      <c r="J38" s="13">
        <v>29106</v>
      </c>
      <c r="K38" s="15">
        <v>0.51200000000000001</v>
      </c>
      <c r="L38" s="13">
        <v>841</v>
      </c>
      <c r="M38" s="13">
        <v>11</v>
      </c>
      <c r="N38" s="15">
        <v>1.5100000000000001E-2</v>
      </c>
      <c r="O38" s="13">
        <v>249</v>
      </c>
      <c r="P38" s="18">
        <v>4.4000000000000004</v>
      </c>
      <c r="Q38" s="13">
        <v>205</v>
      </c>
      <c r="R38" s="18">
        <v>3.6</v>
      </c>
      <c r="S38" s="13">
        <v>55023</v>
      </c>
      <c r="T38" s="18">
        <v>10.3</v>
      </c>
      <c r="U38" s="13">
        <v>26489</v>
      </c>
      <c r="V38" s="18">
        <v>10.3</v>
      </c>
      <c r="W38" s="13">
        <v>28534</v>
      </c>
      <c r="X38" s="18">
        <v>10.4</v>
      </c>
      <c r="Y38" s="13">
        <v>29195</v>
      </c>
      <c r="Z38" s="18">
        <v>5.5</v>
      </c>
      <c r="AA38" s="13" t="s">
        <v>275</v>
      </c>
      <c r="AB38" s="11" t="s">
        <v>275</v>
      </c>
      <c r="AC38" s="13" t="s">
        <v>275</v>
      </c>
      <c r="AD38" s="11" t="s">
        <v>275</v>
      </c>
      <c r="AE38" s="13">
        <v>186</v>
      </c>
      <c r="AF38" s="13">
        <v>246</v>
      </c>
    </row>
    <row r="39" spans="1:32" x14ac:dyDescent="0.35">
      <c r="A39" s="9" t="s">
        <v>115</v>
      </c>
      <c r="B39" s="13">
        <v>5394.8</v>
      </c>
      <c r="C39" s="13">
        <v>2619.6999999999998</v>
      </c>
      <c r="D39" s="13">
        <v>2775.1</v>
      </c>
      <c r="E39" s="13">
        <v>51066</v>
      </c>
      <c r="F39" s="18">
        <v>9.5</v>
      </c>
      <c r="G39" s="13">
        <v>26288</v>
      </c>
      <c r="H39" s="13">
        <v>24777</v>
      </c>
      <c r="I39" s="13">
        <v>1061</v>
      </c>
      <c r="J39" s="13">
        <v>26127</v>
      </c>
      <c r="K39" s="15">
        <v>0.51200000000000001</v>
      </c>
      <c r="L39" s="13">
        <v>743</v>
      </c>
      <c r="M39" s="13">
        <v>7</v>
      </c>
      <c r="N39" s="15">
        <v>1.4800000000000001E-2</v>
      </c>
      <c r="O39" s="13">
        <v>205</v>
      </c>
      <c r="P39" s="18">
        <v>4</v>
      </c>
      <c r="Q39" s="13">
        <v>166</v>
      </c>
      <c r="R39" s="18">
        <v>3.3</v>
      </c>
      <c r="S39" s="13">
        <v>59063</v>
      </c>
      <c r="T39" s="18">
        <v>10.9</v>
      </c>
      <c r="U39" s="13">
        <v>29054</v>
      </c>
      <c r="V39" s="18">
        <v>11.1</v>
      </c>
      <c r="W39" s="13">
        <v>30009</v>
      </c>
      <c r="X39" s="18">
        <v>10.8</v>
      </c>
      <c r="Y39" s="13">
        <v>24637</v>
      </c>
      <c r="Z39" s="18">
        <v>4.5999999999999996</v>
      </c>
      <c r="AA39" s="13">
        <v>23779</v>
      </c>
      <c r="AB39" s="18">
        <v>4.4000000000000004</v>
      </c>
      <c r="AC39" s="13">
        <v>859</v>
      </c>
      <c r="AD39" s="18">
        <v>0.2</v>
      </c>
      <c r="AE39" s="13">
        <v>41</v>
      </c>
      <c r="AF39" s="13">
        <v>31</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0"/>
  <sheetViews>
    <sheetView workbookViewId="0"/>
  </sheetViews>
  <sheetFormatPr defaultColWidth="11.61328125" defaultRowHeight="15.5" x14ac:dyDescent="0.35"/>
  <cols>
    <col min="1" max="13" width="10.61328125" bestFit="1" customWidth="1"/>
    <col min="14" max="14" width="12.765625" customWidth="1"/>
    <col min="15" max="30" width="10.61328125" bestFit="1" customWidth="1"/>
    <col min="31" max="33" width="12.61328125" customWidth="1"/>
  </cols>
  <sheetData>
    <row r="1" spans="1:33" ht="20" x14ac:dyDescent="0.4">
      <c r="A1" s="5" t="s">
        <v>307</v>
      </c>
    </row>
    <row r="2" spans="1:33" x14ac:dyDescent="0.35">
      <c r="A2" t="s">
        <v>22</v>
      </c>
    </row>
    <row r="3" spans="1:33" x14ac:dyDescent="0.35">
      <c r="A3" t="s">
        <v>67</v>
      </c>
    </row>
    <row r="4" spans="1:33" x14ac:dyDescent="0.35">
      <c r="A4" t="s">
        <v>68</v>
      </c>
    </row>
    <row r="5" spans="1:33" x14ac:dyDescent="0.35">
      <c r="A5" s="16" t="str">
        <f>HYPERLINK("#'Contents'!A1", "back to contents")</f>
        <v>back to contents</v>
      </c>
    </row>
    <row r="6" spans="1:33" ht="108.5" x14ac:dyDescent="0.35">
      <c r="A6" s="8" t="s">
        <v>69</v>
      </c>
      <c r="B6" s="10" t="s">
        <v>70</v>
      </c>
      <c r="C6" s="10" t="s">
        <v>71</v>
      </c>
      <c r="D6" s="10" t="s">
        <v>72</v>
      </c>
      <c r="E6" s="12" t="s">
        <v>73</v>
      </c>
      <c r="F6" s="10" t="s">
        <v>282</v>
      </c>
      <c r="G6" s="12" t="s">
        <v>74</v>
      </c>
      <c r="H6" s="12" t="s">
        <v>75</v>
      </c>
      <c r="I6" s="12" t="s">
        <v>76</v>
      </c>
      <c r="J6" s="12" t="s">
        <v>77</v>
      </c>
      <c r="K6" s="14" t="s">
        <v>78</v>
      </c>
      <c r="L6" s="12" t="s">
        <v>283</v>
      </c>
      <c r="M6" s="12" t="s">
        <v>284</v>
      </c>
      <c r="N6" s="14" t="s">
        <v>285</v>
      </c>
      <c r="O6" s="12" t="s">
        <v>281</v>
      </c>
      <c r="P6" s="10" t="s">
        <v>280</v>
      </c>
      <c r="Q6" s="12" t="s">
        <v>79</v>
      </c>
      <c r="R6" s="10" t="s">
        <v>286</v>
      </c>
      <c r="S6" s="12" t="s">
        <v>80</v>
      </c>
      <c r="T6" s="10" t="s">
        <v>287</v>
      </c>
      <c r="U6" s="12" t="s">
        <v>81</v>
      </c>
      <c r="V6" s="10" t="s">
        <v>288</v>
      </c>
      <c r="W6" s="12" t="s">
        <v>82</v>
      </c>
      <c r="X6" s="10" t="s">
        <v>289</v>
      </c>
      <c r="Y6" s="12" t="s">
        <v>296</v>
      </c>
      <c r="Z6" s="10" t="s">
        <v>295</v>
      </c>
      <c r="AA6" s="12" t="s">
        <v>297</v>
      </c>
      <c r="AB6" s="10" t="s">
        <v>298</v>
      </c>
      <c r="AC6" s="12" t="s">
        <v>277</v>
      </c>
      <c r="AD6" s="10" t="s">
        <v>290</v>
      </c>
      <c r="AE6" s="12" t="s">
        <v>278</v>
      </c>
      <c r="AF6" s="12" t="s">
        <v>279</v>
      </c>
      <c r="AG6" s="12" t="s">
        <v>116</v>
      </c>
    </row>
    <row r="7" spans="1:33" x14ac:dyDescent="0.35">
      <c r="A7" s="9">
        <v>1971</v>
      </c>
      <c r="B7" s="13">
        <v>5235.6000000000004</v>
      </c>
      <c r="C7" s="13">
        <v>2515.6999999999998</v>
      </c>
      <c r="D7" s="13">
        <v>2719.9</v>
      </c>
      <c r="E7" s="13">
        <v>86728</v>
      </c>
      <c r="F7" s="18">
        <v>16.565100000000001</v>
      </c>
      <c r="G7" s="13">
        <v>44467</v>
      </c>
      <c r="H7" s="13">
        <v>42261</v>
      </c>
      <c r="I7" s="13">
        <v>1052</v>
      </c>
      <c r="J7" s="13">
        <v>7029</v>
      </c>
      <c r="K7" s="15">
        <v>8.1000000000000003E-2</v>
      </c>
      <c r="L7" s="13">
        <v>903</v>
      </c>
      <c r="M7" s="13">
        <v>4</v>
      </c>
      <c r="N7" s="15">
        <v>1.04E-2</v>
      </c>
      <c r="O7" s="13">
        <v>1155</v>
      </c>
      <c r="P7" s="18">
        <v>13.1</v>
      </c>
      <c r="Q7" s="13">
        <v>1722</v>
      </c>
      <c r="R7" s="18">
        <v>19.899999999999999</v>
      </c>
      <c r="S7" s="13">
        <v>61614</v>
      </c>
      <c r="T7" s="18">
        <v>11.8</v>
      </c>
      <c r="U7" s="13">
        <v>31585</v>
      </c>
      <c r="V7" s="18">
        <v>12.6</v>
      </c>
      <c r="W7" s="13">
        <v>30029</v>
      </c>
      <c r="X7" s="18">
        <v>11</v>
      </c>
      <c r="Y7" s="13">
        <v>42500</v>
      </c>
      <c r="Z7" s="18">
        <v>8.1</v>
      </c>
      <c r="AA7" s="13">
        <v>42500</v>
      </c>
      <c r="AB7" s="18">
        <v>8.1</v>
      </c>
      <c r="AC7" s="13" t="s">
        <v>275</v>
      </c>
      <c r="AD7" s="11" t="s">
        <v>275</v>
      </c>
      <c r="AE7" s="13" t="s">
        <v>275</v>
      </c>
      <c r="AF7" s="13" t="s">
        <v>275</v>
      </c>
      <c r="AG7" s="13" t="s">
        <v>275</v>
      </c>
    </row>
    <row r="8" spans="1:33" x14ac:dyDescent="0.35">
      <c r="A8" s="9">
        <v>1972</v>
      </c>
      <c r="B8" s="13">
        <v>5230.6000000000004</v>
      </c>
      <c r="C8" s="13">
        <v>2513.3000000000002</v>
      </c>
      <c r="D8" s="13">
        <v>2717.3</v>
      </c>
      <c r="E8" s="13">
        <v>78550</v>
      </c>
      <c r="F8" s="18">
        <v>15.0174</v>
      </c>
      <c r="G8" s="13">
        <v>40280</v>
      </c>
      <c r="H8" s="13">
        <v>38270</v>
      </c>
      <c r="I8" s="13">
        <v>1053</v>
      </c>
      <c r="J8" s="13">
        <v>6661</v>
      </c>
      <c r="K8" s="15">
        <v>8.5000000000000006E-2</v>
      </c>
      <c r="L8" s="13">
        <v>801</v>
      </c>
      <c r="M8" s="13">
        <v>9</v>
      </c>
      <c r="N8" s="15">
        <v>1.03E-2</v>
      </c>
      <c r="O8" s="13">
        <v>1053</v>
      </c>
      <c r="P8" s="18">
        <v>13.2</v>
      </c>
      <c r="Q8" s="13">
        <v>1477</v>
      </c>
      <c r="R8" s="18">
        <v>18.8</v>
      </c>
      <c r="S8" s="13">
        <v>65017</v>
      </c>
      <c r="T8" s="18">
        <v>12.4</v>
      </c>
      <c r="U8" s="13">
        <v>33215</v>
      </c>
      <c r="V8" s="18">
        <v>13.2</v>
      </c>
      <c r="W8" s="13">
        <v>31802</v>
      </c>
      <c r="X8" s="18">
        <v>11.7</v>
      </c>
      <c r="Y8" s="13">
        <v>42139</v>
      </c>
      <c r="Z8" s="18">
        <v>8.1</v>
      </c>
      <c r="AA8" s="13">
        <v>42139</v>
      </c>
      <c r="AB8" s="18">
        <v>8.1</v>
      </c>
      <c r="AC8" s="13" t="s">
        <v>275</v>
      </c>
      <c r="AD8" s="11" t="s">
        <v>275</v>
      </c>
      <c r="AE8" s="13" t="s">
        <v>275</v>
      </c>
      <c r="AF8" s="13" t="s">
        <v>275</v>
      </c>
      <c r="AG8" s="13" t="s">
        <v>275</v>
      </c>
    </row>
    <row r="9" spans="1:33" x14ac:dyDescent="0.35">
      <c r="A9" s="9">
        <v>1973</v>
      </c>
      <c r="B9" s="13">
        <v>5233.8999999999996</v>
      </c>
      <c r="C9" s="13">
        <v>2515.4</v>
      </c>
      <c r="D9" s="13">
        <v>2718.5</v>
      </c>
      <c r="E9" s="13">
        <v>74392</v>
      </c>
      <c r="F9" s="18">
        <v>14.2135</v>
      </c>
      <c r="G9" s="13">
        <v>38601</v>
      </c>
      <c r="H9" s="13">
        <v>35791</v>
      </c>
      <c r="I9" s="13">
        <v>1079</v>
      </c>
      <c r="J9" s="13">
        <v>6520</v>
      </c>
      <c r="K9" s="15">
        <v>8.7999999999999995E-2</v>
      </c>
      <c r="L9" s="13">
        <v>747</v>
      </c>
      <c r="M9" s="13">
        <v>9</v>
      </c>
      <c r="N9" s="15">
        <v>1.0800000000000001E-2</v>
      </c>
      <c r="O9" s="13">
        <v>873</v>
      </c>
      <c r="P9" s="18">
        <v>11.6</v>
      </c>
      <c r="Q9" s="13">
        <v>1412</v>
      </c>
      <c r="R9" s="18">
        <v>19</v>
      </c>
      <c r="S9" s="13">
        <v>64545</v>
      </c>
      <c r="T9" s="18">
        <v>12.3</v>
      </c>
      <c r="U9" s="13">
        <v>32954</v>
      </c>
      <c r="V9" s="18">
        <v>13.1</v>
      </c>
      <c r="W9" s="13">
        <v>31591</v>
      </c>
      <c r="X9" s="18">
        <v>11.6</v>
      </c>
      <c r="Y9" s="13">
        <v>42018</v>
      </c>
      <c r="Z9" s="18">
        <v>8</v>
      </c>
      <c r="AA9" s="13">
        <v>42018</v>
      </c>
      <c r="AB9" s="18">
        <v>8</v>
      </c>
      <c r="AC9" s="13" t="s">
        <v>275</v>
      </c>
      <c r="AD9" s="11" t="s">
        <v>275</v>
      </c>
      <c r="AE9" s="13" t="s">
        <v>275</v>
      </c>
      <c r="AF9" s="13" t="s">
        <v>275</v>
      </c>
      <c r="AG9" s="13" t="s">
        <v>275</v>
      </c>
    </row>
    <row r="10" spans="1:33" x14ac:dyDescent="0.35">
      <c r="A10" s="9">
        <v>1974</v>
      </c>
      <c r="B10" s="13">
        <v>5240.8</v>
      </c>
      <c r="C10" s="13">
        <v>2519.3000000000002</v>
      </c>
      <c r="D10" s="13">
        <v>2721.5</v>
      </c>
      <c r="E10" s="13">
        <v>70093</v>
      </c>
      <c r="F10" s="18">
        <v>13.374499999999999</v>
      </c>
      <c r="G10" s="13">
        <v>35824</v>
      </c>
      <c r="H10" s="13">
        <v>34269</v>
      </c>
      <c r="I10" s="13">
        <v>1045</v>
      </c>
      <c r="J10" s="13">
        <v>6349</v>
      </c>
      <c r="K10" s="15">
        <v>9.0999999999999998E-2</v>
      </c>
      <c r="L10" s="13">
        <v>677</v>
      </c>
      <c r="M10" s="13">
        <v>5</v>
      </c>
      <c r="N10" s="15">
        <v>9.7999999999999997E-3</v>
      </c>
      <c r="O10" s="13">
        <v>850</v>
      </c>
      <c r="P10" s="18">
        <v>12</v>
      </c>
      <c r="Q10" s="13">
        <v>1326</v>
      </c>
      <c r="R10" s="18">
        <v>18.899999999999999</v>
      </c>
      <c r="S10" s="13">
        <v>64740</v>
      </c>
      <c r="T10" s="18">
        <v>12.4</v>
      </c>
      <c r="U10" s="13">
        <v>32722</v>
      </c>
      <c r="V10" s="18">
        <v>13</v>
      </c>
      <c r="W10" s="13">
        <v>32018</v>
      </c>
      <c r="X10" s="18">
        <v>11.8</v>
      </c>
      <c r="Y10" s="13">
        <v>41174</v>
      </c>
      <c r="Z10" s="18">
        <v>7.9</v>
      </c>
      <c r="AA10" s="13">
        <v>41174</v>
      </c>
      <c r="AB10" s="18">
        <v>7.9</v>
      </c>
      <c r="AC10" s="13" t="s">
        <v>275</v>
      </c>
      <c r="AD10" s="11" t="s">
        <v>275</v>
      </c>
      <c r="AE10" s="13" t="s">
        <v>275</v>
      </c>
      <c r="AF10" s="13" t="s">
        <v>275</v>
      </c>
      <c r="AG10" s="13" t="s">
        <v>275</v>
      </c>
    </row>
    <row r="11" spans="1:33" x14ac:dyDescent="0.35">
      <c r="A11" s="9">
        <v>1975</v>
      </c>
      <c r="B11" s="13">
        <v>5232.3999999999996</v>
      </c>
      <c r="C11" s="13">
        <v>2516.3000000000002</v>
      </c>
      <c r="D11" s="13">
        <v>2716.1</v>
      </c>
      <c r="E11" s="13">
        <v>67943</v>
      </c>
      <c r="F11" s="18">
        <v>12.985099999999999</v>
      </c>
      <c r="G11" s="13">
        <v>35017</v>
      </c>
      <c r="H11" s="13">
        <v>32926</v>
      </c>
      <c r="I11" s="13">
        <v>1064</v>
      </c>
      <c r="J11" s="13">
        <v>6314</v>
      </c>
      <c r="K11" s="15">
        <v>9.2999999999999999E-2</v>
      </c>
      <c r="L11" s="13">
        <v>625</v>
      </c>
      <c r="M11" s="13">
        <v>3</v>
      </c>
      <c r="N11" s="15">
        <v>9.1999999999999998E-3</v>
      </c>
      <c r="O11" s="13">
        <v>765</v>
      </c>
      <c r="P11" s="18">
        <v>11.1</v>
      </c>
      <c r="Q11" s="13">
        <v>1168</v>
      </c>
      <c r="R11" s="18">
        <v>17.2</v>
      </c>
      <c r="S11" s="13">
        <v>63125</v>
      </c>
      <c r="T11" s="18">
        <v>12.1</v>
      </c>
      <c r="U11" s="13">
        <v>32168</v>
      </c>
      <c r="V11" s="18">
        <v>12.8</v>
      </c>
      <c r="W11" s="13">
        <v>30957</v>
      </c>
      <c r="X11" s="18">
        <v>11.4</v>
      </c>
      <c r="Y11" s="13">
        <v>39191</v>
      </c>
      <c r="Z11" s="18">
        <v>7.5</v>
      </c>
      <c r="AA11" s="13">
        <v>39191</v>
      </c>
      <c r="AB11" s="18">
        <v>7.5</v>
      </c>
      <c r="AC11" s="13" t="s">
        <v>275</v>
      </c>
      <c r="AD11" s="11" t="s">
        <v>275</v>
      </c>
      <c r="AE11" s="13" t="s">
        <v>275</v>
      </c>
      <c r="AF11" s="13" t="s">
        <v>275</v>
      </c>
      <c r="AG11" s="13" t="s">
        <v>275</v>
      </c>
    </row>
    <row r="12" spans="1:33" x14ac:dyDescent="0.35">
      <c r="A12" s="9">
        <v>1976</v>
      </c>
      <c r="B12" s="13">
        <v>5233.3999999999996</v>
      </c>
      <c r="C12" s="13">
        <v>2517.3000000000002</v>
      </c>
      <c r="D12" s="13">
        <v>2716.1</v>
      </c>
      <c r="E12" s="13">
        <v>64895</v>
      </c>
      <c r="F12" s="18">
        <v>12.4002</v>
      </c>
      <c r="G12" s="13">
        <v>33501</v>
      </c>
      <c r="H12" s="13">
        <v>31394</v>
      </c>
      <c r="I12" s="13">
        <v>1067</v>
      </c>
      <c r="J12" s="13">
        <v>6025</v>
      </c>
      <c r="K12" s="15">
        <v>9.2999999999999999E-2</v>
      </c>
      <c r="L12" s="13">
        <v>595</v>
      </c>
      <c r="M12" s="13">
        <v>8</v>
      </c>
      <c r="N12" s="15">
        <v>9.2999999999999992E-3</v>
      </c>
      <c r="O12" s="13">
        <v>629</v>
      </c>
      <c r="P12" s="18">
        <v>9.6</v>
      </c>
      <c r="Q12" s="13">
        <v>959</v>
      </c>
      <c r="R12" s="18">
        <v>14.8</v>
      </c>
      <c r="S12" s="13">
        <v>65253</v>
      </c>
      <c r="T12" s="18">
        <v>12.5</v>
      </c>
      <c r="U12" s="13">
        <v>32983</v>
      </c>
      <c r="V12" s="18">
        <v>13.1</v>
      </c>
      <c r="W12" s="13">
        <v>32270</v>
      </c>
      <c r="X12" s="18">
        <v>11.9</v>
      </c>
      <c r="Y12" s="13">
        <v>37543</v>
      </c>
      <c r="Z12" s="18">
        <v>7.2</v>
      </c>
      <c r="AA12" s="13">
        <v>37543</v>
      </c>
      <c r="AB12" s="18">
        <v>7.2</v>
      </c>
      <c r="AC12" s="13" t="s">
        <v>275</v>
      </c>
      <c r="AD12" s="11" t="s">
        <v>275</v>
      </c>
      <c r="AE12" s="13" t="s">
        <v>275</v>
      </c>
      <c r="AF12" s="13" t="s">
        <v>275</v>
      </c>
      <c r="AG12" s="13" t="s">
        <v>275</v>
      </c>
    </row>
    <row r="13" spans="1:33" x14ac:dyDescent="0.35">
      <c r="A13" s="9">
        <v>1977</v>
      </c>
      <c r="B13" s="13">
        <v>5226.2</v>
      </c>
      <c r="C13" s="13">
        <v>2514.8000000000002</v>
      </c>
      <c r="D13" s="13">
        <v>2711.4</v>
      </c>
      <c r="E13" s="13">
        <v>62342</v>
      </c>
      <c r="F13" s="18">
        <v>11.928699999999999</v>
      </c>
      <c r="G13" s="13">
        <v>31993</v>
      </c>
      <c r="H13" s="13">
        <v>30349</v>
      </c>
      <c r="I13" s="13">
        <v>1054</v>
      </c>
      <c r="J13" s="13">
        <v>5968</v>
      </c>
      <c r="K13" s="15">
        <v>9.6000000000000002E-2</v>
      </c>
      <c r="L13" s="13">
        <v>589</v>
      </c>
      <c r="M13" s="13">
        <v>3</v>
      </c>
      <c r="N13" s="15">
        <v>0.01</v>
      </c>
      <c r="O13" s="13">
        <v>553</v>
      </c>
      <c r="P13" s="18">
        <v>8.8000000000000007</v>
      </c>
      <c r="Q13" s="13">
        <v>1004</v>
      </c>
      <c r="R13" s="18">
        <v>16.100000000000001</v>
      </c>
      <c r="S13" s="13">
        <v>62294</v>
      </c>
      <c r="T13" s="18">
        <v>11.9</v>
      </c>
      <c r="U13" s="13">
        <v>31280</v>
      </c>
      <c r="V13" s="18">
        <v>12.4</v>
      </c>
      <c r="W13" s="13">
        <v>31014</v>
      </c>
      <c r="X13" s="18">
        <v>11.4</v>
      </c>
      <c r="Y13" s="13">
        <v>37288</v>
      </c>
      <c r="Z13" s="18">
        <v>7.1</v>
      </c>
      <c r="AA13" s="13">
        <v>37288</v>
      </c>
      <c r="AB13" s="18">
        <v>7.1</v>
      </c>
      <c r="AC13" s="13" t="s">
        <v>275</v>
      </c>
      <c r="AD13" s="11" t="s">
        <v>275</v>
      </c>
      <c r="AE13" s="13" t="s">
        <v>275</v>
      </c>
      <c r="AF13" s="13" t="s">
        <v>275</v>
      </c>
      <c r="AG13" s="13" t="s">
        <v>275</v>
      </c>
    </row>
    <row r="14" spans="1:33" x14ac:dyDescent="0.35">
      <c r="A14" s="9">
        <v>1978</v>
      </c>
      <c r="B14" s="13">
        <v>5212.3</v>
      </c>
      <c r="C14" s="13">
        <v>2508.6999999999998</v>
      </c>
      <c r="D14" s="13">
        <v>2703.6</v>
      </c>
      <c r="E14" s="13">
        <v>64295</v>
      </c>
      <c r="F14" s="18">
        <v>12.3352</v>
      </c>
      <c r="G14" s="13">
        <v>33059</v>
      </c>
      <c r="H14" s="13">
        <v>31236</v>
      </c>
      <c r="I14" s="13">
        <v>1058</v>
      </c>
      <c r="J14" s="13">
        <v>6304</v>
      </c>
      <c r="K14" s="15">
        <v>9.8000000000000004E-2</v>
      </c>
      <c r="L14" s="13">
        <v>589</v>
      </c>
      <c r="M14" s="13">
        <v>7</v>
      </c>
      <c r="N14" s="15">
        <v>9.2999999999999992E-3</v>
      </c>
      <c r="O14" s="13">
        <v>524</v>
      </c>
      <c r="P14" s="18">
        <v>8.1</v>
      </c>
      <c r="Q14" s="13">
        <v>830</v>
      </c>
      <c r="R14" s="18">
        <v>12.9</v>
      </c>
      <c r="S14" s="13">
        <v>65123</v>
      </c>
      <c r="T14" s="18">
        <v>12.5</v>
      </c>
      <c r="U14" s="13">
        <v>32432</v>
      </c>
      <c r="V14" s="18">
        <v>12.9</v>
      </c>
      <c r="W14" s="13">
        <v>32691</v>
      </c>
      <c r="X14" s="18">
        <v>12.1</v>
      </c>
      <c r="Y14" s="13">
        <v>37814</v>
      </c>
      <c r="Z14" s="18">
        <v>7.3</v>
      </c>
      <c r="AA14" s="13">
        <v>37814</v>
      </c>
      <c r="AB14" s="18">
        <v>7.3</v>
      </c>
      <c r="AC14" s="13" t="s">
        <v>275</v>
      </c>
      <c r="AD14" s="11" t="s">
        <v>275</v>
      </c>
      <c r="AE14" s="13" t="s">
        <v>275</v>
      </c>
      <c r="AF14" s="13" t="s">
        <v>275</v>
      </c>
      <c r="AG14" s="13" t="s">
        <v>275</v>
      </c>
    </row>
    <row r="15" spans="1:33" x14ac:dyDescent="0.35">
      <c r="A15" s="9">
        <v>1979</v>
      </c>
      <c r="B15" s="13">
        <v>5203.6000000000004</v>
      </c>
      <c r="C15" s="13">
        <v>2505</v>
      </c>
      <c r="D15" s="13">
        <v>2698.6</v>
      </c>
      <c r="E15" s="13">
        <v>68366</v>
      </c>
      <c r="F15" s="18">
        <v>13.138199999999999</v>
      </c>
      <c r="G15" s="13">
        <v>35351</v>
      </c>
      <c r="H15" s="13">
        <v>33015</v>
      </c>
      <c r="I15" s="13">
        <v>1071</v>
      </c>
      <c r="J15" s="13">
        <v>6960</v>
      </c>
      <c r="K15" s="15">
        <v>0.10199999999999999</v>
      </c>
      <c r="L15" s="13">
        <v>638</v>
      </c>
      <c r="M15" s="13">
        <v>7</v>
      </c>
      <c r="N15" s="15">
        <v>9.4999999999999998E-3</v>
      </c>
      <c r="O15" s="13">
        <v>475</v>
      </c>
      <c r="P15" s="18">
        <v>6.9</v>
      </c>
      <c r="Q15" s="13">
        <v>878</v>
      </c>
      <c r="R15" s="18">
        <v>12.8</v>
      </c>
      <c r="S15" s="13">
        <v>65747</v>
      </c>
      <c r="T15" s="18">
        <v>12.6</v>
      </c>
      <c r="U15" s="13">
        <v>32884</v>
      </c>
      <c r="V15" s="18">
        <v>13.1</v>
      </c>
      <c r="W15" s="13">
        <v>32863</v>
      </c>
      <c r="X15" s="18">
        <v>12.2</v>
      </c>
      <c r="Y15" s="13">
        <v>37860</v>
      </c>
      <c r="Z15" s="18">
        <v>7.3</v>
      </c>
      <c r="AA15" s="13">
        <v>37860</v>
      </c>
      <c r="AB15" s="18">
        <v>7.3</v>
      </c>
      <c r="AC15" s="13" t="s">
        <v>275</v>
      </c>
      <c r="AD15" s="11" t="s">
        <v>275</v>
      </c>
      <c r="AE15" s="13" t="s">
        <v>275</v>
      </c>
      <c r="AF15" s="13" t="s">
        <v>275</v>
      </c>
      <c r="AG15" s="13" t="s">
        <v>275</v>
      </c>
    </row>
    <row r="16" spans="1:33" x14ac:dyDescent="0.35">
      <c r="A16" s="9">
        <v>1980</v>
      </c>
      <c r="B16" s="13">
        <v>5193.8999999999996</v>
      </c>
      <c r="C16" s="13">
        <v>2500.9</v>
      </c>
      <c r="D16" s="13">
        <v>2693</v>
      </c>
      <c r="E16" s="13">
        <v>68892</v>
      </c>
      <c r="F16" s="18">
        <v>13.263999999999999</v>
      </c>
      <c r="G16" s="13">
        <v>35395</v>
      </c>
      <c r="H16" s="13">
        <v>33497</v>
      </c>
      <c r="I16" s="13">
        <v>1057</v>
      </c>
      <c r="J16" s="13">
        <v>7678</v>
      </c>
      <c r="K16" s="15">
        <v>0.111</v>
      </c>
      <c r="L16" s="13">
        <v>658</v>
      </c>
      <c r="M16" s="13">
        <v>4</v>
      </c>
      <c r="N16" s="15">
        <v>1.0200000000000001E-2</v>
      </c>
      <c r="O16" s="13">
        <v>463</v>
      </c>
      <c r="P16" s="18">
        <v>6.7</v>
      </c>
      <c r="Q16" s="13">
        <v>831</v>
      </c>
      <c r="R16" s="18">
        <v>12.1</v>
      </c>
      <c r="S16" s="13">
        <v>63299</v>
      </c>
      <c r="T16" s="18">
        <v>12.2</v>
      </c>
      <c r="U16" s="13">
        <v>31669</v>
      </c>
      <c r="V16" s="18">
        <v>12.7</v>
      </c>
      <c r="W16" s="13">
        <v>31630</v>
      </c>
      <c r="X16" s="18">
        <v>11.7</v>
      </c>
      <c r="Y16" s="13">
        <v>38501</v>
      </c>
      <c r="Z16" s="18">
        <v>7.4</v>
      </c>
      <c r="AA16" s="13">
        <v>38501</v>
      </c>
      <c r="AB16" s="18">
        <v>7.4</v>
      </c>
      <c r="AC16" s="13" t="s">
        <v>275</v>
      </c>
      <c r="AD16" s="11" t="s">
        <v>275</v>
      </c>
      <c r="AE16" s="13" t="s">
        <v>275</v>
      </c>
      <c r="AF16" s="13" t="s">
        <v>275</v>
      </c>
      <c r="AG16" s="13" t="s">
        <v>275</v>
      </c>
    </row>
    <row r="17" spans="1:33" x14ac:dyDescent="0.35">
      <c r="A17" s="9">
        <v>1981</v>
      </c>
      <c r="B17" s="13">
        <v>5180.2</v>
      </c>
      <c r="C17" s="13">
        <v>2494.9</v>
      </c>
      <c r="D17" s="13">
        <v>2685.3</v>
      </c>
      <c r="E17" s="13">
        <v>69054</v>
      </c>
      <c r="F17" s="18">
        <v>13.330399999999999</v>
      </c>
      <c r="G17" s="13">
        <v>35283</v>
      </c>
      <c r="H17" s="13">
        <v>33771</v>
      </c>
      <c r="I17" s="13">
        <v>1045</v>
      </c>
      <c r="J17" s="13">
        <v>8447</v>
      </c>
      <c r="K17" s="15">
        <v>0.122</v>
      </c>
      <c r="L17" s="13">
        <v>611</v>
      </c>
      <c r="M17" s="13">
        <v>7</v>
      </c>
      <c r="N17" s="15">
        <v>8.9999999999999993E-3</v>
      </c>
      <c r="O17" s="13">
        <v>436</v>
      </c>
      <c r="P17" s="18">
        <v>6.3</v>
      </c>
      <c r="Q17" s="13">
        <v>780</v>
      </c>
      <c r="R17" s="18">
        <v>11.3</v>
      </c>
      <c r="S17" s="13">
        <v>63828</v>
      </c>
      <c r="T17" s="18">
        <v>12.3</v>
      </c>
      <c r="U17" s="13">
        <v>31700</v>
      </c>
      <c r="V17" s="18">
        <v>12.7</v>
      </c>
      <c r="W17" s="13">
        <v>32128</v>
      </c>
      <c r="X17" s="18">
        <v>12</v>
      </c>
      <c r="Y17" s="13">
        <v>36237</v>
      </c>
      <c r="Z17" s="18">
        <v>7</v>
      </c>
      <c r="AA17" s="13">
        <v>36237</v>
      </c>
      <c r="AB17" s="18">
        <v>7</v>
      </c>
      <c r="AC17" s="13" t="s">
        <v>275</v>
      </c>
      <c r="AD17" s="11" t="s">
        <v>275</v>
      </c>
      <c r="AE17" s="13" t="s">
        <v>275</v>
      </c>
      <c r="AF17" s="13" t="s">
        <v>275</v>
      </c>
      <c r="AG17" s="13" t="s">
        <v>275</v>
      </c>
    </row>
    <row r="18" spans="1:33" x14ac:dyDescent="0.35">
      <c r="A18" s="9">
        <v>1982</v>
      </c>
      <c r="B18" s="13">
        <v>5164.5</v>
      </c>
      <c r="C18" s="13">
        <v>2487.3000000000002</v>
      </c>
      <c r="D18" s="13">
        <v>2677.2</v>
      </c>
      <c r="E18" s="13">
        <v>66196</v>
      </c>
      <c r="F18" s="18">
        <v>12.8</v>
      </c>
      <c r="G18" s="13">
        <v>33911</v>
      </c>
      <c r="H18" s="13">
        <v>32285</v>
      </c>
      <c r="I18" s="13">
        <v>1050</v>
      </c>
      <c r="J18" s="13">
        <v>9395</v>
      </c>
      <c r="K18" s="15">
        <v>0.14199999999999999</v>
      </c>
      <c r="L18" s="13">
        <v>603</v>
      </c>
      <c r="M18" s="13">
        <v>7</v>
      </c>
      <c r="N18" s="15">
        <v>9.1999999999999998E-3</v>
      </c>
      <c r="O18" s="13">
        <v>386</v>
      </c>
      <c r="P18" s="18">
        <v>5.8</v>
      </c>
      <c r="Q18" s="13">
        <v>753</v>
      </c>
      <c r="R18" s="18">
        <v>11.4</v>
      </c>
      <c r="S18" s="13">
        <v>65022</v>
      </c>
      <c r="T18" s="18">
        <v>12.6</v>
      </c>
      <c r="U18" s="13">
        <v>31801</v>
      </c>
      <c r="V18" s="18">
        <v>12.8</v>
      </c>
      <c r="W18" s="13">
        <v>33221</v>
      </c>
      <c r="X18" s="18">
        <v>12.4</v>
      </c>
      <c r="Y18" s="13">
        <v>34942</v>
      </c>
      <c r="Z18" s="18">
        <v>6.8</v>
      </c>
      <c r="AA18" s="13">
        <v>34942</v>
      </c>
      <c r="AB18" s="18">
        <v>6.8</v>
      </c>
      <c r="AC18" s="13" t="s">
        <v>275</v>
      </c>
      <c r="AD18" s="11" t="s">
        <v>275</v>
      </c>
      <c r="AE18" s="13" t="s">
        <v>275</v>
      </c>
      <c r="AF18" s="13" t="s">
        <v>275</v>
      </c>
      <c r="AG18" s="13" t="s">
        <v>275</v>
      </c>
    </row>
    <row r="19" spans="1:33" x14ac:dyDescent="0.35">
      <c r="A19" s="9">
        <v>1983</v>
      </c>
      <c r="B19" s="13">
        <v>5148.1000000000004</v>
      </c>
      <c r="C19" s="13">
        <v>2479.1</v>
      </c>
      <c r="D19" s="13">
        <v>2669</v>
      </c>
      <c r="E19" s="13">
        <v>65078</v>
      </c>
      <c r="F19" s="18">
        <v>12.6</v>
      </c>
      <c r="G19" s="13">
        <v>33656</v>
      </c>
      <c r="H19" s="13">
        <v>31422</v>
      </c>
      <c r="I19" s="13">
        <v>1071</v>
      </c>
      <c r="J19" s="13">
        <v>9581</v>
      </c>
      <c r="K19" s="15">
        <v>0.14699999999999999</v>
      </c>
      <c r="L19" s="13">
        <v>676</v>
      </c>
      <c r="M19" s="13">
        <v>3</v>
      </c>
      <c r="N19" s="15">
        <v>1.0500000000000001E-2</v>
      </c>
      <c r="O19" s="13">
        <v>379</v>
      </c>
      <c r="P19" s="18">
        <v>5.8</v>
      </c>
      <c r="Q19" s="13">
        <v>646</v>
      </c>
      <c r="R19" s="18">
        <v>9.9</v>
      </c>
      <c r="S19" s="13">
        <v>63454</v>
      </c>
      <c r="T19" s="18">
        <v>12.3</v>
      </c>
      <c r="U19" s="13">
        <v>31196</v>
      </c>
      <c r="V19" s="18">
        <v>12.6</v>
      </c>
      <c r="W19" s="13">
        <v>32258</v>
      </c>
      <c r="X19" s="18">
        <v>12.1</v>
      </c>
      <c r="Y19" s="13">
        <v>34962</v>
      </c>
      <c r="Z19" s="18">
        <v>6.8</v>
      </c>
      <c r="AA19" s="13">
        <v>34962</v>
      </c>
      <c r="AB19" s="18">
        <v>6.8</v>
      </c>
      <c r="AC19" s="13" t="s">
        <v>275</v>
      </c>
      <c r="AD19" s="11" t="s">
        <v>275</v>
      </c>
      <c r="AE19" s="13" t="s">
        <v>275</v>
      </c>
      <c r="AF19" s="13" t="s">
        <v>275</v>
      </c>
      <c r="AG19" s="13" t="s">
        <v>275</v>
      </c>
    </row>
    <row r="20" spans="1:33" x14ac:dyDescent="0.35">
      <c r="A20" s="9">
        <v>1984</v>
      </c>
      <c r="B20" s="13">
        <v>5138.8999999999996</v>
      </c>
      <c r="C20" s="13">
        <v>2474.6</v>
      </c>
      <c r="D20" s="13">
        <v>2664.3</v>
      </c>
      <c r="E20" s="13">
        <v>65106</v>
      </c>
      <c r="F20" s="18">
        <v>12.7</v>
      </c>
      <c r="G20" s="13">
        <v>33144</v>
      </c>
      <c r="H20" s="13">
        <v>31962</v>
      </c>
      <c r="I20" s="13">
        <v>1037</v>
      </c>
      <c r="J20" s="13">
        <v>10640</v>
      </c>
      <c r="K20" s="15">
        <v>0.16300000000000001</v>
      </c>
      <c r="L20" s="13">
        <v>665</v>
      </c>
      <c r="M20" s="13">
        <v>10</v>
      </c>
      <c r="N20" s="15">
        <v>1.04E-2</v>
      </c>
      <c r="O20" s="13">
        <v>379</v>
      </c>
      <c r="P20" s="18">
        <v>5.8</v>
      </c>
      <c r="Q20" s="13">
        <v>672</v>
      </c>
      <c r="R20" s="18">
        <v>10.3</v>
      </c>
      <c r="S20" s="13">
        <v>62345</v>
      </c>
      <c r="T20" s="18">
        <v>12.1</v>
      </c>
      <c r="U20" s="13">
        <v>30731</v>
      </c>
      <c r="V20" s="18">
        <v>12.4</v>
      </c>
      <c r="W20" s="13">
        <v>31614</v>
      </c>
      <c r="X20" s="18">
        <v>11.9</v>
      </c>
      <c r="Y20" s="13">
        <v>36253</v>
      </c>
      <c r="Z20" s="18">
        <v>7.1</v>
      </c>
      <c r="AA20" s="13">
        <v>36253</v>
      </c>
      <c r="AB20" s="18">
        <v>7.1</v>
      </c>
      <c r="AC20" s="13" t="s">
        <v>275</v>
      </c>
      <c r="AD20" s="11" t="s">
        <v>275</v>
      </c>
      <c r="AE20" s="13" t="s">
        <v>275</v>
      </c>
      <c r="AF20" s="13" t="s">
        <v>275</v>
      </c>
      <c r="AG20" s="13" t="s">
        <v>275</v>
      </c>
    </row>
    <row r="21" spans="1:33" x14ac:dyDescent="0.35">
      <c r="A21" s="9">
        <v>1985</v>
      </c>
      <c r="B21" s="13">
        <v>5127.8999999999996</v>
      </c>
      <c r="C21" s="13">
        <v>2469.5</v>
      </c>
      <c r="D21" s="13">
        <v>2658.4</v>
      </c>
      <c r="E21" s="13">
        <v>66676</v>
      </c>
      <c r="F21" s="18">
        <v>13</v>
      </c>
      <c r="G21" s="13">
        <v>34120</v>
      </c>
      <c r="H21" s="13">
        <v>32556</v>
      </c>
      <c r="I21" s="13">
        <v>1048</v>
      </c>
      <c r="J21" s="13">
        <v>12362</v>
      </c>
      <c r="K21" s="15">
        <v>0.185</v>
      </c>
      <c r="L21" s="13">
        <v>682</v>
      </c>
      <c r="M21" s="13">
        <v>9</v>
      </c>
      <c r="N21" s="15">
        <v>1.04E-2</v>
      </c>
      <c r="O21" s="13">
        <v>366</v>
      </c>
      <c r="P21" s="18">
        <v>5.5</v>
      </c>
      <c r="Q21" s="13">
        <v>624</v>
      </c>
      <c r="R21" s="18">
        <v>9.4</v>
      </c>
      <c r="S21" s="13">
        <v>63967</v>
      </c>
      <c r="T21" s="18">
        <v>12.5</v>
      </c>
      <c r="U21" s="13">
        <v>31147</v>
      </c>
      <c r="V21" s="18">
        <v>12.6</v>
      </c>
      <c r="W21" s="13">
        <v>32820</v>
      </c>
      <c r="X21" s="18">
        <v>12.3</v>
      </c>
      <c r="Y21" s="13">
        <v>36385</v>
      </c>
      <c r="Z21" s="18">
        <v>7.1</v>
      </c>
      <c r="AA21" s="13">
        <v>36385</v>
      </c>
      <c r="AB21" s="18">
        <v>7.1</v>
      </c>
      <c r="AC21" s="13" t="s">
        <v>275</v>
      </c>
      <c r="AD21" s="11" t="s">
        <v>275</v>
      </c>
      <c r="AE21" s="13" t="s">
        <v>275</v>
      </c>
      <c r="AF21" s="13" t="s">
        <v>275</v>
      </c>
      <c r="AG21" s="13" t="s">
        <v>275</v>
      </c>
    </row>
    <row r="22" spans="1:33" x14ac:dyDescent="0.35">
      <c r="A22" s="9">
        <v>1986</v>
      </c>
      <c r="B22" s="13">
        <v>5111.8</v>
      </c>
      <c r="C22" s="13">
        <v>2462.3000000000002</v>
      </c>
      <c r="D22" s="13">
        <v>2649.4</v>
      </c>
      <c r="E22" s="13">
        <v>65812</v>
      </c>
      <c r="F22" s="18">
        <v>12.9</v>
      </c>
      <c r="G22" s="13">
        <v>33874</v>
      </c>
      <c r="H22" s="13">
        <v>31938</v>
      </c>
      <c r="I22" s="13">
        <v>1061</v>
      </c>
      <c r="J22" s="13">
        <v>13547</v>
      </c>
      <c r="K22" s="15">
        <v>0.20599999999999999</v>
      </c>
      <c r="L22" s="13">
        <v>721</v>
      </c>
      <c r="M22" s="13">
        <v>10</v>
      </c>
      <c r="N22" s="15">
        <v>1.12E-2</v>
      </c>
      <c r="O22" s="13">
        <v>385</v>
      </c>
      <c r="P22" s="18">
        <v>5.8</v>
      </c>
      <c r="Q22" s="13">
        <v>581</v>
      </c>
      <c r="R22" s="18">
        <v>8.8000000000000007</v>
      </c>
      <c r="S22" s="13">
        <v>63467</v>
      </c>
      <c r="T22" s="18">
        <v>12.4</v>
      </c>
      <c r="U22" s="13">
        <v>31111</v>
      </c>
      <c r="V22" s="18">
        <v>12.6</v>
      </c>
      <c r="W22" s="13">
        <v>32356</v>
      </c>
      <c r="X22" s="18">
        <v>12.2</v>
      </c>
      <c r="Y22" s="13">
        <v>35790</v>
      </c>
      <c r="Z22" s="18">
        <v>7</v>
      </c>
      <c r="AA22" s="13">
        <v>35790</v>
      </c>
      <c r="AB22" s="18">
        <v>7</v>
      </c>
      <c r="AC22" s="13" t="s">
        <v>275</v>
      </c>
      <c r="AD22" s="11" t="s">
        <v>275</v>
      </c>
      <c r="AE22" s="13" t="s">
        <v>275</v>
      </c>
      <c r="AF22" s="13" t="s">
        <v>275</v>
      </c>
      <c r="AG22" s="13" t="s">
        <v>275</v>
      </c>
    </row>
    <row r="23" spans="1:33" x14ac:dyDescent="0.35">
      <c r="A23" s="9">
        <v>1987</v>
      </c>
      <c r="B23" s="13">
        <v>5099</v>
      </c>
      <c r="C23" s="13">
        <v>2455.4</v>
      </c>
      <c r="D23" s="13">
        <v>2643.6</v>
      </c>
      <c r="E23" s="13">
        <v>66241</v>
      </c>
      <c r="F23" s="18">
        <v>13</v>
      </c>
      <c r="G23" s="13">
        <v>33970</v>
      </c>
      <c r="H23" s="13">
        <v>32271</v>
      </c>
      <c r="I23" s="13">
        <v>1053</v>
      </c>
      <c r="J23" s="13">
        <v>15125</v>
      </c>
      <c r="K23" s="15">
        <v>0.22800000000000001</v>
      </c>
      <c r="L23" s="13">
        <v>721</v>
      </c>
      <c r="M23" s="13">
        <v>10</v>
      </c>
      <c r="N23" s="15">
        <v>1.11E-2</v>
      </c>
      <c r="O23" s="13">
        <v>339</v>
      </c>
      <c r="P23" s="18">
        <v>5.0999999999999996</v>
      </c>
      <c r="Q23" s="13">
        <v>563</v>
      </c>
      <c r="R23" s="18">
        <v>8.5</v>
      </c>
      <c r="S23" s="13">
        <v>62014</v>
      </c>
      <c r="T23" s="18">
        <v>12.2</v>
      </c>
      <c r="U23" s="13">
        <v>30384</v>
      </c>
      <c r="V23" s="18">
        <v>12.4</v>
      </c>
      <c r="W23" s="13">
        <v>31630</v>
      </c>
      <c r="X23" s="18">
        <v>12</v>
      </c>
      <c r="Y23" s="13">
        <v>35813</v>
      </c>
      <c r="Z23" s="18">
        <v>7</v>
      </c>
      <c r="AA23" s="13">
        <v>35813</v>
      </c>
      <c r="AB23" s="18">
        <v>7</v>
      </c>
      <c r="AC23" s="13" t="s">
        <v>275</v>
      </c>
      <c r="AD23" s="11" t="s">
        <v>275</v>
      </c>
      <c r="AE23" s="13" t="s">
        <v>275</v>
      </c>
      <c r="AF23" s="13" t="s">
        <v>275</v>
      </c>
      <c r="AG23" s="13" t="s">
        <v>275</v>
      </c>
    </row>
    <row r="24" spans="1:33" x14ac:dyDescent="0.35">
      <c r="A24" s="9">
        <v>1988</v>
      </c>
      <c r="B24" s="13">
        <v>5077.3999999999996</v>
      </c>
      <c r="C24" s="13">
        <v>2444.3000000000002</v>
      </c>
      <c r="D24" s="13">
        <v>2633.1</v>
      </c>
      <c r="E24" s="13">
        <v>66212</v>
      </c>
      <c r="F24" s="18">
        <v>13</v>
      </c>
      <c r="G24" s="13">
        <v>34060</v>
      </c>
      <c r="H24" s="13">
        <v>32152</v>
      </c>
      <c r="I24" s="13">
        <v>1059</v>
      </c>
      <c r="J24" s="13">
        <v>16224</v>
      </c>
      <c r="K24" s="15">
        <v>0.245</v>
      </c>
      <c r="L24" s="13">
        <v>706</v>
      </c>
      <c r="M24" s="13">
        <v>10</v>
      </c>
      <c r="N24" s="15">
        <v>1.09E-2</v>
      </c>
      <c r="O24" s="13">
        <v>357</v>
      </c>
      <c r="P24" s="18">
        <v>5.4</v>
      </c>
      <c r="Q24" s="13">
        <v>543</v>
      </c>
      <c r="R24" s="18">
        <v>8.1999999999999993</v>
      </c>
      <c r="S24" s="13">
        <v>61957</v>
      </c>
      <c r="T24" s="18">
        <v>12.2</v>
      </c>
      <c r="U24" s="13">
        <v>30195</v>
      </c>
      <c r="V24" s="18">
        <v>12.4</v>
      </c>
      <c r="W24" s="13">
        <v>31762</v>
      </c>
      <c r="X24" s="18">
        <v>12.1</v>
      </c>
      <c r="Y24" s="13">
        <v>35599</v>
      </c>
      <c r="Z24" s="18">
        <v>7</v>
      </c>
      <c r="AA24" s="13">
        <v>35599</v>
      </c>
      <c r="AB24" s="18">
        <v>7</v>
      </c>
      <c r="AC24" s="13" t="s">
        <v>275</v>
      </c>
      <c r="AD24" s="11" t="s">
        <v>275</v>
      </c>
      <c r="AE24" s="13" t="s">
        <v>275</v>
      </c>
      <c r="AF24" s="13" t="s">
        <v>275</v>
      </c>
      <c r="AG24" s="13" t="s">
        <v>275</v>
      </c>
    </row>
    <row r="25" spans="1:33" x14ac:dyDescent="0.35">
      <c r="A25" s="9">
        <v>1989</v>
      </c>
      <c r="B25" s="13">
        <v>5078.2</v>
      </c>
      <c r="C25" s="13">
        <v>2443.1999999999998</v>
      </c>
      <c r="D25" s="13">
        <v>2635</v>
      </c>
      <c r="E25" s="13">
        <v>63480</v>
      </c>
      <c r="F25" s="18">
        <v>12.5</v>
      </c>
      <c r="G25" s="13">
        <v>32504</v>
      </c>
      <c r="H25" s="13">
        <v>30976</v>
      </c>
      <c r="I25" s="13">
        <v>1049</v>
      </c>
      <c r="J25" s="13">
        <v>16476</v>
      </c>
      <c r="K25" s="15">
        <v>0.26</v>
      </c>
      <c r="L25" s="13">
        <v>677</v>
      </c>
      <c r="M25" s="13">
        <v>15</v>
      </c>
      <c r="N25" s="15">
        <v>1.0999999999999999E-2</v>
      </c>
      <c r="O25" s="13">
        <v>319</v>
      </c>
      <c r="P25" s="18">
        <v>5</v>
      </c>
      <c r="Q25" s="13">
        <v>554</v>
      </c>
      <c r="R25" s="18">
        <v>8.6999999999999993</v>
      </c>
      <c r="S25" s="13">
        <v>65017</v>
      </c>
      <c r="T25" s="18">
        <v>12.8</v>
      </c>
      <c r="U25" s="13">
        <v>31025</v>
      </c>
      <c r="V25" s="18">
        <v>12.7</v>
      </c>
      <c r="W25" s="13">
        <v>33992</v>
      </c>
      <c r="X25" s="18">
        <v>12.9</v>
      </c>
      <c r="Y25" s="13">
        <v>35326</v>
      </c>
      <c r="Z25" s="18">
        <v>7</v>
      </c>
      <c r="AA25" s="13">
        <v>35326</v>
      </c>
      <c r="AB25" s="18">
        <v>7</v>
      </c>
      <c r="AC25" s="13" t="s">
        <v>275</v>
      </c>
      <c r="AD25" s="11" t="s">
        <v>275</v>
      </c>
      <c r="AE25" s="13" t="s">
        <v>275</v>
      </c>
      <c r="AF25" s="13" t="s">
        <v>275</v>
      </c>
      <c r="AG25" s="13" t="s">
        <v>275</v>
      </c>
    </row>
    <row r="26" spans="1:33" x14ac:dyDescent="0.35">
      <c r="A26" s="9">
        <v>1990</v>
      </c>
      <c r="B26" s="13">
        <v>5081.3</v>
      </c>
      <c r="C26" s="13">
        <v>2443.9</v>
      </c>
      <c r="D26" s="13">
        <v>2637.4</v>
      </c>
      <c r="E26" s="13">
        <v>65973</v>
      </c>
      <c r="F26" s="18">
        <v>13</v>
      </c>
      <c r="G26" s="13">
        <v>33898</v>
      </c>
      <c r="H26" s="13">
        <v>32075</v>
      </c>
      <c r="I26" s="13">
        <v>1057</v>
      </c>
      <c r="J26" s="13">
        <v>17873</v>
      </c>
      <c r="K26" s="15">
        <v>0.27100000000000002</v>
      </c>
      <c r="L26" s="13">
        <v>731</v>
      </c>
      <c r="M26" s="13">
        <v>17</v>
      </c>
      <c r="N26" s="15">
        <v>1.14E-2</v>
      </c>
      <c r="O26" s="13">
        <v>349</v>
      </c>
      <c r="P26" s="18">
        <v>5.3</v>
      </c>
      <c r="Q26" s="13">
        <v>510</v>
      </c>
      <c r="R26" s="18">
        <v>7.7</v>
      </c>
      <c r="S26" s="13">
        <v>61527</v>
      </c>
      <c r="T26" s="18">
        <v>12.1</v>
      </c>
      <c r="U26" s="13">
        <v>29617</v>
      </c>
      <c r="V26" s="18">
        <v>12.1</v>
      </c>
      <c r="W26" s="13">
        <v>31910</v>
      </c>
      <c r="X26" s="18">
        <v>12.1</v>
      </c>
      <c r="Y26" s="13">
        <v>34672</v>
      </c>
      <c r="Z26" s="18">
        <v>6.8</v>
      </c>
      <c r="AA26" s="13">
        <v>34672</v>
      </c>
      <c r="AB26" s="18">
        <v>6.8</v>
      </c>
      <c r="AC26" s="13" t="s">
        <v>275</v>
      </c>
      <c r="AD26" s="11" t="s">
        <v>275</v>
      </c>
      <c r="AE26" s="13" t="s">
        <v>275</v>
      </c>
      <c r="AF26" s="13" t="s">
        <v>275</v>
      </c>
      <c r="AG26" s="13" t="s">
        <v>275</v>
      </c>
    </row>
    <row r="27" spans="1:33" x14ac:dyDescent="0.35">
      <c r="A27" s="9">
        <v>1991</v>
      </c>
      <c r="B27" s="13">
        <v>5083.3</v>
      </c>
      <c r="C27" s="13">
        <v>2444.5</v>
      </c>
      <c r="D27" s="13">
        <v>2638.8</v>
      </c>
      <c r="E27" s="13">
        <v>67024</v>
      </c>
      <c r="F27" s="18">
        <v>13.2</v>
      </c>
      <c r="G27" s="13">
        <v>34419</v>
      </c>
      <c r="H27" s="13">
        <v>32605</v>
      </c>
      <c r="I27" s="13">
        <v>1056</v>
      </c>
      <c r="J27" s="13">
        <v>19517</v>
      </c>
      <c r="K27" s="15">
        <v>0.29099999999999998</v>
      </c>
      <c r="L27" s="13">
        <v>709</v>
      </c>
      <c r="M27" s="13">
        <v>26</v>
      </c>
      <c r="N27" s="15">
        <v>1.0999999999999999E-2</v>
      </c>
      <c r="O27" s="13">
        <v>369</v>
      </c>
      <c r="P27" s="18">
        <v>5.5</v>
      </c>
      <c r="Q27" s="13">
        <v>473</v>
      </c>
      <c r="R27" s="18">
        <v>7.1</v>
      </c>
      <c r="S27" s="13">
        <v>61041</v>
      </c>
      <c r="T27" s="18">
        <v>12</v>
      </c>
      <c r="U27" s="13">
        <v>29312</v>
      </c>
      <c r="V27" s="18">
        <v>12</v>
      </c>
      <c r="W27" s="13">
        <v>31729</v>
      </c>
      <c r="X27" s="18">
        <v>12</v>
      </c>
      <c r="Y27" s="13">
        <v>33762</v>
      </c>
      <c r="Z27" s="18">
        <v>6.6</v>
      </c>
      <c r="AA27" s="13">
        <v>33762</v>
      </c>
      <c r="AB27" s="18">
        <v>6.6</v>
      </c>
      <c r="AC27" s="13" t="s">
        <v>275</v>
      </c>
      <c r="AD27" s="11" t="s">
        <v>275</v>
      </c>
      <c r="AE27" s="13" t="s">
        <v>275</v>
      </c>
      <c r="AF27" s="13" t="s">
        <v>275</v>
      </c>
      <c r="AG27" s="13" t="s">
        <v>275</v>
      </c>
    </row>
    <row r="28" spans="1:33" x14ac:dyDescent="0.35">
      <c r="A28" s="9">
        <v>1992</v>
      </c>
      <c r="B28" s="13">
        <v>5085.6000000000004</v>
      </c>
      <c r="C28" s="13">
        <v>2445.3000000000002</v>
      </c>
      <c r="D28" s="13">
        <v>2640.3</v>
      </c>
      <c r="E28" s="13">
        <v>65789</v>
      </c>
      <c r="F28" s="18">
        <v>12.9</v>
      </c>
      <c r="G28" s="13">
        <v>33610</v>
      </c>
      <c r="H28" s="13">
        <v>32179</v>
      </c>
      <c r="I28" s="13">
        <v>1044</v>
      </c>
      <c r="J28" s="13">
        <v>19950</v>
      </c>
      <c r="K28" s="15">
        <v>0.30299999999999999</v>
      </c>
      <c r="L28" s="13">
        <v>808</v>
      </c>
      <c r="M28" s="13">
        <v>15</v>
      </c>
      <c r="N28" s="15">
        <v>1.26E-2</v>
      </c>
      <c r="O28" s="13">
        <v>356</v>
      </c>
      <c r="P28" s="18">
        <v>5.4</v>
      </c>
      <c r="Q28" s="13">
        <v>449</v>
      </c>
      <c r="R28" s="18">
        <v>6.8</v>
      </c>
      <c r="S28" s="13">
        <v>60937</v>
      </c>
      <c r="T28" s="18">
        <v>12</v>
      </c>
      <c r="U28" s="13">
        <v>29334</v>
      </c>
      <c r="V28" s="18">
        <v>12</v>
      </c>
      <c r="W28" s="13">
        <v>31603</v>
      </c>
      <c r="X28" s="18">
        <v>12</v>
      </c>
      <c r="Y28" s="13">
        <v>35057</v>
      </c>
      <c r="Z28" s="18">
        <v>6.9</v>
      </c>
      <c r="AA28" s="13">
        <v>35057</v>
      </c>
      <c r="AB28" s="18">
        <v>6.9</v>
      </c>
      <c r="AC28" s="13" t="s">
        <v>275</v>
      </c>
      <c r="AD28" s="11" t="s">
        <v>275</v>
      </c>
      <c r="AE28" s="13" t="s">
        <v>275</v>
      </c>
      <c r="AF28" s="13" t="s">
        <v>275</v>
      </c>
      <c r="AG28" s="13" t="s">
        <v>275</v>
      </c>
    </row>
    <row r="29" spans="1:33" x14ac:dyDescent="0.35">
      <c r="A29" s="9">
        <v>1993</v>
      </c>
      <c r="B29" s="13">
        <v>5092.5</v>
      </c>
      <c r="C29" s="13">
        <v>2448.4</v>
      </c>
      <c r="D29" s="13">
        <v>2644</v>
      </c>
      <c r="E29" s="13">
        <v>63337</v>
      </c>
      <c r="F29" s="18">
        <v>12.4</v>
      </c>
      <c r="G29" s="13">
        <v>32374</v>
      </c>
      <c r="H29" s="13">
        <v>30963</v>
      </c>
      <c r="I29" s="13">
        <v>1046</v>
      </c>
      <c r="J29" s="13">
        <v>19855</v>
      </c>
      <c r="K29" s="15">
        <v>0.313</v>
      </c>
      <c r="L29" s="13">
        <v>780</v>
      </c>
      <c r="M29" s="13">
        <v>10</v>
      </c>
      <c r="N29" s="15">
        <v>1.26E-2</v>
      </c>
      <c r="O29" s="13">
        <v>409</v>
      </c>
      <c r="P29" s="18">
        <v>6.4</v>
      </c>
      <c r="Q29" s="13">
        <v>412</v>
      </c>
      <c r="R29" s="18">
        <v>6.5</v>
      </c>
      <c r="S29" s="13">
        <v>64049</v>
      </c>
      <c r="T29" s="18">
        <v>12.6</v>
      </c>
      <c r="U29" s="13">
        <v>30504</v>
      </c>
      <c r="V29" s="18">
        <v>12.5</v>
      </c>
      <c r="W29" s="13">
        <v>33545</v>
      </c>
      <c r="X29" s="18">
        <v>12.7</v>
      </c>
      <c r="Y29" s="13">
        <v>33366</v>
      </c>
      <c r="Z29" s="18">
        <v>6.6</v>
      </c>
      <c r="AA29" s="13">
        <v>33366</v>
      </c>
      <c r="AB29" s="18">
        <v>6.6</v>
      </c>
      <c r="AC29" s="13" t="s">
        <v>275</v>
      </c>
      <c r="AD29" s="11" t="s">
        <v>275</v>
      </c>
      <c r="AE29" s="13" t="s">
        <v>275</v>
      </c>
      <c r="AF29" s="13" t="s">
        <v>275</v>
      </c>
      <c r="AG29" s="13" t="s">
        <v>275</v>
      </c>
    </row>
    <row r="30" spans="1:33" x14ac:dyDescent="0.35">
      <c r="A30" s="9">
        <v>1994</v>
      </c>
      <c r="B30" s="13">
        <v>5102.2</v>
      </c>
      <c r="C30" s="13">
        <v>2453.3000000000002</v>
      </c>
      <c r="D30" s="13">
        <v>2648.9</v>
      </c>
      <c r="E30" s="13">
        <v>61656</v>
      </c>
      <c r="F30" s="18">
        <v>12.1</v>
      </c>
      <c r="G30" s="13">
        <v>31399</v>
      </c>
      <c r="H30" s="13">
        <v>30257</v>
      </c>
      <c r="I30" s="13">
        <v>1038</v>
      </c>
      <c r="J30" s="13">
        <v>19224</v>
      </c>
      <c r="K30" s="15">
        <v>0.312</v>
      </c>
      <c r="L30" s="13">
        <v>778</v>
      </c>
      <c r="M30" s="13">
        <v>17</v>
      </c>
      <c r="N30" s="15">
        <v>1.2999999999999999E-2</v>
      </c>
      <c r="O30" s="13">
        <v>381</v>
      </c>
      <c r="P30" s="18">
        <v>6.1</v>
      </c>
      <c r="Q30" s="13">
        <v>382</v>
      </c>
      <c r="R30" s="18">
        <v>6.2</v>
      </c>
      <c r="S30" s="13">
        <v>59328</v>
      </c>
      <c r="T30" s="18">
        <v>11.6</v>
      </c>
      <c r="U30" s="13">
        <v>28416</v>
      </c>
      <c r="V30" s="18">
        <v>11.6</v>
      </c>
      <c r="W30" s="13">
        <v>30912</v>
      </c>
      <c r="X30" s="18">
        <v>11.7</v>
      </c>
      <c r="Y30" s="13">
        <v>31480</v>
      </c>
      <c r="Z30" s="18">
        <v>6.2</v>
      </c>
      <c r="AA30" s="13">
        <v>31480</v>
      </c>
      <c r="AB30" s="18">
        <v>6.2</v>
      </c>
      <c r="AC30" s="13" t="s">
        <v>275</v>
      </c>
      <c r="AD30" s="11" t="s">
        <v>275</v>
      </c>
      <c r="AE30" s="13" t="s">
        <v>275</v>
      </c>
      <c r="AF30" s="13" t="s">
        <v>275</v>
      </c>
      <c r="AG30" s="13" t="s">
        <v>275</v>
      </c>
    </row>
    <row r="31" spans="1:33" x14ac:dyDescent="0.35">
      <c r="A31" s="9">
        <v>1995</v>
      </c>
      <c r="B31" s="13">
        <v>5103.7</v>
      </c>
      <c r="C31" s="13">
        <v>2453.4</v>
      </c>
      <c r="D31" s="13">
        <v>2650.3</v>
      </c>
      <c r="E31" s="13">
        <v>60051</v>
      </c>
      <c r="F31" s="18">
        <v>11.8</v>
      </c>
      <c r="G31" s="13">
        <v>30652</v>
      </c>
      <c r="H31" s="13">
        <v>29399</v>
      </c>
      <c r="I31" s="13">
        <v>1043</v>
      </c>
      <c r="J31" s="13">
        <v>20266</v>
      </c>
      <c r="K31" s="15">
        <v>0.33700000000000002</v>
      </c>
      <c r="L31" s="13">
        <v>816</v>
      </c>
      <c r="M31" s="13">
        <v>30</v>
      </c>
      <c r="N31" s="15">
        <v>1.4200000000000001E-2</v>
      </c>
      <c r="O31" s="13">
        <v>397</v>
      </c>
      <c r="P31" s="18">
        <v>6.6</v>
      </c>
      <c r="Q31" s="13">
        <v>375</v>
      </c>
      <c r="R31" s="18">
        <v>6.2</v>
      </c>
      <c r="S31" s="13">
        <v>60500</v>
      </c>
      <c r="T31" s="18">
        <v>11.9</v>
      </c>
      <c r="U31" s="13">
        <v>28791</v>
      </c>
      <c r="V31" s="18">
        <v>11.7</v>
      </c>
      <c r="W31" s="13">
        <v>31709</v>
      </c>
      <c r="X31" s="18">
        <v>12</v>
      </c>
      <c r="Y31" s="13">
        <v>30663</v>
      </c>
      <c r="Z31" s="18">
        <v>6</v>
      </c>
      <c r="AA31" s="13">
        <v>30663</v>
      </c>
      <c r="AB31" s="18">
        <v>6</v>
      </c>
      <c r="AC31" s="13" t="s">
        <v>275</v>
      </c>
      <c r="AD31" s="11" t="s">
        <v>275</v>
      </c>
      <c r="AE31" s="13" t="s">
        <v>275</v>
      </c>
      <c r="AF31" s="13" t="s">
        <v>275</v>
      </c>
      <c r="AG31" s="13" t="s">
        <v>275</v>
      </c>
    </row>
    <row r="32" spans="1:33" x14ac:dyDescent="0.35">
      <c r="A32" s="9">
        <v>1996</v>
      </c>
      <c r="B32" s="13">
        <v>5092.2</v>
      </c>
      <c r="C32" s="13">
        <v>2447</v>
      </c>
      <c r="D32" s="13">
        <v>2645.2</v>
      </c>
      <c r="E32" s="13">
        <v>59296</v>
      </c>
      <c r="F32" s="18">
        <v>11.6</v>
      </c>
      <c r="G32" s="13">
        <v>30523</v>
      </c>
      <c r="H32" s="13">
        <v>28773</v>
      </c>
      <c r="I32" s="13">
        <v>1061</v>
      </c>
      <c r="J32" s="13">
        <v>21360</v>
      </c>
      <c r="K32" s="15">
        <v>0.36</v>
      </c>
      <c r="L32" s="13">
        <v>800</v>
      </c>
      <c r="M32" s="13">
        <v>29</v>
      </c>
      <c r="N32" s="15">
        <v>1.41E-2</v>
      </c>
      <c r="O32" s="13">
        <v>381</v>
      </c>
      <c r="P32" s="18">
        <v>6.4</v>
      </c>
      <c r="Q32" s="13">
        <v>365</v>
      </c>
      <c r="R32" s="18">
        <v>6.2</v>
      </c>
      <c r="S32" s="13">
        <v>60654</v>
      </c>
      <c r="T32" s="18">
        <v>11.9</v>
      </c>
      <c r="U32" s="13">
        <v>29209</v>
      </c>
      <c r="V32" s="18">
        <v>11.9</v>
      </c>
      <c r="W32" s="13">
        <v>31445</v>
      </c>
      <c r="X32" s="18">
        <v>11.9</v>
      </c>
      <c r="Y32" s="13">
        <v>30241</v>
      </c>
      <c r="Z32" s="18">
        <v>5.9</v>
      </c>
      <c r="AA32" s="13">
        <v>30241</v>
      </c>
      <c r="AB32" s="18">
        <v>5.9</v>
      </c>
      <c r="AC32" s="13" t="s">
        <v>275</v>
      </c>
      <c r="AD32" s="11" t="s">
        <v>275</v>
      </c>
      <c r="AE32" s="13" t="s">
        <v>275</v>
      </c>
      <c r="AF32" s="13" t="s">
        <v>275</v>
      </c>
      <c r="AG32" s="13" t="s">
        <v>275</v>
      </c>
    </row>
    <row r="33" spans="1:33" x14ac:dyDescent="0.35">
      <c r="A33" s="9">
        <v>1997</v>
      </c>
      <c r="B33" s="13">
        <v>5083.3</v>
      </c>
      <c r="C33" s="13">
        <v>2442.3000000000002</v>
      </c>
      <c r="D33" s="13">
        <v>2641</v>
      </c>
      <c r="E33" s="13">
        <v>59440</v>
      </c>
      <c r="F33" s="18">
        <v>11.7</v>
      </c>
      <c r="G33" s="13">
        <v>30516</v>
      </c>
      <c r="H33" s="13">
        <v>28924</v>
      </c>
      <c r="I33" s="13">
        <v>1055</v>
      </c>
      <c r="J33" s="13">
        <v>22388</v>
      </c>
      <c r="K33" s="15">
        <v>0.377</v>
      </c>
      <c r="L33" s="13">
        <v>791</v>
      </c>
      <c r="M33" s="13">
        <v>21</v>
      </c>
      <c r="N33" s="15">
        <v>1.38E-2</v>
      </c>
      <c r="O33" s="13">
        <v>319</v>
      </c>
      <c r="P33" s="18">
        <v>5.3</v>
      </c>
      <c r="Q33" s="13">
        <v>316</v>
      </c>
      <c r="R33" s="18">
        <v>5.3</v>
      </c>
      <c r="S33" s="13">
        <v>59494</v>
      </c>
      <c r="T33" s="18">
        <v>11.7</v>
      </c>
      <c r="U33" s="13">
        <v>28305</v>
      </c>
      <c r="V33" s="18">
        <v>11.6</v>
      </c>
      <c r="W33" s="13">
        <v>31189</v>
      </c>
      <c r="X33" s="18">
        <v>11.8</v>
      </c>
      <c r="Y33" s="13">
        <v>29611</v>
      </c>
      <c r="Z33" s="18">
        <v>5.8</v>
      </c>
      <c r="AA33" s="13">
        <v>29611</v>
      </c>
      <c r="AB33" s="18">
        <v>5.8</v>
      </c>
      <c r="AC33" s="13" t="s">
        <v>275</v>
      </c>
      <c r="AD33" s="11" t="s">
        <v>275</v>
      </c>
      <c r="AE33" s="13" t="s">
        <v>275</v>
      </c>
      <c r="AF33" s="13" t="s">
        <v>275</v>
      </c>
      <c r="AG33" s="13" t="s">
        <v>275</v>
      </c>
    </row>
    <row r="34" spans="1:33" x14ac:dyDescent="0.35">
      <c r="A34" s="9">
        <v>1998</v>
      </c>
      <c r="B34" s="13">
        <v>5077.1000000000004</v>
      </c>
      <c r="C34" s="13">
        <v>2439</v>
      </c>
      <c r="D34" s="13">
        <v>2638.1</v>
      </c>
      <c r="E34" s="13">
        <v>57319</v>
      </c>
      <c r="F34" s="18">
        <v>11.3</v>
      </c>
      <c r="G34" s="13">
        <v>29496</v>
      </c>
      <c r="H34" s="13">
        <v>27823</v>
      </c>
      <c r="I34" s="13">
        <v>1060</v>
      </c>
      <c r="J34" s="13">
        <v>22319</v>
      </c>
      <c r="K34" s="15">
        <v>0.38900000000000001</v>
      </c>
      <c r="L34" s="13">
        <v>810</v>
      </c>
      <c r="M34" s="13">
        <v>20</v>
      </c>
      <c r="N34" s="15">
        <v>1.46E-2</v>
      </c>
      <c r="O34" s="13">
        <v>351</v>
      </c>
      <c r="P34" s="18">
        <v>6.1</v>
      </c>
      <c r="Q34" s="13">
        <v>320</v>
      </c>
      <c r="R34" s="18">
        <v>5.6</v>
      </c>
      <c r="S34" s="13">
        <v>59164</v>
      </c>
      <c r="T34" s="18">
        <v>11.7</v>
      </c>
      <c r="U34" s="13">
        <v>28132</v>
      </c>
      <c r="V34" s="18">
        <v>11.5</v>
      </c>
      <c r="W34" s="13">
        <v>31032</v>
      </c>
      <c r="X34" s="18">
        <v>11.8</v>
      </c>
      <c r="Y34" s="13">
        <v>29668</v>
      </c>
      <c r="Z34" s="18">
        <v>5.8</v>
      </c>
      <c r="AA34" s="13">
        <v>29668</v>
      </c>
      <c r="AB34" s="18">
        <v>5.8</v>
      </c>
      <c r="AC34" s="13" t="s">
        <v>275</v>
      </c>
      <c r="AD34" s="11" t="s">
        <v>275</v>
      </c>
      <c r="AE34" s="13" t="s">
        <v>275</v>
      </c>
      <c r="AF34" s="13" t="s">
        <v>275</v>
      </c>
      <c r="AG34" s="13" t="s">
        <v>275</v>
      </c>
    </row>
    <row r="35" spans="1:33" x14ac:dyDescent="0.35">
      <c r="A35" s="9">
        <v>1999</v>
      </c>
      <c r="B35" s="13">
        <v>5072</v>
      </c>
      <c r="C35" s="13">
        <v>2436.5</v>
      </c>
      <c r="D35" s="13">
        <v>2635.4</v>
      </c>
      <c r="E35" s="13">
        <v>55147</v>
      </c>
      <c r="F35" s="18">
        <v>10.9</v>
      </c>
      <c r="G35" s="13">
        <v>28246</v>
      </c>
      <c r="H35" s="13">
        <v>26901</v>
      </c>
      <c r="I35" s="13">
        <v>1050</v>
      </c>
      <c r="J35" s="13">
        <v>22722</v>
      </c>
      <c r="K35" s="15">
        <v>0.41199999999999998</v>
      </c>
      <c r="L35" s="13">
        <v>738</v>
      </c>
      <c r="M35" s="13">
        <v>12</v>
      </c>
      <c r="N35" s="15">
        <v>1.37E-2</v>
      </c>
      <c r="O35" s="13">
        <v>286</v>
      </c>
      <c r="P35" s="18">
        <v>5.2</v>
      </c>
      <c r="Q35" s="13">
        <v>276</v>
      </c>
      <c r="R35" s="18">
        <v>5</v>
      </c>
      <c r="S35" s="13">
        <v>60281</v>
      </c>
      <c r="T35" s="18">
        <v>11.9</v>
      </c>
      <c r="U35" s="13">
        <v>28605</v>
      </c>
      <c r="V35" s="18">
        <v>11.7</v>
      </c>
      <c r="W35" s="13">
        <v>31676</v>
      </c>
      <c r="X35" s="18">
        <v>12</v>
      </c>
      <c r="Y35" s="13">
        <v>29940</v>
      </c>
      <c r="Z35" s="18">
        <v>5.9</v>
      </c>
      <c r="AA35" s="13">
        <v>29940</v>
      </c>
      <c r="AB35" s="18">
        <v>5.9</v>
      </c>
      <c r="AC35" s="13" t="s">
        <v>275</v>
      </c>
      <c r="AD35" s="11" t="s">
        <v>275</v>
      </c>
      <c r="AE35" s="13" t="s">
        <v>275</v>
      </c>
      <c r="AF35" s="13" t="s">
        <v>275</v>
      </c>
      <c r="AG35" s="13" t="s">
        <v>275</v>
      </c>
    </row>
    <row r="36" spans="1:33" x14ac:dyDescent="0.35">
      <c r="A36" s="9">
        <v>2000</v>
      </c>
      <c r="B36" s="13">
        <v>5062.8999999999996</v>
      </c>
      <c r="C36" s="13">
        <v>2431.9</v>
      </c>
      <c r="D36" s="13">
        <v>2631</v>
      </c>
      <c r="E36" s="13">
        <v>53076</v>
      </c>
      <c r="F36" s="18">
        <v>10.5</v>
      </c>
      <c r="G36" s="13">
        <v>27196</v>
      </c>
      <c r="H36" s="13">
        <v>25880</v>
      </c>
      <c r="I36" s="13">
        <v>1051</v>
      </c>
      <c r="J36" s="13">
        <v>22625</v>
      </c>
      <c r="K36" s="15">
        <v>0.42599999999999999</v>
      </c>
      <c r="L36" s="13">
        <v>737</v>
      </c>
      <c r="M36" s="13">
        <v>19</v>
      </c>
      <c r="N36" s="15">
        <v>1.44E-2</v>
      </c>
      <c r="O36" s="13">
        <v>298</v>
      </c>
      <c r="P36" s="18">
        <v>5.6</v>
      </c>
      <c r="Q36" s="13">
        <v>305</v>
      </c>
      <c r="R36" s="18">
        <v>5.7</v>
      </c>
      <c r="S36" s="13">
        <v>57799</v>
      </c>
      <c r="T36" s="18">
        <v>11.4</v>
      </c>
      <c r="U36" s="13">
        <v>27511</v>
      </c>
      <c r="V36" s="18">
        <v>11.3</v>
      </c>
      <c r="W36" s="13">
        <v>30288</v>
      </c>
      <c r="X36" s="18">
        <v>11.5</v>
      </c>
      <c r="Y36" s="13">
        <v>30367</v>
      </c>
      <c r="Z36" s="18">
        <v>6</v>
      </c>
      <c r="AA36" s="13">
        <v>30367</v>
      </c>
      <c r="AB36" s="18">
        <v>6</v>
      </c>
      <c r="AC36" s="13" t="s">
        <v>275</v>
      </c>
      <c r="AD36" s="11" t="s">
        <v>275</v>
      </c>
      <c r="AE36" s="13" t="s">
        <v>275</v>
      </c>
      <c r="AF36" s="13" t="s">
        <v>275</v>
      </c>
      <c r="AG36" s="13" t="s">
        <v>275</v>
      </c>
    </row>
    <row r="37" spans="1:33" x14ac:dyDescent="0.35">
      <c r="A37" s="9">
        <v>2001</v>
      </c>
      <c r="B37" s="13">
        <v>5064.2</v>
      </c>
      <c r="C37" s="13">
        <v>2433.6999999999998</v>
      </c>
      <c r="D37" s="13">
        <v>2630.5</v>
      </c>
      <c r="E37" s="13">
        <v>52527</v>
      </c>
      <c r="F37" s="18">
        <v>10.4</v>
      </c>
      <c r="G37" s="13">
        <v>26786</v>
      </c>
      <c r="H37" s="13">
        <v>25741</v>
      </c>
      <c r="I37" s="13">
        <v>1041</v>
      </c>
      <c r="J37" s="13">
        <v>22760</v>
      </c>
      <c r="K37" s="15">
        <v>0.433</v>
      </c>
      <c r="L37" s="13">
        <v>776</v>
      </c>
      <c r="M37" s="13">
        <v>16</v>
      </c>
      <c r="N37" s="15">
        <v>1.52E-2</v>
      </c>
      <c r="O37" s="13">
        <v>301</v>
      </c>
      <c r="P37" s="18">
        <v>5.7</v>
      </c>
      <c r="Q37" s="13">
        <v>290</v>
      </c>
      <c r="R37" s="18">
        <v>5.5</v>
      </c>
      <c r="S37" s="13">
        <v>57382</v>
      </c>
      <c r="T37" s="18">
        <v>11.3</v>
      </c>
      <c r="U37" s="13">
        <v>27324</v>
      </c>
      <c r="V37" s="18">
        <v>11.2</v>
      </c>
      <c r="W37" s="13">
        <v>30058</v>
      </c>
      <c r="X37" s="18">
        <v>11.4</v>
      </c>
      <c r="Y37" s="13">
        <v>29621</v>
      </c>
      <c r="Z37" s="18">
        <v>5.8</v>
      </c>
      <c r="AA37" s="13">
        <v>29621</v>
      </c>
      <c r="AB37" s="18">
        <v>5.8</v>
      </c>
      <c r="AC37" s="13" t="s">
        <v>275</v>
      </c>
      <c r="AD37" s="11" t="s">
        <v>275</v>
      </c>
      <c r="AE37" s="13" t="s">
        <v>275</v>
      </c>
      <c r="AF37" s="13" t="s">
        <v>275</v>
      </c>
      <c r="AG37" s="13" t="s">
        <v>275</v>
      </c>
    </row>
    <row r="38" spans="1:33" x14ac:dyDescent="0.35">
      <c r="A38" s="9">
        <v>2002</v>
      </c>
      <c r="B38" s="13">
        <v>5066</v>
      </c>
      <c r="C38" s="13">
        <v>2435.6</v>
      </c>
      <c r="D38" s="13">
        <v>2630.4</v>
      </c>
      <c r="E38" s="13">
        <v>51270</v>
      </c>
      <c r="F38" s="18">
        <v>10.1</v>
      </c>
      <c r="G38" s="13">
        <v>26218</v>
      </c>
      <c r="H38" s="13">
        <v>25052</v>
      </c>
      <c r="I38" s="13">
        <v>1047</v>
      </c>
      <c r="J38" s="13">
        <v>22534</v>
      </c>
      <c r="K38" s="15">
        <v>0.44</v>
      </c>
      <c r="L38" s="13">
        <v>742</v>
      </c>
      <c r="M38" s="13">
        <v>10</v>
      </c>
      <c r="N38" s="15">
        <v>1.4800000000000001E-2</v>
      </c>
      <c r="O38" s="13">
        <v>278</v>
      </c>
      <c r="P38" s="18">
        <v>5.4</v>
      </c>
      <c r="Q38" s="13">
        <v>270</v>
      </c>
      <c r="R38" s="18">
        <v>5.3</v>
      </c>
      <c r="S38" s="13">
        <v>58103</v>
      </c>
      <c r="T38" s="18">
        <v>11.5</v>
      </c>
      <c r="U38" s="13">
        <v>27743</v>
      </c>
      <c r="V38" s="18">
        <v>11.4</v>
      </c>
      <c r="W38" s="13">
        <v>30360</v>
      </c>
      <c r="X38" s="18">
        <v>11.5</v>
      </c>
      <c r="Y38" s="13">
        <v>29826</v>
      </c>
      <c r="Z38" s="18">
        <v>5.9</v>
      </c>
      <c r="AA38" s="13">
        <v>29826</v>
      </c>
      <c r="AB38" s="18">
        <v>5.9</v>
      </c>
      <c r="AC38" s="13" t="s">
        <v>275</v>
      </c>
      <c r="AD38" s="11" t="s">
        <v>275</v>
      </c>
      <c r="AE38" s="13" t="s">
        <v>275</v>
      </c>
      <c r="AF38" s="13" t="s">
        <v>275</v>
      </c>
      <c r="AG38" s="13" t="s">
        <v>275</v>
      </c>
    </row>
    <row r="39" spans="1:33" x14ac:dyDescent="0.35">
      <c r="A39" s="9">
        <v>2003</v>
      </c>
      <c r="B39" s="13">
        <v>5068.5</v>
      </c>
      <c r="C39" s="13">
        <v>2438.1</v>
      </c>
      <c r="D39" s="13">
        <v>2630.4</v>
      </c>
      <c r="E39" s="13">
        <v>52432</v>
      </c>
      <c r="F39" s="18">
        <v>10.3</v>
      </c>
      <c r="G39" s="13">
        <v>26906</v>
      </c>
      <c r="H39" s="13">
        <v>25526</v>
      </c>
      <c r="I39" s="13">
        <v>1054</v>
      </c>
      <c r="J39" s="13">
        <v>23864</v>
      </c>
      <c r="K39" s="15">
        <v>0.45500000000000002</v>
      </c>
      <c r="L39" s="13">
        <v>810</v>
      </c>
      <c r="M39" s="13">
        <v>8</v>
      </c>
      <c r="N39" s="15">
        <v>1.5800000000000002E-2</v>
      </c>
      <c r="O39" s="13">
        <v>296</v>
      </c>
      <c r="P39" s="18">
        <v>5.6</v>
      </c>
      <c r="Q39" s="13">
        <v>265</v>
      </c>
      <c r="R39" s="18">
        <v>5.0999999999999996</v>
      </c>
      <c r="S39" s="13">
        <v>58472</v>
      </c>
      <c r="T39" s="18">
        <v>11.5</v>
      </c>
      <c r="U39" s="13">
        <v>27832</v>
      </c>
      <c r="V39" s="18">
        <v>11.4</v>
      </c>
      <c r="W39" s="13">
        <v>30640</v>
      </c>
      <c r="X39" s="18">
        <v>11.6</v>
      </c>
      <c r="Y39" s="13">
        <v>30757</v>
      </c>
      <c r="Z39" s="18">
        <v>6.1</v>
      </c>
      <c r="AA39" s="13">
        <v>30757</v>
      </c>
      <c r="AB39" s="18">
        <v>6.1</v>
      </c>
      <c r="AC39" s="13" t="s">
        <v>275</v>
      </c>
      <c r="AD39" s="11" t="s">
        <v>275</v>
      </c>
      <c r="AE39" s="13" t="s">
        <v>275</v>
      </c>
      <c r="AF39" s="13" t="s">
        <v>275</v>
      </c>
      <c r="AG39" s="13" t="s">
        <v>275</v>
      </c>
    </row>
    <row r="40" spans="1:33" x14ac:dyDescent="0.35">
      <c r="A40" s="9">
        <v>2004</v>
      </c>
      <c r="B40" s="13">
        <v>5084.3</v>
      </c>
      <c r="C40" s="13">
        <v>2446.6</v>
      </c>
      <c r="D40" s="13">
        <v>2637.7</v>
      </c>
      <c r="E40" s="13">
        <v>53957</v>
      </c>
      <c r="F40" s="18">
        <v>10.6</v>
      </c>
      <c r="G40" s="13">
        <v>27769</v>
      </c>
      <c r="H40" s="13">
        <v>26188</v>
      </c>
      <c r="I40" s="13">
        <v>1060</v>
      </c>
      <c r="J40" s="13">
        <v>25202</v>
      </c>
      <c r="K40" s="15">
        <v>0.46700000000000003</v>
      </c>
      <c r="L40" s="13">
        <v>757</v>
      </c>
      <c r="M40" s="13">
        <v>8</v>
      </c>
      <c r="N40" s="15">
        <v>1.43E-2</v>
      </c>
      <c r="O40" s="13">
        <v>317</v>
      </c>
      <c r="P40" s="18">
        <v>5.8</v>
      </c>
      <c r="Q40" s="13">
        <v>266</v>
      </c>
      <c r="R40" s="18">
        <v>4.9000000000000004</v>
      </c>
      <c r="S40" s="13">
        <v>56187</v>
      </c>
      <c r="T40" s="18">
        <v>11.1</v>
      </c>
      <c r="U40" s="13">
        <v>26775</v>
      </c>
      <c r="V40" s="18">
        <v>10.9</v>
      </c>
      <c r="W40" s="13">
        <v>29412</v>
      </c>
      <c r="X40" s="18">
        <v>11.2</v>
      </c>
      <c r="Y40" s="13">
        <v>32154</v>
      </c>
      <c r="Z40" s="18">
        <v>6.3</v>
      </c>
      <c r="AA40" s="13">
        <v>32154</v>
      </c>
      <c r="AB40" s="18">
        <v>6.3</v>
      </c>
      <c r="AC40" s="13" t="s">
        <v>275</v>
      </c>
      <c r="AD40" s="11" t="s">
        <v>275</v>
      </c>
      <c r="AE40" s="13" t="s">
        <v>275</v>
      </c>
      <c r="AF40" s="13" t="s">
        <v>275</v>
      </c>
      <c r="AG40" s="13" t="s">
        <v>275</v>
      </c>
    </row>
    <row r="41" spans="1:33" x14ac:dyDescent="0.35">
      <c r="A41" s="9">
        <v>2005</v>
      </c>
      <c r="B41" s="13">
        <v>5110.2</v>
      </c>
      <c r="C41" s="13">
        <v>2461.3000000000002</v>
      </c>
      <c r="D41" s="13">
        <v>2648.9</v>
      </c>
      <c r="E41" s="13">
        <v>54386</v>
      </c>
      <c r="F41" s="18">
        <v>10.6</v>
      </c>
      <c r="G41" s="13">
        <v>28083</v>
      </c>
      <c r="H41" s="13">
        <v>26303</v>
      </c>
      <c r="I41" s="13">
        <v>1068</v>
      </c>
      <c r="J41" s="13">
        <v>25617</v>
      </c>
      <c r="K41" s="15">
        <v>0.47099999999999997</v>
      </c>
      <c r="L41" s="13">
        <v>843</v>
      </c>
      <c r="M41" s="13">
        <v>8</v>
      </c>
      <c r="N41" s="15">
        <v>1.5800000000000002E-2</v>
      </c>
      <c r="O41" s="13">
        <v>292</v>
      </c>
      <c r="P41" s="18">
        <v>5.3</v>
      </c>
      <c r="Q41" s="13">
        <v>284</v>
      </c>
      <c r="R41" s="18">
        <v>5.2</v>
      </c>
      <c r="S41" s="13">
        <v>55747</v>
      </c>
      <c r="T41" s="18">
        <v>10.9</v>
      </c>
      <c r="U41" s="13">
        <v>26522</v>
      </c>
      <c r="V41" s="18">
        <v>10.8</v>
      </c>
      <c r="W41" s="13">
        <v>29225</v>
      </c>
      <c r="X41" s="18">
        <v>11</v>
      </c>
      <c r="Y41" s="13">
        <v>30881</v>
      </c>
      <c r="Z41" s="18">
        <v>6</v>
      </c>
      <c r="AA41" s="13">
        <v>30881</v>
      </c>
      <c r="AB41" s="18">
        <v>6</v>
      </c>
      <c r="AC41" s="13" t="s">
        <v>275</v>
      </c>
      <c r="AD41" s="11" t="s">
        <v>275</v>
      </c>
      <c r="AE41" s="13">
        <v>53</v>
      </c>
      <c r="AF41" s="13">
        <v>31</v>
      </c>
      <c r="AG41" s="13" t="s">
        <v>275</v>
      </c>
    </row>
    <row r="42" spans="1:33" x14ac:dyDescent="0.35">
      <c r="A42" s="9">
        <v>2006</v>
      </c>
      <c r="B42" s="13">
        <v>5133</v>
      </c>
      <c r="C42" s="13">
        <v>2475.1</v>
      </c>
      <c r="D42" s="13">
        <v>2657.9</v>
      </c>
      <c r="E42" s="13">
        <v>55690</v>
      </c>
      <c r="F42" s="18">
        <v>10.8</v>
      </c>
      <c r="G42" s="13">
        <v>28473</v>
      </c>
      <c r="H42" s="13">
        <v>27217</v>
      </c>
      <c r="I42" s="13">
        <v>1046</v>
      </c>
      <c r="J42" s="13">
        <v>26584</v>
      </c>
      <c r="K42" s="15">
        <v>0.47699999999999998</v>
      </c>
      <c r="L42" s="13">
        <v>858</v>
      </c>
      <c r="M42" s="13">
        <v>10</v>
      </c>
      <c r="N42" s="15">
        <v>1.5800000000000002E-2</v>
      </c>
      <c r="O42" s="13">
        <v>296</v>
      </c>
      <c r="P42" s="18">
        <v>5.3</v>
      </c>
      <c r="Q42" s="13">
        <v>248</v>
      </c>
      <c r="R42" s="18">
        <v>4.5</v>
      </c>
      <c r="S42" s="13">
        <v>55093</v>
      </c>
      <c r="T42" s="18">
        <v>10.7</v>
      </c>
      <c r="U42" s="13">
        <v>26251</v>
      </c>
      <c r="V42" s="18">
        <v>10.6</v>
      </c>
      <c r="W42" s="13">
        <v>28842</v>
      </c>
      <c r="X42" s="18">
        <v>10.9</v>
      </c>
      <c r="Y42" s="13">
        <v>29898</v>
      </c>
      <c r="Z42" s="18">
        <v>5.8</v>
      </c>
      <c r="AA42" s="13">
        <v>29898</v>
      </c>
      <c r="AB42" s="18">
        <v>5.8</v>
      </c>
      <c r="AC42" s="13" t="s">
        <v>275</v>
      </c>
      <c r="AD42" s="11" t="s">
        <v>275</v>
      </c>
      <c r="AE42" s="13">
        <v>578</v>
      </c>
      <c r="AF42" s="13">
        <v>469</v>
      </c>
      <c r="AG42" s="13" t="s">
        <v>275</v>
      </c>
    </row>
    <row r="43" spans="1:33" x14ac:dyDescent="0.35">
      <c r="A43" s="9">
        <v>2007</v>
      </c>
      <c r="B43" s="13">
        <v>5170</v>
      </c>
      <c r="C43" s="13">
        <v>2496.6</v>
      </c>
      <c r="D43" s="13">
        <v>2673.4</v>
      </c>
      <c r="E43" s="13">
        <v>57781</v>
      </c>
      <c r="F43" s="18">
        <v>11.2</v>
      </c>
      <c r="G43" s="13">
        <v>29694</v>
      </c>
      <c r="H43" s="13">
        <v>28087</v>
      </c>
      <c r="I43" s="13">
        <v>1057</v>
      </c>
      <c r="J43" s="13">
        <v>28377</v>
      </c>
      <c r="K43" s="15">
        <v>0.49099999999999999</v>
      </c>
      <c r="L43" s="13">
        <v>882</v>
      </c>
      <c r="M43" s="13">
        <v>11</v>
      </c>
      <c r="N43" s="15">
        <v>1.5599999999999999E-2</v>
      </c>
      <c r="O43" s="13">
        <v>327</v>
      </c>
      <c r="P43" s="18">
        <v>5.6</v>
      </c>
      <c r="Q43" s="13">
        <v>272</v>
      </c>
      <c r="R43" s="18">
        <v>4.7</v>
      </c>
      <c r="S43" s="13">
        <v>55986</v>
      </c>
      <c r="T43" s="18">
        <v>10.8</v>
      </c>
      <c r="U43" s="13">
        <v>26895</v>
      </c>
      <c r="V43" s="18">
        <v>10.8</v>
      </c>
      <c r="W43" s="13">
        <v>29091</v>
      </c>
      <c r="X43" s="18">
        <v>10.9</v>
      </c>
      <c r="Y43" s="13">
        <v>29866</v>
      </c>
      <c r="Z43" s="18">
        <v>5.8</v>
      </c>
      <c r="AA43" s="13">
        <v>29866</v>
      </c>
      <c r="AB43" s="18">
        <v>5.8</v>
      </c>
      <c r="AC43" s="13" t="s">
        <v>275</v>
      </c>
      <c r="AD43" s="11" t="s">
        <v>275</v>
      </c>
      <c r="AE43" s="13">
        <v>340</v>
      </c>
      <c r="AF43" s="13">
        <v>348</v>
      </c>
      <c r="AG43" s="13" t="s">
        <v>275</v>
      </c>
    </row>
    <row r="44" spans="1:33" x14ac:dyDescent="0.35">
      <c r="A44" s="9">
        <v>2008</v>
      </c>
      <c r="B44" s="13">
        <v>5202.8999999999996</v>
      </c>
      <c r="C44" s="13">
        <v>2515.3000000000002</v>
      </c>
      <c r="D44" s="13">
        <v>2687.6</v>
      </c>
      <c r="E44" s="13">
        <v>60041</v>
      </c>
      <c r="F44" s="18">
        <v>11.5</v>
      </c>
      <c r="G44" s="13">
        <v>30570</v>
      </c>
      <c r="H44" s="13">
        <v>29471</v>
      </c>
      <c r="I44" s="13">
        <v>1037</v>
      </c>
      <c r="J44" s="13">
        <v>30055</v>
      </c>
      <c r="K44" s="15">
        <v>0.501</v>
      </c>
      <c r="L44" s="13">
        <v>953</v>
      </c>
      <c r="M44" s="13">
        <v>9</v>
      </c>
      <c r="N44" s="15">
        <v>1.6199999999999999E-2</v>
      </c>
      <c r="O44" s="13">
        <v>325</v>
      </c>
      <c r="P44" s="18">
        <v>5.4</v>
      </c>
      <c r="Q44" s="13">
        <v>253</v>
      </c>
      <c r="R44" s="18">
        <v>4.2</v>
      </c>
      <c r="S44" s="13">
        <v>55700</v>
      </c>
      <c r="T44" s="18">
        <v>10.7</v>
      </c>
      <c r="U44" s="13">
        <v>26504</v>
      </c>
      <c r="V44" s="18">
        <v>10.5</v>
      </c>
      <c r="W44" s="13">
        <v>29196</v>
      </c>
      <c r="X44" s="18">
        <v>10.9</v>
      </c>
      <c r="Y44" s="13">
        <v>28903</v>
      </c>
      <c r="Z44" s="18">
        <v>5.6</v>
      </c>
      <c r="AA44" s="13">
        <v>28903</v>
      </c>
      <c r="AB44" s="18">
        <v>5.6</v>
      </c>
      <c r="AC44" s="13" t="s">
        <v>275</v>
      </c>
      <c r="AD44" s="11" t="s">
        <v>275</v>
      </c>
      <c r="AE44" s="13">
        <v>245</v>
      </c>
      <c r="AF44" s="13">
        <v>280</v>
      </c>
      <c r="AG44" s="13" t="s">
        <v>275</v>
      </c>
    </row>
    <row r="45" spans="1:33" x14ac:dyDescent="0.35">
      <c r="A45" s="9">
        <v>2009</v>
      </c>
      <c r="B45" s="13">
        <v>5231.8999999999996</v>
      </c>
      <c r="C45" s="13">
        <v>2532</v>
      </c>
      <c r="D45" s="13">
        <v>2699.9</v>
      </c>
      <c r="E45" s="13">
        <v>59046</v>
      </c>
      <c r="F45" s="18">
        <v>11.3</v>
      </c>
      <c r="G45" s="13">
        <v>30165</v>
      </c>
      <c r="H45" s="13">
        <v>28881</v>
      </c>
      <c r="I45" s="13">
        <v>1044</v>
      </c>
      <c r="J45" s="13">
        <v>29710</v>
      </c>
      <c r="K45" s="15">
        <v>0.503</v>
      </c>
      <c r="L45" s="13">
        <v>922</v>
      </c>
      <c r="M45" s="13">
        <v>15</v>
      </c>
      <c r="N45" s="15">
        <v>1.6E-2</v>
      </c>
      <c r="O45" s="13">
        <v>317</v>
      </c>
      <c r="P45" s="18">
        <v>5.3</v>
      </c>
      <c r="Q45" s="13">
        <v>235</v>
      </c>
      <c r="R45" s="18">
        <v>4</v>
      </c>
      <c r="S45" s="13">
        <v>53856</v>
      </c>
      <c r="T45" s="18">
        <v>10.3</v>
      </c>
      <c r="U45" s="13">
        <v>25828</v>
      </c>
      <c r="V45" s="18">
        <v>10.199999999999999</v>
      </c>
      <c r="W45" s="13">
        <v>28028</v>
      </c>
      <c r="X45" s="18">
        <v>10.4</v>
      </c>
      <c r="Y45" s="13">
        <v>27524</v>
      </c>
      <c r="Z45" s="18">
        <v>5.3</v>
      </c>
      <c r="AA45" s="13">
        <v>27524</v>
      </c>
      <c r="AB45" s="18">
        <v>5.3</v>
      </c>
      <c r="AC45" s="13" t="s">
        <v>275</v>
      </c>
      <c r="AD45" s="11" t="s">
        <v>275</v>
      </c>
      <c r="AE45" s="13">
        <v>219</v>
      </c>
      <c r="AF45" s="13">
        <v>279</v>
      </c>
      <c r="AG45" s="13" t="s">
        <v>275</v>
      </c>
    </row>
    <row r="46" spans="1:33" x14ac:dyDescent="0.35">
      <c r="A46" s="9">
        <v>2010</v>
      </c>
      <c r="B46" s="13">
        <v>5262.2</v>
      </c>
      <c r="C46" s="13">
        <v>2548.1999999999998</v>
      </c>
      <c r="D46" s="13">
        <v>2714</v>
      </c>
      <c r="E46" s="13">
        <v>58791</v>
      </c>
      <c r="F46" s="18">
        <v>11.2</v>
      </c>
      <c r="G46" s="13">
        <v>29872</v>
      </c>
      <c r="H46" s="13">
        <v>28919</v>
      </c>
      <c r="I46" s="13">
        <v>1033</v>
      </c>
      <c r="J46" s="13">
        <v>29528</v>
      </c>
      <c r="K46" s="15">
        <v>0.502</v>
      </c>
      <c r="L46" s="13">
        <v>919</v>
      </c>
      <c r="M46" s="13">
        <v>12</v>
      </c>
      <c r="N46" s="15">
        <v>1.6E-2</v>
      </c>
      <c r="O46" s="13">
        <v>291</v>
      </c>
      <c r="P46" s="18">
        <v>4.9000000000000004</v>
      </c>
      <c r="Q46" s="13">
        <v>218</v>
      </c>
      <c r="R46" s="18">
        <v>3.7</v>
      </c>
      <c r="S46" s="13">
        <v>53967</v>
      </c>
      <c r="T46" s="18">
        <v>10.3</v>
      </c>
      <c r="U46" s="13">
        <v>25963</v>
      </c>
      <c r="V46" s="18">
        <v>10.199999999999999</v>
      </c>
      <c r="W46" s="13">
        <v>28004</v>
      </c>
      <c r="X46" s="18">
        <v>10.3</v>
      </c>
      <c r="Y46" s="13">
        <v>28480</v>
      </c>
      <c r="Z46" s="18">
        <v>5.4</v>
      </c>
      <c r="AA46" s="13">
        <v>28480</v>
      </c>
      <c r="AB46" s="18">
        <v>5.4</v>
      </c>
      <c r="AC46" s="13" t="s">
        <v>275</v>
      </c>
      <c r="AD46" s="11" t="s">
        <v>275</v>
      </c>
      <c r="AE46" s="13">
        <v>197</v>
      </c>
      <c r="AF46" s="13">
        <v>268</v>
      </c>
      <c r="AG46" s="13" t="s">
        <v>275</v>
      </c>
    </row>
    <row r="47" spans="1:33" x14ac:dyDescent="0.35">
      <c r="A47" s="9">
        <v>2011</v>
      </c>
      <c r="B47" s="13">
        <v>5299.9</v>
      </c>
      <c r="C47" s="13">
        <v>2570.3000000000002</v>
      </c>
      <c r="D47" s="13">
        <v>2729.6</v>
      </c>
      <c r="E47" s="13">
        <v>58590</v>
      </c>
      <c r="F47" s="18">
        <v>11.1</v>
      </c>
      <c r="G47" s="13">
        <v>30111</v>
      </c>
      <c r="H47" s="13">
        <v>28479</v>
      </c>
      <c r="I47" s="13">
        <v>1057</v>
      </c>
      <c r="J47" s="13">
        <v>29888</v>
      </c>
      <c r="K47" s="15">
        <v>0.51</v>
      </c>
      <c r="L47" s="13">
        <v>852</v>
      </c>
      <c r="M47" s="13">
        <v>10</v>
      </c>
      <c r="N47" s="15">
        <v>1.49E-2</v>
      </c>
      <c r="O47" s="13">
        <v>299</v>
      </c>
      <c r="P47" s="18">
        <v>5.0999999999999996</v>
      </c>
      <c r="Q47" s="13">
        <v>238</v>
      </c>
      <c r="R47" s="18">
        <v>4.0999999999999996</v>
      </c>
      <c r="S47" s="13">
        <v>53661</v>
      </c>
      <c r="T47" s="18">
        <v>10.1</v>
      </c>
      <c r="U47" s="13">
        <v>25913</v>
      </c>
      <c r="V47" s="18">
        <v>10.1</v>
      </c>
      <c r="W47" s="13">
        <v>27748</v>
      </c>
      <c r="X47" s="18">
        <v>10.199999999999999</v>
      </c>
      <c r="Y47" s="13">
        <v>29135</v>
      </c>
      <c r="Z47" s="18">
        <v>5.5</v>
      </c>
      <c r="AA47" s="13">
        <v>29135</v>
      </c>
      <c r="AB47" s="18">
        <v>5.5</v>
      </c>
      <c r="AC47" s="13" t="s">
        <v>275</v>
      </c>
      <c r="AD47" s="11" t="s">
        <v>275</v>
      </c>
      <c r="AE47" s="13">
        <v>229</v>
      </c>
      <c r="AF47" s="13">
        <v>325</v>
      </c>
      <c r="AG47" s="13" t="s">
        <v>275</v>
      </c>
    </row>
    <row r="48" spans="1:33" x14ac:dyDescent="0.35">
      <c r="A48" s="9">
        <v>2012</v>
      </c>
      <c r="B48" s="13">
        <v>5308.2</v>
      </c>
      <c r="C48" s="13">
        <v>2573.8000000000002</v>
      </c>
      <c r="D48" s="13">
        <v>2734.4</v>
      </c>
      <c r="E48" s="13">
        <v>58027</v>
      </c>
      <c r="F48" s="18">
        <v>10.9</v>
      </c>
      <c r="G48" s="13">
        <v>29713</v>
      </c>
      <c r="H48" s="13">
        <v>28314</v>
      </c>
      <c r="I48" s="13">
        <v>1049</v>
      </c>
      <c r="J48" s="13">
        <v>29795</v>
      </c>
      <c r="K48" s="15">
        <v>0.51300000000000001</v>
      </c>
      <c r="L48" s="13">
        <v>866</v>
      </c>
      <c r="M48" s="13">
        <v>8</v>
      </c>
      <c r="N48" s="15">
        <v>1.52E-2</v>
      </c>
      <c r="O48" s="13">
        <v>274</v>
      </c>
      <c r="P48" s="18">
        <v>4.7</v>
      </c>
      <c r="Q48" s="13">
        <v>217</v>
      </c>
      <c r="R48" s="18">
        <v>3.7</v>
      </c>
      <c r="S48" s="13">
        <v>54937</v>
      </c>
      <c r="T48" s="18">
        <v>10.3</v>
      </c>
      <c r="U48" s="13">
        <v>26015</v>
      </c>
      <c r="V48" s="18">
        <v>10.1</v>
      </c>
      <c r="W48" s="13">
        <v>28922</v>
      </c>
      <c r="X48" s="18">
        <v>10.6</v>
      </c>
      <c r="Y48" s="13">
        <v>30534</v>
      </c>
      <c r="Z48" s="18">
        <v>5.8</v>
      </c>
      <c r="AA48" s="13">
        <v>30534</v>
      </c>
      <c r="AB48" s="18">
        <v>5.8</v>
      </c>
      <c r="AC48" s="13" t="s">
        <v>275</v>
      </c>
      <c r="AD48" s="11" t="s">
        <v>275</v>
      </c>
      <c r="AE48" s="13">
        <v>257</v>
      </c>
      <c r="AF48" s="13">
        <v>317</v>
      </c>
      <c r="AG48" s="13" t="s">
        <v>275</v>
      </c>
    </row>
    <row r="49" spans="1:33" x14ac:dyDescent="0.35">
      <c r="A49" s="9">
        <v>2013</v>
      </c>
      <c r="B49" s="13">
        <v>5316.8</v>
      </c>
      <c r="C49" s="13">
        <v>2579.6999999999998</v>
      </c>
      <c r="D49" s="13">
        <v>2737.1</v>
      </c>
      <c r="E49" s="13">
        <v>56014</v>
      </c>
      <c r="F49" s="18">
        <v>10.5</v>
      </c>
      <c r="G49" s="13">
        <v>28828</v>
      </c>
      <c r="H49" s="13">
        <v>27186</v>
      </c>
      <c r="I49" s="13">
        <v>1060</v>
      </c>
      <c r="J49" s="13">
        <v>28816</v>
      </c>
      <c r="K49" s="15">
        <v>0.51400000000000001</v>
      </c>
      <c r="L49" s="13">
        <v>822</v>
      </c>
      <c r="M49" s="13">
        <v>12</v>
      </c>
      <c r="N49" s="15">
        <v>1.4999999999999999E-2</v>
      </c>
      <c r="O49" s="13">
        <v>234</v>
      </c>
      <c r="P49" s="18">
        <v>4.2</v>
      </c>
      <c r="Q49" s="13">
        <v>186</v>
      </c>
      <c r="R49" s="18">
        <v>3.3</v>
      </c>
      <c r="S49" s="13">
        <v>54700</v>
      </c>
      <c r="T49" s="18">
        <v>10.3</v>
      </c>
      <c r="U49" s="13">
        <v>26325</v>
      </c>
      <c r="V49" s="18">
        <v>10.199999999999999</v>
      </c>
      <c r="W49" s="13">
        <v>28375</v>
      </c>
      <c r="X49" s="18">
        <v>10.4</v>
      </c>
      <c r="Y49" s="13">
        <v>27547</v>
      </c>
      <c r="Z49" s="18">
        <v>5.2</v>
      </c>
      <c r="AA49" s="13">
        <v>27547</v>
      </c>
      <c r="AB49" s="18">
        <v>5.2</v>
      </c>
      <c r="AC49" s="13" t="s">
        <v>275</v>
      </c>
      <c r="AD49" s="11" t="s">
        <v>275</v>
      </c>
      <c r="AE49" s="13">
        <v>217</v>
      </c>
      <c r="AF49" s="13">
        <v>313</v>
      </c>
      <c r="AG49" s="13" t="s">
        <v>275</v>
      </c>
    </row>
    <row r="50" spans="1:33" x14ac:dyDescent="0.35">
      <c r="A50" s="9">
        <v>2014</v>
      </c>
      <c r="B50" s="13">
        <v>5331.4</v>
      </c>
      <c r="C50" s="13">
        <v>2586.5</v>
      </c>
      <c r="D50" s="13">
        <v>2744.9</v>
      </c>
      <c r="E50" s="13">
        <v>56725</v>
      </c>
      <c r="F50" s="18">
        <v>10.6</v>
      </c>
      <c r="G50" s="13">
        <v>29056</v>
      </c>
      <c r="H50" s="13">
        <v>27669</v>
      </c>
      <c r="I50" s="13">
        <v>1050</v>
      </c>
      <c r="J50" s="13">
        <v>28821</v>
      </c>
      <c r="K50" s="15">
        <v>0.50800000000000001</v>
      </c>
      <c r="L50" s="13">
        <v>863</v>
      </c>
      <c r="M50" s="13">
        <v>11</v>
      </c>
      <c r="N50" s="15">
        <v>1.5599999999999999E-2</v>
      </c>
      <c r="O50" s="13">
        <v>228</v>
      </c>
      <c r="P50" s="18">
        <v>4</v>
      </c>
      <c r="Q50" s="13">
        <v>207</v>
      </c>
      <c r="R50" s="18">
        <v>3.6</v>
      </c>
      <c r="S50" s="13">
        <v>54239</v>
      </c>
      <c r="T50" s="18">
        <v>10.199999999999999</v>
      </c>
      <c r="U50" s="13">
        <v>26289</v>
      </c>
      <c r="V50" s="18">
        <v>10.199999999999999</v>
      </c>
      <c r="W50" s="13">
        <v>27950</v>
      </c>
      <c r="X50" s="18">
        <v>10.199999999999999</v>
      </c>
      <c r="Y50" s="13">
        <v>29069</v>
      </c>
      <c r="Z50" s="18">
        <v>5.5</v>
      </c>
      <c r="AA50" s="13">
        <v>28702</v>
      </c>
      <c r="AB50" s="18">
        <v>5.4</v>
      </c>
      <c r="AC50" s="13">
        <v>367</v>
      </c>
      <c r="AD50" s="18">
        <v>0.1</v>
      </c>
      <c r="AE50" s="13">
        <v>193</v>
      </c>
      <c r="AF50" s="13">
        <v>243</v>
      </c>
      <c r="AG50" s="13" t="s">
        <v>275</v>
      </c>
    </row>
    <row r="51" spans="1:33" x14ac:dyDescent="0.35">
      <c r="A51" s="9">
        <v>2015</v>
      </c>
      <c r="B51" s="13">
        <v>5350.6</v>
      </c>
      <c r="C51" s="13">
        <v>2596.6999999999998</v>
      </c>
      <c r="D51" s="13">
        <v>2753.9</v>
      </c>
      <c r="E51" s="13">
        <v>55098</v>
      </c>
      <c r="F51" s="18">
        <v>10.3</v>
      </c>
      <c r="G51" s="13">
        <v>28354</v>
      </c>
      <c r="H51" s="13">
        <v>26744</v>
      </c>
      <c r="I51" s="13">
        <v>1060</v>
      </c>
      <c r="J51" s="13">
        <v>28210</v>
      </c>
      <c r="K51" s="15">
        <v>0.51200000000000001</v>
      </c>
      <c r="L51" s="13">
        <v>803</v>
      </c>
      <c r="M51" s="13">
        <v>16</v>
      </c>
      <c r="N51" s="15">
        <v>1.4999999999999999E-2</v>
      </c>
      <c r="O51" s="13">
        <v>211</v>
      </c>
      <c r="P51" s="18">
        <v>3.8</v>
      </c>
      <c r="Q51" s="13">
        <v>175</v>
      </c>
      <c r="R51" s="18">
        <v>3.2</v>
      </c>
      <c r="S51" s="13">
        <v>57579</v>
      </c>
      <c r="T51" s="18">
        <v>10.8</v>
      </c>
      <c r="U51" s="13">
        <v>27905</v>
      </c>
      <c r="V51" s="18">
        <v>10.7</v>
      </c>
      <c r="W51" s="13">
        <v>29674</v>
      </c>
      <c r="X51" s="18">
        <v>10.8</v>
      </c>
      <c r="Y51" s="13">
        <v>29691</v>
      </c>
      <c r="Z51" s="18">
        <v>5.5</v>
      </c>
      <c r="AA51" s="13">
        <v>28020</v>
      </c>
      <c r="AB51" s="18">
        <v>5.2</v>
      </c>
      <c r="AC51" s="13">
        <v>1671</v>
      </c>
      <c r="AD51" s="18">
        <v>0.3</v>
      </c>
      <c r="AE51" s="13">
        <v>33</v>
      </c>
      <c r="AF51" s="13">
        <v>31</v>
      </c>
      <c r="AG51" s="13" t="s">
        <v>275</v>
      </c>
    </row>
    <row r="52" spans="1:33" x14ac:dyDescent="0.35">
      <c r="A52" s="9">
        <v>2016</v>
      </c>
      <c r="B52" s="13">
        <v>5373.6</v>
      </c>
      <c r="C52" s="13">
        <v>2609</v>
      </c>
      <c r="D52" s="13">
        <v>2764.6</v>
      </c>
      <c r="E52" s="13">
        <v>54488</v>
      </c>
      <c r="F52" s="18">
        <v>10.1</v>
      </c>
      <c r="G52" s="13">
        <v>28236</v>
      </c>
      <c r="H52" s="13">
        <v>26252</v>
      </c>
      <c r="I52" s="13">
        <v>1076</v>
      </c>
      <c r="J52" s="13">
        <v>27727</v>
      </c>
      <c r="K52" s="15">
        <v>0.50900000000000001</v>
      </c>
      <c r="L52" s="13">
        <v>804</v>
      </c>
      <c r="M52" s="13">
        <v>11</v>
      </c>
      <c r="N52" s="15">
        <v>1.5100000000000001E-2</v>
      </c>
      <c r="O52" s="13">
        <v>236</v>
      </c>
      <c r="P52" s="18">
        <v>4.3</v>
      </c>
      <c r="Q52" s="13">
        <v>181</v>
      </c>
      <c r="R52" s="18">
        <v>3.3</v>
      </c>
      <c r="S52" s="13">
        <v>56728</v>
      </c>
      <c r="T52" s="18">
        <v>10.6</v>
      </c>
      <c r="U52" s="13">
        <v>27760</v>
      </c>
      <c r="V52" s="18">
        <v>10.6</v>
      </c>
      <c r="W52" s="13">
        <v>28968</v>
      </c>
      <c r="X52" s="18">
        <v>10.5</v>
      </c>
      <c r="Y52" s="13">
        <v>29229</v>
      </c>
      <c r="Z52" s="18">
        <v>5.4</v>
      </c>
      <c r="AA52" s="13">
        <v>28231</v>
      </c>
      <c r="AB52" s="18">
        <v>5.3</v>
      </c>
      <c r="AC52" s="13">
        <v>998</v>
      </c>
      <c r="AD52" s="18">
        <v>0.2</v>
      </c>
      <c r="AE52" s="13">
        <v>42</v>
      </c>
      <c r="AF52" s="13">
        <v>28</v>
      </c>
      <c r="AG52" s="13" t="s">
        <v>275</v>
      </c>
    </row>
    <row r="53" spans="1:33" x14ac:dyDescent="0.35">
      <c r="A53" s="9">
        <v>2017</v>
      </c>
      <c r="B53" s="13">
        <v>5388.2</v>
      </c>
      <c r="C53" s="13">
        <v>2616.6999999999998</v>
      </c>
      <c r="D53" s="13">
        <v>2771.5</v>
      </c>
      <c r="E53" s="13">
        <v>52861</v>
      </c>
      <c r="F53" s="18">
        <v>9.8000000000000007</v>
      </c>
      <c r="G53" s="13">
        <v>27215</v>
      </c>
      <c r="H53" s="13">
        <v>25646</v>
      </c>
      <c r="I53" s="13">
        <v>1061</v>
      </c>
      <c r="J53" s="13">
        <v>27003</v>
      </c>
      <c r="K53" s="15">
        <v>0.51100000000000001</v>
      </c>
      <c r="L53" s="13">
        <v>767</v>
      </c>
      <c r="M53" s="13">
        <v>7</v>
      </c>
      <c r="N53" s="15">
        <v>1.4800000000000001E-2</v>
      </c>
      <c r="O53" s="13">
        <v>225</v>
      </c>
      <c r="P53" s="18">
        <v>4.2</v>
      </c>
      <c r="Q53" s="13">
        <v>176</v>
      </c>
      <c r="R53" s="18">
        <v>3.3</v>
      </c>
      <c r="S53" s="13">
        <v>57883</v>
      </c>
      <c r="T53" s="18">
        <v>10.7</v>
      </c>
      <c r="U53" s="13">
        <v>28250</v>
      </c>
      <c r="V53" s="18">
        <v>10.8</v>
      </c>
      <c r="W53" s="13">
        <v>29633</v>
      </c>
      <c r="X53" s="18">
        <v>10.7</v>
      </c>
      <c r="Y53" s="13">
        <v>28440</v>
      </c>
      <c r="Z53" s="18">
        <v>5.3</v>
      </c>
      <c r="AA53" s="13">
        <v>27458</v>
      </c>
      <c r="AB53" s="18">
        <v>5.0999999999999996</v>
      </c>
      <c r="AC53" s="13">
        <v>982</v>
      </c>
      <c r="AD53" s="18">
        <v>0.2</v>
      </c>
      <c r="AE53" s="13">
        <v>41</v>
      </c>
      <c r="AF53" s="13">
        <v>29</v>
      </c>
      <c r="AG53" s="13" t="s">
        <v>275</v>
      </c>
    </row>
    <row r="54" spans="1:33" x14ac:dyDescent="0.35">
      <c r="A54" s="9">
        <v>2018</v>
      </c>
      <c r="B54" s="13">
        <v>5392.1</v>
      </c>
      <c r="C54" s="13">
        <v>2618.1</v>
      </c>
      <c r="D54" s="13">
        <v>2774</v>
      </c>
      <c r="E54" s="13">
        <v>51308</v>
      </c>
      <c r="F54" s="18">
        <v>9.5</v>
      </c>
      <c r="G54" s="13">
        <v>26332</v>
      </c>
      <c r="H54" s="13">
        <v>24976</v>
      </c>
      <c r="I54" s="13">
        <v>1054</v>
      </c>
      <c r="J54" s="13">
        <v>26143</v>
      </c>
      <c r="K54" s="15">
        <v>0.51</v>
      </c>
      <c r="L54" s="13">
        <v>753</v>
      </c>
      <c r="M54" s="13">
        <v>6</v>
      </c>
      <c r="N54" s="15">
        <v>1.4999999999999999E-2</v>
      </c>
      <c r="O54" s="13">
        <v>190</v>
      </c>
      <c r="P54" s="18">
        <v>3.7</v>
      </c>
      <c r="Q54" s="13">
        <v>163</v>
      </c>
      <c r="R54" s="18">
        <v>3.2</v>
      </c>
      <c r="S54" s="13">
        <v>58503</v>
      </c>
      <c r="T54" s="18">
        <v>10.8</v>
      </c>
      <c r="U54" s="13">
        <v>28642</v>
      </c>
      <c r="V54" s="18">
        <v>10.9</v>
      </c>
      <c r="W54" s="13">
        <v>29861</v>
      </c>
      <c r="X54" s="18">
        <v>10.8</v>
      </c>
      <c r="Y54" s="13">
        <v>27525</v>
      </c>
      <c r="Z54" s="18">
        <v>5.0999999999999996</v>
      </c>
      <c r="AA54" s="13">
        <v>26546</v>
      </c>
      <c r="AB54" s="18">
        <v>4.9000000000000004</v>
      </c>
      <c r="AC54" s="13">
        <v>979</v>
      </c>
      <c r="AD54" s="18">
        <v>0.2</v>
      </c>
      <c r="AE54" s="13">
        <v>38</v>
      </c>
      <c r="AF54" s="13">
        <v>27</v>
      </c>
      <c r="AG54" s="13" t="s">
        <v>275</v>
      </c>
    </row>
    <row r="55" spans="1:33" x14ac:dyDescent="0.35">
      <c r="A55" s="9">
        <v>2019</v>
      </c>
      <c r="B55" s="13">
        <v>5411.2</v>
      </c>
      <c r="C55" s="13">
        <v>2628.1</v>
      </c>
      <c r="D55" s="13">
        <v>2783.1</v>
      </c>
      <c r="E55" s="13">
        <v>49863</v>
      </c>
      <c r="F55" s="18">
        <v>9.1999999999999993</v>
      </c>
      <c r="G55" s="13">
        <v>25687</v>
      </c>
      <c r="H55" s="13">
        <v>24176</v>
      </c>
      <c r="I55" s="13">
        <v>1063</v>
      </c>
      <c r="J55" s="13">
        <v>25576</v>
      </c>
      <c r="K55" s="15">
        <v>0.51300000000000001</v>
      </c>
      <c r="L55" s="13">
        <v>717</v>
      </c>
      <c r="M55" s="13">
        <v>9</v>
      </c>
      <c r="N55" s="15">
        <v>1.47E-2</v>
      </c>
      <c r="O55" s="13">
        <v>174</v>
      </c>
      <c r="P55" s="18">
        <v>3.5</v>
      </c>
      <c r="Q55" s="13">
        <v>165</v>
      </c>
      <c r="R55" s="18">
        <v>3.3</v>
      </c>
      <c r="S55" s="13">
        <v>58108</v>
      </c>
      <c r="T55" s="18">
        <v>10.7</v>
      </c>
      <c r="U55" s="13">
        <v>28489</v>
      </c>
      <c r="V55" s="18">
        <v>10.8</v>
      </c>
      <c r="W55" s="13">
        <v>29619</v>
      </c>
      <c r="X55" s="18">
        <v>10.6</v>
      </c>
      <c r="Y55" s="13">
        <v>26007</v>
      </c>
      <c r="Z55" s="18">
        <v>4.8</v>
      </c>
      <c r="AA55" s="13">
        <v>25095</v>
      </c>
      <c r="AB55" s="18">
        <v>4.5999999999999996</v>
      </c>
      <c r="AC55" s="13">
        <v>912</v>
      </c>
      <c r="AD55" s="18">
        <v>0.2</v>
      </c>
      <c r="AE55" s="13">
        <v>50</v>
      </c>
      <c r="AF55" s="13">
        <v>33</v>
      </c>
      <c r="AG55" s="13" t="s">
        <v>275</v>
      </c>
    </row>
    <row r="56" spans="1:33" x14ac:dyDescent="0.35">
      <c r="A56" s="9">
        <v>2020</v>
      </c>
      <c r="B56" s="13">
        <v>5408.9</v>
      </c>
      <c r="C56" s="13">
        <v>2626.6</v>
      </c>
      <c r="D56" s="13">
        <v>2782.3</v>
      </c>
      <c r="E56" s="13">
        <v>46809</v>
      </c>
      <c r="F56" s="18">
        <v>8.6999999999999993</v>
      </c>
      <c r="G56" s="13">
        <v>23972</v>
      </c>
      <c r="H56" s="13">
        <v>22837</v>
      </c>
      <c r="I56" s="13">
        <v>1050</v>
      </c>
      <c r="J56" s="13">
        <v>24187</v>
      </c>
      <c r="K56" s="15">
        <v>0.51700000000000002</v>
      </c>
      <c r="L56" s="13">
        <v>672</v>
      </c>
      <c r="M56" s="13">
        <v>2</v>
      </c>
      <c r="N56" s="15">
        <v>1.4500000000000001E-2</v>
      </c>
      <c r="O56" s="13">
        <v>198</v>
      </c>
      <c r="P56" s="18">
        <v>4.2</v>
      </c>
      <c r="Q56" s="13">
        <v>146</v>
      </c>
      <c r="R56" s="18">
        <v>3.1</v>
      </c>
      <c r="S56" s="13">
        <v>64093</v>
      </c>
      <c r="T56" s="18">
        <v>11.8</v>
      </c>
      <c r="U56" s="13">
        <v>32130</v>
      </c>
      <c r="V56" s="18">
        <v>12.2</v>
      </c>
      <c r="W56" s="13">
        <v>31963</v>
      </c>
      <c r="X56" s="18">
        <v>11.5</v>
      </c>
      <c r="Y56" s="13">
        <v>11986</v>
      </c>
      <c r="Z56" s="18">
        <v>2.2000000000000002</v>
      </c>
      <c r="AA56" s="13">
        <v>11563</v>
      </c>
      <c r="AB56" s="18">
        <v>2.1</v>
      </c>
      <c r="AC56" s="13">
        <v>423</v>
      </c>
      <c r="AD56" s="18">
        <v>0.1</v>
      </c>
      <c r="AE56" s="13">
        <v>33</v>
      </c>
      <c r="AF56" s="13">
        <v>39</v>
      </c>
      <c r="AG56" s="13" t="s">
        <v>275</v>
      </c>
    </row>
    <row r="57" spans="1:33" x14ac:dyDescent="0.35">
      <c r="A57" s="9">
        <v>2021</v>
      </c>
      <c r="B57" s="13">
        <v>5412.9</v>
      </c>
      <c r="C57" s="13">
        <v>2627.6</v>
      </c>
      <c r="D57" s="13">
        <v>2785.3</v>
      </c>
      <c r="E57" s="13">
        <v>47786</v>
      </c>
      <c r="F57" s="18">
        <v>8.8000000000000007</v>
      </c>
      <c r="G57" s="13">
        <v>24542</v>
      </c>
      <c r="H57" s="13">
        <v>23244</v>
      </c>
      <c r="I57" s="13">
        <v>1056</v>
      </c>
      <c r="J57" s="13">
        <v>25692</v>
      </c>
      <c r="K57" s="15">
        <v>0.53800000000000003</v>
      </c>
      <c r="L57" s="13">
        <v>629</v>
      </c>
      <c r="M57" s="13">
        <v>9</v>
      </c>
      <c r="N57" s="15">
        <v>1.35E-2</v>
      </c>
      <c r="O57" s="13">
        <v>180</v>
      </c>
      <c r="P57" s="18">
        <v>3.8</v>
      </c>
      <c r="Q57" s="13">
        <v>186</v>
      </c>
      <c r="R57" s="18">
        <v>3.9</v>
      </c>
      <c r="S57" s="13">
        <v>63587</v>
      </c>
      <c r="T57" s="18">
        <v>11.7</v>
      </c>
      <c r="U57" s="13">
        <v>31798</v>
      </c>
      <c r="V57" s="18">
        <v>12.1</v>
      </c>
      <c r="W57" s="13">
        <v>31789</v>
      </c>
      <c r="X57" s="18">
        <v>11.4</v>
      </c>
      <c r="Y57" s="13">
        <v>24284</v>
      </c>
      <c r="Z57" s="18">
        <v>4.5</v>
      </c>
      <c r="AA57" s="13">
        <v>23465</v>
      </c>
      <c r="AB57" s="18">
        <v>4.3</v>
      </c>
      <c r="AC57" s="13">
        <v>819</v>
      </c>
      <c r="AD57" s="18">
        <v>0.2</v>
      </c>
      <c r="AE57" s="13">
        <v>49</v>
      </c>
      <c r="AF57" s="13">
        <v>39</v>
      </c>
      <c r="AG57" s="13">
        <v>411</v>
      </c>
    </row>
    <row r="58" spans="1:33" x14ac:dyDescent="0.35">
      <c r="A58" s="9">
        <v>2022</v>
      </c>
      <c r="B58" s="13">
        <v>5447</v>
      </c>
      <c r="C58" s="13">
        <v>2646.4</v>
      </c>
      <c r="D58" s="13">
        <v>2800.6</v>
      </c>
      <c r="E58" s="13">
        <v>46959</v>
      </c>
      <c r="F58" s="18">
        <v>8.6</v>
      </c>
      <c r="G58" s="13">
        <v>24259</v>
      </c>
      <c r="H58" s="13">
        <v>22700</v>
      </c>
      <c r="I58" s="13">
        <v>1069</v>
      </c>
      <c r="J58" s="13">
        <v>25628</v>
      </c>
      <c r="K58" s="15">
        <v>0.54600000000000004</v>
      </c>
      <c r="L58" s="13">
        <v>622</v>
      </c>
      <c r="M58" s="13">
        <v>9</v>
      </c>
      <c r="N58" s="15">
        <v>1.3599999999999999E-2</v>
      </c>
      <c r="O58" s="13">
        <v>176</v>
      </c>
      <c r="P58" s="18">
        <v>3.7</v>
      </c>
      <c r="Q58" s="13">
        <v>165</v>
      </c>
      <c r="R58" s="18">
        <v>3.5</v>
      </c>
      <c r="S58" s="13">
        <v>62941</v>
      </c>
      <c r="T58" s="18">
        <v>11.6</v>
      </c>
      <c r="U58" s="13">
        <v>31283</v>
      </c>
      <c r="V58" s="18">
        <v>11.8</v>
      </c>
      <c r="W58" s="13">
        <v>31658</v>
      </c>
      <c r="X58" s="18">
        <v>11.3</v>
      </c>
      <c r="Y58" s="13">
        <v>30033</v>
      </c>
      <c r="Z58" s="18">
        <v>5.5</v>
      </c>
      <c r="AA58" s="13">
        <v>28921</v>
      </c>
      <c r="AB58" s="18">
        <v>5.3</v>
      </c>
      <c r="AC58" s="13">
        <v>1112</v>
      </c>
      <c r="AD58" s="18">
        <v>0.2</v>
      </c>
      <c r="AE58" s="13">
        <v>56</v>
      </c>
      <c r="AF58" s="13">
        <v>45</v>
      </c>
      <c r="AG58" s="13">
        <v>529</v>
      </c>
    </row>
    <row r="59" spans="1:33" x14ac:dyDescent="0.35">
      <c r="A59" s="9">
        <v>2023</v>
      </c>
      <c r="B59" s="13">
        <v>5506</v>
      </c>
      <c r="C59" s="13">
        <v>2674.4</v>
      </c>
      <c r="D59" s="13">
        <v>2831.6</v>
      </c>
      <c r="E59" s="13">
        <v>45935</v>
      </c>
      <c r="F59" s="18">
        <v>8.3000000000000007</v>
      </c>
      <c r="G59" s="13">
        <v>23594</v>
      </c>
      <c r="H59" s="13">
        <v>22341</v>
      </c>
      <c r="I59" s="13">
        <v>1056</v>
      </c>
      <c r="J59" s="13">
        <v>24357</v>
      </c>
      <c r="K59" s="15">
        <v>0.53</v>
      </c>
      <c r="L59" s="13">
        <v>664</v>
      </c>
      <c r="M59" s="13">
        <v>10</v>
      </c>
      <c r="N59" s="15">
        <v>1.4800000000000001E-2</v>
      </c>
      <c r="O59" s="13">
        <v>171</v>
      </c>
      <c r="P59" s="18">
        <v>3.7</v>
      </c>
      <c r="Q59" s="13">
        <v>184</v>
      </c>
      <c r="R59" s="18">
        <v>4</v>
      </c>
      <c r="S59" s="13">
        <v>63445</v>
      </c>
      <c r="T59" s="18">
        <v>11.5</v>
      </c>
      <c r="U59" s="13">
        <v>31686</v>
      </c>
      <c r="V59" s="18">
        <v>11.8</v>
      </c>
      <c r="W59" s="13">
        <v>31759</v>
      </c>
      <c r="X59" s="18">
        <v>11.2</v>
      </c>
      <c r="Y59" s="13">
        <v>26753</v>
      </c>
      <c r="Z59" s="18">
        <v>4.9000000000000004</v>
      </c>
      <c r="AA59" s="13">
        <v>25713</v>
      </c>
      <c r="AB59" s="18">
        <v>4.7</v>
      </c>
      <c r="AC59" s="13">
        <v>1040</v>
      </c>
      <c r="AD59" s="18">
        <v>0.2</v>
      </c>
      <c r="AE59" s="13">
        <v>73</v>
      </c>
      <c r="AF59" s="13">
        <v>56</v>
      </c>
      <c r="AG59" s="13">
        <v>590</v>
      </c>
    </row>
    <row r="60" spans="1:33" x14ac:dyDescent="0.35">
      <c r="A60" s="9">
        <v>2024</v>
      </c>
      <c r="B60" s="13">
        <v>5546.9</v>
      </c>
      <c r="C60" s="13">
        <v>2695.2</v>
      </c>
      <c r="D60" s="13">
        <v>2851.7</v>
      </c>
      <c r="E60" s="13">
        <v>45763</v>
      </c>
      <c r="F60" s="18">
        <v>8.3000000000000007</v>
      </c>
      <c r="G60" s="13">
        <v>23429</v>
      </c>
      <c r="H60" s="13">
        <v>22334</v>
      </c>
      <c r="I60" s="13">
        <v>1049</v>
      </c>
      <c r="J60" s="13">
        <v>23664</v>
      </c>
      <c r="K60" s="15">
        <v>0.51700000000000002</v>
      </c>
      <c r="L60" s="13">
        <v>632</v>
      </c>
      <c r="M60" s="13">
        <v>7</v>
      </c>
      <c r="N60" s="15">
        <v>1.41E-2</v>
      </c>
      <c r="O60" s="13">
        <v>159</v>
      </c>
      <c r="P60" s="18">
        <v>3.5</v>
      </c>
      <c r="Q60" s="13">
        <v>159</v>
      </c>
      <c r="R60" s="18">
        <v>3.5</v>
      </c>
      <c r="S60" s="13">
        <v>62291</v>
      </c>
      <c r="T60" s="18">
        <v>11.2</v>
      </c>
      <c r="U60" s="13">
        <v>31258</v>
      </c>
      <c r="V60" s="18">
        <v>11.6</v>
      </c>
      <c r="W60" s="13">
        <v>31033</v>
      </c>
      <c r="X60" s="18">
        <v>10.9</v>
      </c>
      <c r="Y60" s="13">
        <v>26955</v>
      </c>
      <c r="Z60" s="18">
        <v>4.9000000000000004</v>
      </c>
      <c r="AA60" s="13">
        <v>25869</v>
      </c>
      <c r="AB60" s="18">
        <v>4.7</v>
      </c>
      <c r="AC60" s="13">
        <v>1086</v>
      </c>
      <c r="AD60" s="18">
        <v>0.2</v>
      </c>
      <c r="AE60" s="13">
        <v>67</v>
      </c>
      <c r="AF60" s="13">
        <v>68</v>
      </c>
      <c r="AG60" s="13">
        <v>661</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71"/>
  <sheetViews>
    <sheetView workbookViewId="0"/>
  </sheetViews>
  <sheetFormatPr defaultColWidth="11.61328125" defaultRowHeight="15.5" x14ac:dyDescent="0.35"/>
  <cols>
    <col min="1" max="8" width="10.61328125" bestFit="1" customWidth="1"/>
    <col min="9" max="9" width="12.765625" customWidth="1"/>
    <col min="10" max="22" width="10.61328125" bestFit="1" customWidth="1"/>
    <col min="23" max="23" width="11.23046875" customWidth="1"/>
    <col min="24" max="25" width="10.61328125" bestFit="1" customWidth="1"/>
    <col min="26" max="28" width="12.765625" customWidth="1"/>
  </cols>
  <sheetData>
    <row r="1" spans="1:28" ht="20" x14ac:dyDescent="0.4">
      <c r="A1" s="5" t="s">
        <v>306</v>
      </c>
    </row>
    <row r="2" spans="1:28" x14ac:dyDescent="0.35">
      <c r="A2" t="s">
        <v>22</v>
      </c>
    </row>
    <row r="3" spans="1:28" x14ac:dyDescent="0.35">
      <c r="A3" t="s">
        <v>67</v>
      </c>
    </row>
    <row r="4" spans="1:28" x14ac:dyDescent="0.35">
      <c r="A4" t="s">
        <v>117</v>
      </c>
    </row>
    <row r="5" spans="1:28" x14ac:dyDescent="0.35">
      <c r="A5" s="16" t="str">
        <f>HYPERLINK("#'Contents'!A1", "back to contents")</f>
        <v>back to contents</v>
      </c>
    </row>
    <row r="6" spans="1:28" ht="77.5" x14ac:dyDescent="0.35">
      <c r="A6" s="8" t="s">
        <v>69</v>
      </c>
      <c r="B6" s="8" t="s">
        <v>118</v>
      </c>
      <c r="C6" s="12" t="s">
        <v>73</v>
      </c>
      <c r="D6" s="10" t="s">
        <v>282</v>
      </c>
      <c r="E6" s="12" t="s">
        <v>74</v>
      </c>
      <c r="F6" s="12" t="s">
        <v>75</v>
      </c>
      <c r="G6" s="12" t="s">
        <v>76</v>
      </c>
      <c r="H6" s="12" t="s">
        <v>77</v>
      </c>
      <c r="I6" s="14" t="s">
        <v>78</v>
      </c>
      <c r="J6" s="12" t="s">
        <v>281</v>
      </c>
      <c r="K6" s="10" t="s">
        <v>280</v>
      </c>
      <c r="L6" s="12" t="s">
        <v>119</v>
      </c>
      <c r="M6" s="10" t="s">
        <v>120</v>
      </c>
      <c r="N6" s="12" t="s">
        <v>121</v>
      </c>
      <c r="O6" s="10" t="s">
        <v>122</v>
      </c>
      <c r="P6" s="12" t="s">
        <v>79</v>
      </c>
      <c r="Q6" s="10" t="s">
        <v>123</v>
      </c>
      <c r="R6" s="12" t="s">
        <v>80</v>
      </c>
      <c r="S6" s="10" t="s">
        <v>124</v>
      </c>
      <c r="T6" s="12" t="s">
        <v>81</v>
      </c>
      <c r="U6" s="12" t="s">
        <v>82</v>
      </c>
      <c r="V6" s="12" t="s">
        <v>299</v>
      </c>
      <c r="W6" s="10" t="s">
        <v>295</v>
      </c>
      <c r="X6" s="12" t="s">
        <v>297</v>
      </c>
      <c r="Y6" s="12" t="s">
        <v>277</v>
      </c>
      <c r="Z6" s="12" t="s">
        <v>278</v>
      </c>
      <c r="AA6" s="12" t="s">
        <v>279</v>
      </c>
      <c r="AB6" s="12" t="s">
        <v>116</v>
      </c>
    </row>
    <row r="7" spans="1:28" x14ac:dyDescent="0.35">
      <c r="A7" s="9">
        <v>2012</v>
      </c>
      <c r="B7" s="9" t="s">
        <v>125</v>
      </c>
      <c r="C7" s="13">
        <v>58027</v>
      </c>
      <c r="D7" s="18">
        <v>10.9</v>
      </c>
      <c r="E7" s="13">
        <v>29713</v>
      </c>
      <c r="F7" s="13">
        <v>28314</v>
      </c>
      <c r="G7" s="13">
        <v>1049</v>
      </c>
      <c r="H7" s="13">
        <v>29795</v>
      </c>
      <c r="I7" s="15">
        <v>0.51300000000000001</v>
      </c>
      <c r="J7" s="13">
        <v>274</v>
      </c>
      <c r="K7" s="18">
        <v>4.7</v>
      </c>
      <c r="L7" s="13">
        <v>379</v>
      </c>
      <c r="M7" s="18">
        <v>6.5</v>
      </c>
      <c r="N7" s="13">
        <v>148</v>
      </c>
      <c r="O7" s="18">
        <v>2.6</v>
      </c>
      <c r="P7" s="13">
        <v>217</v>
      </c>
      <c r="Q7" s="18">
        <v>3.7</v>
      </c>
      <c r="R7" s="13">
        <v>54937</v>
      </c>
      <c r="S7" s="18">
        <v>10.3</v>
      </c>
      <c r="T7" s="13">
        <v>26015</v>
      </c>
      <c r="U7" s="13">
        <v>28922</v>
      </c>
      <c r="V7" s="13">
        <v>30534</v>
      </c>
      <c r="W7" s="18">
        <v>5.8</v>
      </c>
      <c r="X7" s="13">
        <v>30534</v>
      </c>
      <c r="Y7" s="13" t="s">
        <v>275</v>
      </c>
      <c r="Z7" s="13">
        <v>257</v>
      </c>
      <c r="AA7" s="13">
        <v>317</v>
      </c>
      <c r="AB7" s="13" t="s">
        <v>275</v>
      </c>
    </row>
    <row r="8" spans="1:28" x14ac:dyDescent="0.35">
      <c r="A8" s="9">
        <v>2012</v>
      </c>
      <c r="B8" s="9" t="s">
        <v>126</v>
      </c>
      <c r="C8" s="13">
        <v>14772</v>
      </c>
      <c r="D8" s="18">
        <v>11.2</v>
      </c>
      <c r="E8" s="13">
        <v>7580</v>
      </c>
      <c r="F8" s="13">
        <v>7192</v>
      </c>
      <c r="G8" s="13">
        <v>1054</v>
      </c>
      <c r="H8" s="13">
        <v>7711</v>
      </c>
      <c r="I8" s="15">
        <v>0.52200000000000002</v>
      </c>
      <c r="J8" s="13">
        <v>67</v>
      </c>
      <c r="K8" s="18">
        <v>4.5</v>
      </c>
      <c r="L8" s="13">
        <v>96</v>
      </c>
      <c r="M8" s="18">
        <v>6.5</v>
      </c>
      <c r="N8" s="13">
        <v>43</v>
      </c>
      <c r="O8" s="18">
        <v>2.9</v>
      </c>
      <c r="P8" s="13">
        <v>59</v>
      </c>
      <c r="Q8" s="18">
        <v>4</v>
      </c>
      <c r="R8" s="13">
        <v>14220</v>
      </c>
      <c r="S8" s="18">
        <v>10.8</v>
      </c>
      <c r="T8" s="13">
        <v>6730</v>
      </c>
      <c r="U8" s="13">
        <v>7490</v>
      </c>
      <c r="V8" s="13">
        <v>3255</v>
      </c>
      <c r="W8" s="18">
        <v>2.5</v>
      </c>
      <c r="X8" s="13">
        <v>3255</v>
      </c>
      <c r="Y8" s="13" t="s">
        <v>275</v>
      </c>
      <c r="Z8" s="13">
        <v>36</v>
      </c>
      <c r="AA8" s="13">
        <v>47</v>
      </c>
      <c r="AB8" s="13" t="s">
        <v>275</v>
      </c>
    </row>
    <row r="9" spans="1:28" x14ac:dyDescent="0.35">
      <c r="A9" s="9">
        <v>2012</v>
      </c>
      <c r="B9" s="9" t="s">
        <v>127</v>
      </c>
      <c r="C9" s="13">
        <v>14345</v>
      </c>
      <c r="D9" s="18">
        <v>10.9</v>
      </c>
      <c r="E9" s="13">
        <v>7433</v>
      </c>
      <c r="F9" s="13">
        <v>6912</v>
      </c>
      <c r="G9" s="13">
        <v>1075</v>
      </c>
      <c r="H9" s="13">
        <v>7231</v>
      </c>
      <c r="I9" s="15">
        <v>0.504</v>
      </c>
      <c r="J9" s="13">
        <v>73</v>
      </c>
      <c r="K9" s="18">
        <v>5.0999999999999996</v>
      </c>
      <c r="L9" s="13">
        <v>98</v>
      </c>
      <c r="M9" s="18">
        <v>6.8</v>
      </c>
      <c r="N9" s="13">
        <v>37</v>
      </c>
      <c r="O9" s="18">
        <v>2.6</v>
      </c>
      <c r="P9" s="13">
        <v>55</v>
      </c>
      <c r="Q9" s="18">
        <v>3.8</v>
      </c>
      <c r="R9" s="13">
        <v>13700</v>
      </c>
      <c r="S9" s="18">
        <v>10.4</v>
      </c>
      <c r="T9" s="13">
        <v>6547</v>
      </c>
      <c r="U9" s="13">
        <v>7153</v>
      </c>
      <c r="V9" s="13">
        <v>9159</v>
      </c>
      <c r="W9" s="18">
        <v>6.9</v>
      </c>
      <c r="X9" s="13">
        <v>9159</v>
      </c>
      <c r="Y9" s="13" t="s">
        <v>275</v>
      </c>
      <c r="Z9" s="13">
        <v>63</v>
      </c>
      <c r="AA9" s="13">
        <v>75</v>
      </c>
      <c r="AB9" s="13" t="s">
        <v>275</v>
      </c>
    </row>
    <row r="10" spans="1:28" x14ac:dyDescent="0.35">
      <c r="A10" s="9">
        <v>2012</v>
      </c>
      <c r="B10" s="9" t="s">
        <v>128</v>
      </c>
      <c r="C10" s="13">
        <v>14687</v>
      </c>
      <c r="D10" s="18">
        <v>11</v>
      </c>
      <c r="E10" s="13">
        <v>7478</v>
      </c>
      <c r="F10" s="13">
        <v>7209</v>
      </c>
      <c r="G10" s="13">
        <v>1037</v>
      </c>
      <c r="H10" s="13">
        <v>7487</v>
      </c>
      <c r="I10" s="15">
        <v>0.51</v>
      </c>
      <c r="J10" s="13">
        <v>73</v>
      </c>
      <c r="K10" s="18">
        <v>4.9000000000000004</v>
      </c>
      <c r="L10" s="13">
        <v>97</v>
      </c>
      <c r="M10" s="18">
        <v>6.6</v>
      </c>
      <c r="N10" s="13">
        <v>32</v>
      </c>
      <c r="O10" s="18">
        <v>2.2000000000000002</v>
      </c>
      <c r="P10" s="13">
        <v>49</v>
      </c>
      <c r="Q10" s="18">
        <v>3.3</v>
      </c>
      <c r="R10" s="13">
        <v>12761</v>
      </c>
      <c r="S10" s="18">
        <v>9.6</v>
      </c>
      <c r="T10" s="13">
        <v>6095</v>
      </c>
      <c r="U10" s="13">
        <v>6666</v>
      </c>
      <c r="V10" s="13">
        <v>11639</v>
      </c>
      <c r="W10" s="18">
        <v>8.6999999999999993</v>
      </c>
      <c r="X10" s="13">
        <v>11639</v>
      </c>
      <c r="Y10" s="13" t="s">
        <v>275</v>
      </c>
      <c r="Z10" s="13">
        <v>93</v>
      </c>
      <c r="AA10" s="13">
        <v>113</v>
      </c>
      <c r="AB10" s="13" t="s">
        <v>275</v>
      </c>
    </row>
    <row r="11" spans="1:28" x14ac:dyDescent="0.35">
      <c r="A11" s="9">
        <v>2012</v>
      </c>
      <c r="B11" s="9" t="s">
        <v>129</v>
      </c>
      <c r="C11" s="13">
        <v>14223</v>
      </c>
      <c r="D11" s="18">
        <v>10.7</v>
      </c>
      <c r="E11" s="13">
        <v>7222</v>
      </c>
      <c r="F11" s="13">
        <v>7001</v>
      </c>
      <c r="G11" s="13">
        <v>1032</v>
      </c>
      <c r="H11" s="13">
        <v>7366</v>
      </c>
      <c r="I11" s="15">
        <v>0.51800000000000002</v>
      </c>
      <c r="J11" s="13">
        <v>61</v>
      </c>
      <c r="K11" s="18">
        <v>4.3</v>
      </c>
      <c r="L11" s="13">
        <v>88</v>
      </c>
      <c r="M11" s="18">
        <v>6.2</v>
      </c>
      <c r="N11" s="13">
        <v>36</v>
      </c>
      <c r="O11" s="18">
        <v>2.5</v>
      </c>
      <c r="P11" s="13">
        <v>54</v>
      </c>
      <c r="Q11" s="18">
        <v>3.8</v>
      </c>
      <c r="R11" s="13">
        <v>14256</v>
      </c>
      <c r="S11" s="18">
        <v>10.7</v>
      </c>
      <c r="T11" s="13">
        <v>6643</v>
      </c>
      <c r="U11" s="13">
        <v>7613</v>
      </c>
      <c r="V11" s="13">
        <v>6481</v>
      </c>
      <c r="W11" s="18">
        <v>4.9000000000000004</v>
      </c>
      <c r="X11" s="13">
        <v>6481</v>
      </c>
      <c r="Y11" s="13" t="s">
        <v>275</v>
      </c>
      <c r="Z11" s="13">
        <v>65</v>
      </c>
      <c r="AA11" s="13">
        <v>82</v>
      </c>
      <c r="AB11" s="13" t="s">
        <v>275</v>
      </c>
    </row>
    <row r="12" spans="1:28" ht="31.65" customHeight="1" x14ac:dyDescent="0.35">
      <c r="A12" s="9">
        <v>2013</v>
      </c>
      <c r="B12" s="9" t="s">
        <v>125</v>
      </c>
      <c r="C12" s="13">
        <v>56014</v>
      </c>
      <c r="D12" s="18">
        <v>10.5</v>
      </c>
      <c r="E12" s="13">
        <v>28828</v>
      </c>
      <c r="F12" s="13">
        <v>27186</v>
      </c>
      <c r="G12" s="13">
        <v>1060</v>
      </c>
      <c r="H12" s="13">
        <v>28816</v>
      </c>
      <c r="I12" s="15">
        <v>0.51400000000000001</v>
      </c>
      <c r="J12" s="13">
        <v>234</v>
      </c>
      <c r="K12" s="18">
        <v>4.2</v>
      </c>
      <c r="L12" s="13">
        <v>327</v>
      </c>
      <c r="M12" s="18">
        <v>5.8</v>
      </c>
      <c r="N12" s="13">
        <v>131</v>
      </c>
      <c r="O12" s="18">
        <v>2.2999999999999998</v>
      </c>
      <c r="P12" s="13">
        <v>186</v>
      </c>
      <c r="Q12" s="18">
        <v>3.3</v>
      </c>
      <c r="R12" s="13">
        <v>54700</v>
      </c>
      <c r="S12" s="18">
        <v>10.3</v>
      </c>
      <c r="T12" s="13">
        <v>26325</v>
      </c>
      <c r="U12" s="13">
        <v>28375</v>
      </c>
      <c r="V12" s="13">
        <v>27547</v>
      </c>
      <c r="W12" s="18">
        <v>5.2</v>
      </c>
      <c r="X12" s="13">
        <v>27547</v>
      </c>
      <c r="Y12" s="13" t="s">
        <v>275</v>
      </c>
      <c r="Z12" s="13">
        <v>217</v>
      </c>
      <c r="AA12" s="13">
        <v>313</v>
      </c>
      <c r="AB12" s="13" t="s">
        <v>275</v>
      </c>
    </row>
    <row r="13" spans="1:28" x14ac:dyDescent="0.35">
      <c r="A13" s="9">
        <v>2013</v>
      </c>
      <c r="B13" s="9" t="s">
        <v>126</v>
      </c>
      <c r="C13" s="13">
        <v>13862</v>
      </c>
      <c r="D13" s="18">
        <v>10.6</v>
      </c>
      <c r="E13" s="13">
        <v>7166</v>
      </c>
      <c r="F13" s="13">
        <v>6696</v>
      </c>
      <c r="G13" s="13">
        <v>1070</v>
      </c>
      <c r="H13" s="13">
        <v>7425</v>
      </c>
      <c r="I13" s="15">
        <v>0.53600000000000003</v>
      </c>
      <c r="J13" s="13">
        <v>54</v>
      </c>
      <c r="K13" s="18">
        <v>3.9</v>
      </c>
      <c r="L13" s="13">
        <v>78</v>
      </c>
      <c r="M13" s="18">
        <v>5.6</v>
      </c>
      <c r="N13" s="13">
        <v>30</v>
      </c>
      <c r="O13" s="18">
        <v>2.2000000000000002</v>
      </c>
      <c r="P13" s="13">
        <v>43</v>
      </c>
      <c r="Q13" s="18">
        <v>3.1</v>
      </c>
      <c r="R13" s="13">
        <v>15091</v>
      </c>
      <c r="S13" s="18">
        <v>11.5</v>
      </c>
      <c r="T13" s="13">
        <v>7146</v>
      </c>
      <c r="U13" s="13">
        <v>7945</v>
      </c>
      <c r="V13" s="13">
        <v>3258</v>
      </c>
      <c r="W13" s="18">
        <v>2.5</v>
      </c>
      <c r="X13" s="13">
        <v>3258</v>
      </c>
      <c r="Y13" s="13" t="s">
        <v>275</v>
      </c>
      <c r="Z13" s="13">
        <v>29</v>
      </c>
      <c r="AA13" s="13">
        <v>34</v>
      </c>
      <c r="AB13" s="13" t="s">
        <v>275</v>
      </c>
    </row>
    <row r="14" spans="1:28" x14ac:dyDescent="0.35">
      <c r="A14" s="9">
        <v>2013</v>
      </c>
      <c r="B14" s="9" t="s">
        <v>127</v>
      </c>
      <c r="C14" s="13">
        <v>13909</v>
      </c>
      <c r="D14" s="18">
        <v>10.5</v>
      </c>
      <c r="E14" s="13">
        <v>7097</v>
      </c>
      <c r="F14" s="13">
        <v>6812</v>
      </c>
      <c r="G14" s="13">
        <v>1042</v>
      </c>
      <c r="H14" s="13">
        <v>7059</v>
      </c>
      <c r="I14" s="15">
        <v>0.50800000000000001</v>
      </c>
      <c r="J14" s="13">
        <v>55</v>
      </c>
      <c r="K14" s="18">
        <v>3.9</v>
      </c>
      <c r="L14" s="13">
        <v>79</v>
      </c>
      <c r="M14" s="18">
        <v>5.7</v>
      </c>
      <c r="N14" s="13">
        <v>33</v>
      </c>
      <c r="O14" s="18">
        <v>2.4</v>
      </c>
      <c r="P14" s="13">
        <v>44</v>
      </c>
      <c r="Q14" s="18">
        <v>3.2</v>
      </c>
      <c r="R14" s="13">
        <v>13735</v>
      </c>
      <c r="S14" s="18">
        <v>10.4</v>
      </c>
      <c r="T14" s="13">
        <v>6630</v>
      </c>
      <c r="U14" s="13">
        <v>7105</v>
      </c>
      <c r="V14" s="13">
        <v>8113</v>
      </c>
      <c r="W14" s="18">
        <v>6.1</v>
      </c>
      <c r="X14" s="13">
        <v>8113</v>
      </c>
      <c r="Y14" s="13" t="s">
        <v>275</v>
      </c>
      <c r="Z14" s="13">
        <v>63</v>
      </c>
      <c r="AA14" s="13">
        <v>78</v>
      </c>
      <c r="AB14" s="13" t="s">
        <v>275</v>
      </c>
    </row>
    <row r="15" spans="1:28" x14ac:dyDescent="0.35">
      <c r="A15" s="9">
        <v>2013</v>
      </c>
      <c r="B15" s="9" t="s">
        <v>128</v>
      </c>
      <c r="C15" s="13">
        <v>14508</v>
      </c>
      <c r="D15" s="18">
        <v>10.8</v>
      </c>
      <c r="E15" s="13">
        <v>7430</v>
      </c>
      <c r="F15" s="13">
        <v>7078</v>
      </c>
      <c r="G15" s="13">
        <v>1050</v>
      </c>
      <c r="H15" s="13">
        <v>7310</v>
      </c>
      <c r="I15" s="15">
        <v>0.504</v>
      </c>
      <c r="J15" s="13">
        <v>66</v>
      </c>
      <c r="K15" s="18">
        <v>4.5</v>
      </c>
      <c r="L15" s="13">
        <v>90</v>
      </c>
      <c r="M15" s="18">
        <v>6.2</v>
      </c>
      <c r="N15" s="13">
        <v>37</v>
      </c>
      <c r="O15" s="18">
        <v>2.6</v>
      </c>
      <c r="P15" s="13">
        <v>44</v>
      </c>
      <c r="Q15" s="18">
        <v>3</v>
      </c>
      <c r="R15" s="13">
        <v>12224</v>
      </c>
      <c r="S15" s="18">
        <v>9.1</v>
      </c>
      <c r="T15" s="13">
        <v>5941</v>
      </c>
      <c r="U15" s="13">
        <v>6283</v>
      </c>
      <c r="V15" s="13">
        <v>10312</v>
      </c>
      <c r="W15" s="18">
        <v>7.7</v>
      </c>
      <c r="X15" s="13">
        <v>10312</v>
      </c>
      <c r="Y15" s="13" t="s">
        <v>275</v>
      </c>
      <c r="Z15" s="13">
        <v>88</v>
      </c>
      <c r="AA15" s="13">
        <v>106</v>
      </c>
      <c r="AB15" s="13" t="s">
        <v>275</v>
      </c>
    </row>
    <row r="16" spans="1:28" x14ac:dyDescent="0.35">
      <c r="A16" s="9">
        <v>2013</v>
      </c>
      <c r="B16" s="9" t="s">
        <v>129</v>
      </c>
      <c r="C16" s="13">
        <v>13735</v>
      </c>
      <c r="D16" s="18">
        <v>10.199999999999999</v>
      </c>
      <c r="E16" s="13">
        <v>7135</v>
      </c>
      <c r="F16" s="13">
        <v>6600</v>
      </c>
      <c r="G16" s="13">
        <v>1081</v>
      </c>
      <c r="H16" s="13">
        <v>7022</v>
      </c>
      <c r="I16" s="15">
        <v>0.51100000000000001</v>
      </c>
      <c r="J16" s="13">
        <v>59</v>
      </c>
      <c r="K16" s="18">
        <v>4.3</v>
      </c>
      <c r="L16" s="13">
        <v>80</v>
      </c>
      <c r="M16" s="18">
        <v>5.8</v>
      </c>
      <c r="N16" s="13">
        <v>31</v>
      </c>
      <c r="O16" s="18">
        <v>2.2999999999999998</v>
      </c>
      <c r="P16" s="13">
        <v>55</v>
      </c>
      <c r="Q16" s="18">
        <v>4</v>
      </c>
      <c r="R16" s="13">
        <v>13650</v>
      </c>
      <c r="S16" s="18">
        <v>10.199999999999999</v>
      </c>
      <c r="T16" s="13">
        <v>6608</v>
      </c>
      <c r="U16" s="13">
        <v>7042</v>
      </c>
      <c r="V16" s="13">
        <v>5864</v>
      </c>
      <c r="W16" s="18">
        <v>4.4000000000000004</v>
      </c>
      <c r="X16" s="13">
        <v>5864</v>
      </c>
      <c r="Y16" s="13" t="s">
        <v>275</v>
      </c>
      <c r="Z16" s="13">
        <v>37</v>
      </c>
      <c r="AA16" s="13">
        <v>95</v>
      </c>
      <c r="AB16" s="13" t="s">
        <v>275</v>
      </c>
    </row>
    <row r="17" spans="1:28" ht="31.65" customHeight="1" x14ac:dyDescent="0.35">
      <c r="A17" s="9">
        <v>2014</v>
      </c>
      <c r="B17" s="9" t="s">
        <v>125</v>
      </c>
      <c r="C17" s="13">
        <v>56725</v>
      </c>
      <c r="D17" s="18">
        <v>10.6</v>
      </c>
      <c r="E17" s="13">
        <v>29056</v>
      </c>
      <c r="F17" s="13">
        <v>27669</v>
      </c>
      <c r="G17" s="13">
        <v>1050</v>
      </c>
      <c r="H17" s="13">
        <v>28821</v>
      </c>
      <c r="I17" s="15">
        <v>0.50800000000000001</v>
      </c>
      <c r="J17" s="13">
        <v>228</v>
      </c>
      <c r="K17" s="18">
        <v>4</v>
      </c>
      <c r="L17" s="13">
        <v>334</v>
      </c>
      <c r="M17" s="18">
        <v>5.9</v>
      </c>
      <c r="N17" s="13">
        <v>137</v>
      </c>
      <c r="O17" s="18">
        <v>2.4</v>
      </c>
      <c r="P17" s="13">
        <v>207</v>
      </c>
      <c r="Q17" s="18">
        <v>3.6</v>
      </c>
      <c r="R17" s="13">
        <v>54239</v>
      </c>
      <c r="S17" s="18">
        <v>10.199999999999999</v>
      </c>
      <c r="T17" s="13">
        <v>26289</v>
      </c>
      <c r="U17" s="13">
        <v>27950</v>
      </c>
      <c r="V17" s="13">
        <v>29069</v>
      </c>
      <c r="W17" s="18">
        <v>5.5</v>
      </c>
      <c r="X17" s="13">
        <v>28702</v>
      </c>
      <c r="Y17" s="13">
        <v>367</v>
      </c>
      <c r="Z17" s="13">
        <v>193</v>
      </c>
      <c r="AA17" s="13">
        <v>243</v>
      </c>
      <c r="AB17" s="13" t="s">
        <v>275</v>
      </c>
    </row>
    <row r="18" spans="1:28" x14ac:dyDescent="0.35">
      <c r="A18" s="9">
        <v>2014</v>
      </c>
      <c r="B18" s="9" t="s">
        <v>126</v>
      </c>
      <c r="C18" s="13">
        <v>13930</v>
      </c>
      <c r="D18" s="18">
        <v>10.6</v>
      </c>
      <c r="E18" s="13">
        <v>7109</v>
      </c>
      <c r="F18" s="13">
        <v>6821</v>
      </c>
      <c r="G18" s="13">
        <v>1042</v>
      </c>
      <c r="H18" s="13">
        <v>7153</v>
      </c>
      <c r="I18" s="15">
        <v>0.51300000000000001</v>
      </c>
      <c r="J18" s="13">
        <v>73</v>
      </c>
      <c r="K18" s="18">
        <v>5.2</v>
      </c>
      <c r="L18" s="13">
        <v>96</v>
      </c>
      <c r="M18" s="18">
        <v>6.9</v>
      </c>
      <c r="N18" s="13">
        <v>30</v>
      </c>
      <c r="O18" s="18">
        <v>2.2000000000000002</v>
      </c>
      <c r="P18" s="13">
        <v>48</v>
      </c>
      <c r="Q18" s="18">
        <v>3.4</v>
      </c>
      <c r="R18" s="13">
        <v>13959</v>
      </c>
      <c r="S18" s="18">
        <v>10.6</v>
      </c>
      <c r="T18" s="13">
        <v>6693</v>
      </c>
      <c r="U18" s="13">
        <v>7266</v>
      </c>
      <c r="V18" s="13">
        <v>3549</v>
      </c>
      <c r="W18" s="18">
        <v>2.7</v>
      </c>
      <c r="X18" s="13">
        <v>3549</v>
      </c>
      <c r="Y18" s="13" t="s">
        <v>275</v>
      </c>
      <c r="Z18" s="13">
        <v>31</v>
      </c>
      <c r="AA18" s="13">
        <v>46</v>
      </c>
      <c r="AB18" s="13" t="s">
        <v>275</v>
      </c>
    </row>
    <row r="19" spans="1:28" x14ac:dyDescent="0.35">
      <c r="A19" s="9">
        <v>2014</v>
      </c>
      <c r="B19" s="9" t="s">
        <v>127</v>
      </c>
      <c r="C19" s="13">
        <v>14021</v>
      </c>
      <c r="D19" s="18">
        <v>10.5</v>
      </c>
      <c r="E19" s="13">
        <v>7216</v>
      </c>
      <c r="F19" s="13">
        <v>6805</v>
      </c>
      <c r="G19" s="13">
        <v>1060</v>
      </c>
      <c r="H19" s="13">
        <v>7039</v>
      </c>
      <c r="I19" s="15">
        <v>0.502</v>
      </c>
      <c r="J19" s="13">
        <v>51</v>
      </c>
      <c r="K19" s="18">
        <v>3.6</v>
      </c>
      <c r="L19" s="13">
        <v>85</v>
      </c>
      <c r="M19" s="18">
        <v>6</v>
      </c>
      <c r="N19" s="13">
        <v>40</v>
      </c>
      <c r="O19" s="18">
        <v>2.9</v>
      </c>
      <c r="P19" s="13">
        <v>53</v>
      </c>
      <c r="Q19" s="18">
        <v>3.8</v>
      </c>
      <c r="R19" s="13">
        <v>12846</v>
      </c>
      <c r="S19" s="18">
        <v>9.6999999999999993</v>
      </c>
      <c r="T19" s="13">
        <v>6283</v>
      </c>
      <c r="U19" s="13">
        <v>6563</v>
      </c>
      <c r="V19" s="13">
        <v>8342</v>
      </c>
      <c r="W19" s="18">
        <v>6.3</v>
      </c>
      <c r="X19" s="13">
        <v>8342</v>
      </c>
      <c r="Y19" s="13" t="s">
        <v>275</v>
      </c>
      <c r="Z19" s="13">
        <v>54</v>
      </c>
      <c r="AA19" s="13">
        <v>75</v>
      </c>
      <c r="AB19" s="13" t="s">
        <v>275</v>
      </c>
    </row>
    <row r="20" spans="1:28" x14ac:dyDescent="0.35">
      <c r="A20" s="9">
        <v>2014</v>
      </c>
      <c r="B20" s="9" t="s">
        <v>128</v>
      </c>
      <c r="C20" s="13">
        <v>14929</v>
      </c>
      <c r="D20" s="18">
        <v>11.1</v>
      </c>
      <c r="E20" s="13">
        <v>7644</v>
      </c>
      <c r="F20" s="13">
        <v>7285</v>
      </c>
      <c r="G20" s="13">
        <v>1049</v>
      </c>
      <c r="H20" s="13">
        <v>7494</v>
      </c>
      <c r="I20" s="15">
        <v>0.502</v>
      </c>
      <c r="J20" s="13">
        <v>45</v>
      </c>
      <c r="K20" s="18">
        <v>3</v>
      </c>
      <c r="L20" s="13">
        <v>70</v>
      </c>
      <c r="M20" s="18">
        <v>4.7</v>
      </c>
      <c r="N20" s="13">
        <v>34</v>
      </c>
      <c r="O20" s="18">
        <v>2.2999999999999998</v>
      </c>
      <c r="P20" s="13">
        <v>52</v>
      </c>
      <c r="Q20" s="18">
        <v>3.5</v>
      </c>
      <c r="R20" s="13">
        <v>12938</v>
      </c>
      <c r="S20" s="18">
        <v>9.6</v>
      </c>
      <c r="T20" s="13">
        <v>6321</v>
      </c>
      <c r="U20" s="13">
        <v>6617</v>
      </c>
      <c r="V20" s="13">
        <v>11038</v>
      </c>
      <c r="W20" s="18">
        <v>8.1999999999999993</v>
      </c>
      <c r="X20" s="13">
        <v>11038</v>
      </c>
      <c r="Y20" s="13" t="s">
        <v>275</v>
      </c>
      <c r="Z20" s="13">
        <v>65</v>
      </c>
      <c r="AA20" s="13">
        <v>75</v>
      </c>
      <c r="AB20" s="13" t="s">
        <v>275</v>
      </c>
    </row>
    <row r="21" spans="1:28" x14ac:dyDescent="0.35">
      <c r="A21" s="9">
        <v>2014</v>
      </c>
      <c r="B21" s="9" t="s">
        <v>129</v>
      </c>
      <c r="C21" s="13">
        <v>13845</v>
      </c>
      <c r="D21" s="18">
        <v>10.3</v>
      </c>
      <c r="E21" s="13">
        <v>7087</v>
      </c>
      <c r="F21" s="13">
        <v>6758</v>
      </c>
      <c r="G21" s="13">
        <v>1049</v>
      </c>
      <c r="H21" s="13">
        <v>7135</v>
      </c>
      <c r="I21" s="15">
        <v>0.51500000000000001</v>
      </c>
      <c r="J21" s="13">
        <v>59</v>
      </c>
      <c r="K21" s="18">
        <v>4.2</v>
      </c>
      <c r="L21" s="13">
        <v>83</v>
      </c>
      <c r="M21" s="18">
        <v>6</v>
      </c>
      <c r="N21" s="13">
        <v>33</v>
      </c>
      <c r="O21" s="18">
        <v>2.4</v>
      </c>
      <c r="P21" s="13">
        <v>54</v>
      </c>
      <c r="Q21" s="18">
        <v>3.9</v>
      </c>
      <c r="R21" s="13">
        <v>14496</v>
      </c>
      <c r="S21" s="18">
        <v>10.8</v>
      </c>
      <c r="T21" s="13">
        <v>6992</v>
      </c>
      <c r="U21" s="13">
        <v>7504</v>
      </c>
      <c r="V21" s="13">
        <v>6140</v>
      </c>
      <c r="W21" s="18">
        <v>4.5999999999999996</v>
      </c>
      <c r="X21" s="13">
        <v>5773</v>
      </c>
      <c r="Y21" s="13">
        <v>367</v>
      </c>
      <c r="Z21" s="13">
        <v>43</v>
      </c>
      <c r="AA21" s="13">
        <v>47</v>
      </c>
      <c r="AB21" s="13" t="s">
        <v>275</v>
      </c>
    </row>
    <row r="22" spans="1:28" ht="31.65" customHeight="1" x14ac:dyDescent="0.35">
      <c r="A22" s="9">
        <v>2015</v>
      </c>
      <c r="B22" s="9" t="s">
        <v>125</v>
      </c>
      <c r="C22" s="13">
        <v>55098</v>
      </c>
      <c r="D22" s="18">
        <v>10.3</v>
      </c>
      <c r="E22" s="13">
        <v>28354</v>
      </c>
      <c r="F22" s="13">
        <v>26744</v>
      </c>
      <c r="G22" s="13">
        <v>1060</v>
      </c>
      <c r="H22" s="13">
        <v>28210</v>
      </c>
      <c r="I22" s="15">
        <v>0.51200000000000001</v>
      </c>
      <c r="J22" s="13">
        <v>211</v>
      </c>
      <c r="K22" s="18">
        <v>3.8</v>
      </c>
      <c r="L22" s="13">
        <v>291</v>
      </c>
      <c r="M22" s="18">
        <v>5.3</v>
      </c>
      <c r="N22" s="13">
        <v>112</v>
      </c>
      <c r="O22" s="18">
        <v>2</v>
      </c>
      <c r="P22" s="13">
        <v>175</v>
      </c>
      <c r="Q22" s="18">
        <v>3.2</v>
      </c>
      <c r="R22" s="13">
        <v>57579</v>
      </c>
      <c r="S22" s="18">
        <v>10.8</v>
      </c>
      <c r="T22" s="13">
        <v>27905</v>
      </c>
      <c r="U22" s="13">
        <v>29674</v>
      </c>
      <c r="V22" s="13">
        <v>29691</v>
      </c>
      <c r="W22" s="18">
        <v>5.5</v>
      </c>
      <c r="X22" s="13">
        <v>28020</v>
      </c>
      <c r="Y22" s="13">
        <v>1671</v>
      </c>
      <c r="Z22" s="13">
        <v>33</v>
      </c>
      <c r="AA22" s="13">
        <v>31</v>
      </c>
      <c r="AB22" s="13" t="s">
        <v>275</v>
      </c>
    </row>
    <row r="23" spans="1:28" x14ac:dyDescent="0.35">
      <c r="A23" s="9">
        <v>2015</v>
      </c>
      <c r="B23" s="9" t="s">
        <v>126</v>
      </c>
      <c r="C23" s="13">
        <v>13319</v>
      </c>
      <c r="D23" s="18">
        <v>10.1</v>
      </c>
      <c r="E23" s="13">
        <v>6813</v>
      </c>
      <c r="F23" s="13">
        <v>6506</v>
      </c>
      <c r="G23" s="13">
        <v>1047</v>
      </c>
      <c r="H23" s="13">
        <v>6917</v>
      </c>
      <c r="I23" s="15">
        <v>0.51900000000000002</v>
      </c>
      <c r="J23" s="13">
        <v>50</v>
      </c>
      <c r="K23" s="18">
        <v>3.7</v>
      </c>
      <c r="L23" s="13">
        <v>71</v>
      </c>
      <c r="M23" s="18">
        <v>5.3</v>
      </c>
      <c r="N23" s="13">
        <v>34</v>
      </c>
      <c r="O23" s="18">
        <v>2.6</v>
      </c>
      <c r="P23" s="13">
        <v>58</v>
      </c>
      <c r="Q23" s="18">
        <v>4.4000000000000004</v>
      </c>
      <c r="R23" s="13">
        <v>16525</v>
      </c>
      <c r="S23" s="18">
        <v>12.5</v>
      </c>
      <c r="T23" s="13">
        <v>7778</v>
      </c>
      <c r="U23" s="13">
        <v>8747</v>
      </c>
      <c r="V23" s="13">
        <v>3888</v>
      </c>
      <c r="W23" s="18">
        <v>2.9</v>
      </c>
      <c r="X23" s="13">
        <v>3444</v>
      </c>
      <c r="Y23" s="13">
        <v>444</v>
      </c>
      <c r="Z23" s="13">
        <v>12</v>
      </c>
      <c r="AA23" s="13">
        <v>8</v>
      </c>
      <c r="AB23" s="13" t="s">
        <v>275</v>
      </c>
    </row>
    <row r="24" spans="1:28" x14ac:dyDescent="0.35">
      <c r="A24" s="9">
        <v>2015</v>
      </c>
      <c r="B24" s="9" t="s">
        <v>127</v>
      </c>
      <c r="C24" s="13">
        <v>13717</v>
      </c>
      <c r="D24" s="18">
        <v>10.3</v>
      </c>
      <c r="E24" s="13">
        <v>7101</v>
      </c>
      <c r="F24" s="13">
        <v>6616</v>
      </c>
      <c r="G24" s="13">
        <v>1073</v>
      </c>
      <c r="H24" s="13">
        <v>6846</v>
      </c>
      <c r="I24" s="15">
        <v>0.499</v>
      </c>
      <c r="J24" s="13">
        <v>56</v>
      </c>
      <c r="K24" s="18">
        <v>4.0999999999999996</v>
      </c>
      <c r="L24" s="13">
        <v>74</v>
      </c>
      <c r="M24" s="18">
        <v>5.4</v>
      </c>
      <c r="N24" s="13">
        <v>23</v>
      </c>
      <c r="O24" s="18">
        <v>1.7</v>
      </c>
      <c r="P24" s="13">
        <v>34</v>
      </c>
      <c r="Q24" s="18">
        <v>2.5</v>
      </c>
      <c r="R24" s="13">
        <v>13903</v>
      </c>
      <c r="S24" s="18">
        <v>10.4</v>
      </c>
      <c r="T24" s="13">
        <v>6782</v>
      </c>
      <c r="U24" s="13">
        <v>7121</v>
      </c>
      <c r="V24" s="13">
        <v>8187</v>
      </c>
      <c r="W24" s="18">
        <v>6.1</v>
      </c>
      <c r="X24" s="13">
        <v>7761</v>
      </c>
      <c r="Y24" s="13">
        <v>426</v>
      </c>
      <c r="Z24" s="13">
        <v>6</v>
      </c>
      <c r="AA24" s="13">
        <v>7</v>
      </c>
      <c r="AB24" s="13" t="s">
        <v>275</v>
      </c>
    </row>
    <row r="25" spans="1:28" x14ac:dyDescent="0.35">
      <c r="A25" s="9">
        <v>2015</v>
      </c>
      <c r="B25" s="9" t="s">
        <v>128</v>
      </c>
      <c r="C25" s="13">
        <v>14610</v>
      </c>
      <c r="D25" s="18">
        <v>10.8</v>
      </c>
      <c r="E25" s="13">
        <v>7498</v>
      </c>
      <c r="F25" s="13">
        <v>7112</v>
      </c>
      <c r="G25" s="13">
        <v>1054</v>
      </c>
      <c r="H25" s="13">
        <v>7410</v>
      </c>
      <c r="I25" s="15">
        <v>0.50700000000000001</v>
      </c>
      <c r="J25" s="13">
        <v>57</v>
      </c>
      <c r="K25" s="18">
        <v>3.9</v>
      </c>
      <c r="L25" s="13">
        <v>75</v>
      </c>
      <c r="M25" s="18">
        <v>5.0999999999999996</v>
      </c>
      <c r="N25" s="13">
        <v>26</v>
      </c>
      <c r="O25" s="18">
        <v>1.8</v>
      </c>
      <c r="P25" s="13">
        <v>44</v>
      </c>
      <c r="Q25" s="18">
        <v>3</v>
      </c>
      <c r="R25" s="13">
        <v>13086</v>
      </c>
      <c r="S25" s="18">
        <v>9.6999999999999993</v>
      </c>
      <c r="T25" s="13">
        <v>6436</v>
      </c>
      <c r="U25" s="13">
        <v>6650</v>
      </c>
      <c r="V25" s="13">
        <v>11434</v>
      </c>
      <c r="W25" s="18">
        <v>8.5</v>
      </c>
      <c r="X25" s="13">
        <v>10958</v>
      </c>
      <c r="Y25" s="13">
        <v>476</v>
      </c>
      <c r="Z25" s="13">
        <v>8</v>
      </c>
      <c r="AA25" s="13">
        <v>9</v>
      </c>
      <c r="AB25" s="13" t="s">
        <v>275</v>
      </c>
    </row>
    <row r="26" spans="1:28" x14ac:dyDescent="0.35">
      <c r="A26" s="9">
        <v>2015</v>
      </c>
      <c r="B26" s="9" t="s">
        <v>129</v>
      </c>
      <c r="C26" s="13">
        <v>13452</v>
      </c>
      <c r="D26" s="18">
        <v>10</v>
      </c>
      <c r="E26" s="13">
        <v>6942</v>
      </c>
      <c r="F26" s="13">
        <v>6510</v>
      </c>
      <c r="G26" s="13">
        <v>1066</v>
      </c>
      <c r="H26" s="13">
        <v>7037</v>
      </c>
      <c r="I26" s="15">
        <v>0.52300000000000002</v>
      </c>
      <c r="J26" s="13">
        <v>48</v>
      </c>
      <c r="K26" s="18">
        <v>3.6</v>
      </c>
      <c r="L26" s="13">
        <v>71</v>
      </c>
      <c r="M26" s="18">
        <v>5.3</v>
      </c>
      <c r="N26" s="13">
        <v>29</v>
      </c>
      <c r="O26" s="18">
        <v>2.2000000000000002</v>
      </c>
      <c r="P26" s="13">
        <v>39</v>
      </c>
      <c r="Q26" s="18">
        <v>2.9</v>
      </c>
      <c r="R26" s="13">
        <v>14065</v>
      </c>
      <c r="S26" s="18">
        <v>10.4</v>
      </c>
      <c r="T26" s="13">
        <v>6909</v>
      </c>
      <c r="U26" s="13">
        <v>7156</v>
      </c>
      <c r="V26" s="13">
        <v>6182</v>
      </c>
      <c r="W26" s="18">
        <v>4.5999999999999996</v>
      </c>
      <c r="X26" s="13">
        <v>5857</v>
      </c>
      <c r="Y26" s="13">
        <v>325</v>
      </c>
      <c r="Z26" s="13">
        <v>7</v>
      </c>
      <c r="AA26" s="13">
        <v>7</v>
      </c>
      <c r="AB26" s="13" t="s">
        <v>275</v>
      </c>
    </row>
    <row r="27" spans="1:28" ht="31.65" customHeight="1" x14ac:dyDescent="0.35">
      <c r="A27" s="9">
        <v>2016</v>
      </c>
      <c r="B27" s="9" t="s">
        <v>125</v>
      </c>
      <c r="C27" s="13">
        <v>54488</v>
      </c>
      <c r="D27" s="18">
        <v>10.1</v>
      </c>
      <c r="E27" s="13">
        <v>28236</v>
      </c>
      <c r="F27" s="13">
        <v>26252</v>
      </c>
      <c r="G27" s="13">
        <v>1076</v>
      </c>
      <c r="H27" s="13">
        <v>27727</v>
      </c>
      <c r="I27" s="15">
        <v>0.50900000000000001</v>
      </c>
      <c r="J27" s="13">
        <v>236</v>
      </c>
      <c r="K27" s="18">
        <v>4.3</v>
      </c>
      <c r="L27" s="13">
        <v>326</v>
      </c>
      <c r="M27" s="18">
        <v>6</v>
      </c>
      <c r="N27" s="13">
        <v>121</v>
      </c>
      <c r="O27" s="18">
        <v>2.2000000000000002</v>
      </c>
      <c r="P27" s="13">
        <v>181</v>
      </c>
      <c r="Q27" s="18">
        <v>3.3</v>
      </c>
      <c r="R27" s="13">
        <v>56728</v>
      </c>
      <c r="S27" s="18">
        <v>10.6</v>
      </c>
      <c r="T27" s="13">
        <v>27760</v>
      </c>
      <c r="U27" s="13">
        <v>28968</v>
      </c>
      <c r="V27" s="13">
        <v>29229</v>
      </c>
      <c r="W27" s="18">
        <v>5.4</v>
      </c>
      <c r="X27" s="13">
        <v>28231</v>
      </c>
      <c r="Y27" s="13">
        <v>998</v>
      </c>
      <c r="Z27" s="13">
        <v>42</v>
      </c>
      <c r="AA27" s="13">
        <v>28</v>
      </c>
      <c r="AB27" s="13" t="s">
        <v>275</v>
      </c>
    </row>
    <row r="28" spans="1:28" x14ac:dyDescent="0.35">
      <c r="A28" s="9">
        <v>2016</v>
      </c>
      <c r="B28" s="9" t="s">
        <v>126</v>
      </c>
      <c r="C28" s="13">
        <v>13307</v>
      </c>
      <c r="D28" s="18">
        <v>10</v>
      </c>
      <c r="E28" s="13">
        <v>6938</v>
      </c>
      <c r="F28" s="13">
        <v>6369</v>
      </c>
      <c r="G28" s="13">
        <v>1089</v>
      </c>
      <c r="H28" s="13">
        <v>6962</v>
      </c>
      <c r="I28" s="15">
        <v>0.52300000000000002</v>
      </c>
      <c r="J28" s="13">
        <v>61</v>
      </c>
      <c r="K28" s="18">
        <v>4.5999999999999996</v>
      </c>
      <c r="L28" s="13">
        <v>99</v>
      </c>
      <c r="M28" s="18">
        <v>7.4</v>
      </c>
      <c r="N28" s="13">
        <v>41</v>
      </c>
      <c r="O28" s="18">
        <v>3.1</v>
      </c>
      <c r="P28" s="13">
        <v>58</v>
      </c>
      <c r="Q28" s="18">
        <v>4.4000000000000004</v>
      </c>
      <c r="R28" s="13">
        <v>15488</v>
      </c>
      <c r="S28" s="18">
        <v>11.6</v>
      </c>
      <c r="T28" s="13">
        <v>7485</v>
      </c>
      <c r="U28" s="13">
        <v>8003</v>
      </c>
      <c r="V28" s="13">
        <v>3512</v>
      </c>
      <c r="W28" s="18">
        <v>2.6</v>
      </c>
      <c r="X28" s="13">
        <v>3357</v>
      </c>
      <c r="Y28" s="13">
        <v>155</v>
      </c>
      <c r="Z28" s="13">
        <v>8</v>
      </c>
      <c r="AA28" s="13">
        <v>4</v>
      </c>
      <c r="AB28" s="13" t="s">
        <v>275</v>
      </c>
    </row>
    <row r="29" spans="1:28" x14ac:dyDescent="0.35">
      <c r="A29" s="9">
        <v>2016</v>
      </c>
      <c r="B29" s="9" t="s">
        <v>127</v>
      </c>
      <c r="C29" s="13">
        <v>13930</v>
      </c>
      <c r="D29" s="18">
        <v>10.4</v>
      </c>
      <c r="E29" s="13">
        <v>7201</v>
      </c>
      <c r="F29" s="13">
        <v>6729</v>
      </c>
      <c r="G29" s="13">
        <v>1070</v>
      </c>
      <c r="H29" s="13">
        <v>7027</v>
      </c>
      <c r="I29" s="15">
        <v>0.504</v>
      </c>
      <c r="J29" s="13">
        <v>67</v>
      </c>
      <c r="K29" s="18">
        <v>4.8</v>
      </c>
      <c r="L29" s="13">
        <v>89</v>
      </c>
      <c r="M29" s="18">
        <v>6.4</v>
      </c>
      <c r="N29" s="13">
        <v>30</v>
      </c>
      <c r="O29" s="18">
        <v>2.2000000000000002</v>
      </c>
      <c r="P29" s="13">
        <v>45</v>
      </c>
      <c r="Q29" s="18">
        <v>3.2</v>
      </c>
      <c r="R29" s="13">
        <v>13466</v>
      </c>
      <c r="S29" s="18">
        <v>10.1</v>
      </c>
      <c r="T29" s="13">
        <v>6620</v>
      </c>
      <c r="U29" s="13">
        <v>6846</v>
      </c>
      <c r="V29" s="13">
        <v>8052</v>
      </c>
      <c r="W29" s="18">
        <v>6</v>
      </c>
      <c r="X29" s="13">
        <v>7770</v>
      </c>
      <c r="Y29" s="13">
        <v>282</v>
      </c>
      <c r="Z29" s="13">
        <v>9</v>
      </c>
      <c r="AA29" s="13">
        <v>7</v>
      </c>
      <c r="AB29" s="13" t="s">
        <v>275</v>
      </c>
    </row>
    <row r="30" spans="1:28" x14ac:dyDescent="0.35">
      <c r="A30" s="9">
        <v>2016</v>
      </c>
      <c r="B30" s="9" t="s">
        <v>128</v>
      </c>
      <c r="C30" s="13">
        <v>14258</v>
      </c>
      <c r="D30" s="18">
        <v>10.6</v>
      </c>
      <c r="E30" s="13">
        <v>7435</v>
      </c>
      <c r="F30" s="13">
        <v>6823</v>
      </c>
      <c r="G30" s="13">
        <v>1090</v>
      </c>
      <c r="H30" s="13">
        <v>7029</v>
      </c>
      <c r="I30" s="15">
        <v>0.49299999999999999</v>
      </c>
      <c r="J30" s="13">
        <v>64</v>
      </c>
      <c r="K30" s="18">
        <v>4.5</v>
      </c>
      <c r="L30" s="13">
        <v>81</v>
      </c>
      <c r="M30" s="18">
        <v>5.7</v>
      </c>
      <c r="N30" s="13">
        <v>26</v>
      </c>
      <c r="O30" s="18">
        <v>1.8</v>
      </c>
      <c r="P30" s="13">
        <v>40</v>
      </c>
      <c r="Q30" s="18">
        <v>2.8</v>
      </c>
      <c r="R30" s="13">
        <v>13202</v>
      </c>
      <c r="S30" s="18">
        <v>9.8000000000000007</v>
      </c>
      <c r="T30" s="13">
        <v>6542</v>
      </c>
      <c r="U30" s="13">
        <v>6660</v>
      </c>
      <c r="V30" s="13">
        <v>11299</v>
      </c>
      <c r="W30" s="18">
        <v>8.4</v>
      </c>
      <c r="X30" s="13">
        <v>10946</v>
      </c>
      <c r="Y30" s="13">
        <v>353</v>
      </c>
      <c r="Z30" s="13">
        <v>17</v>
      </c>
      <c r="AA30" s="13">
        <v>8</v>
      </c>
      <c r="AB30" s="13" t="s">
        <v>275</v>
      </c>
    </row>
    <row r="31" spans="1:28" x14ac:dyDescent="0.35">
      <c r="A31" s="9">
        <v>2016</v>
      </c>
      <c r="B31" s="9" t="s">
        <v>129</v>
      </c>
      <c r="C31" s="13">
        <v>12993</v>
      </c>
      <c r="D31" s="18">
        <v>9.6</v>
      </c>
      <c r="E31" s="13">
        <v>6662</v>
      </c>
      <c r="F31" s="13">
        <v>6331</v>
      </c>
      <c r="G31" s="13">
        <v>1052</v>
      </c>
      <c r="H31" s="13">
        <v>6709</v>
      </c>
      <c r="I31" s="15">
        <v>0.51600000000000001</v>
      </c>
      <c r="J31" s="13">
        <v>44</v>
      </c>
      <c r="K31" s="18">
        <v>3.4</v>
      </c>
      <c r="L31" s="13">
        <v>57</v>
      </c>
      <c r="M31" s="18">
        <v>4.4000000000000004</v>
      </c>
      <c r="N31" s="13">
        <v>24</v>
      </c>
      <c r="O31" s="18">
        <v>1.8</v>
      </c>
      <c r="P31" s="13">
        <v>38</v>
      </c>
      <c r="Q31" s="18">
        <v>2.9</v>
      </c>
      <c r="R31" s="13">
        <v>14572</v>
      </c>
      <c r="S31" s="18">
        <v>10.8</v>
      </c>
      <c r="T31" s="13">
        <v>7113</v>
      </c>
      <c r="U31" s="13">
        <v>7459</v>
      </c>
      <c r="V31" s="13">
        <v>6366</v>
      </c>
      <c r="W31" s="18">
        <v>4.7</v>
      </c>
      <c r="X31" s="13">
        <v>6158</v>
      </c>
      <c r="Y31" s="13">
        <v>208</v>
      </c>
      <c r="Z31" s="13">
        <v>8</v>
      </c>
      <c r="AA31" s="13">
        <v>9</v>
      </c>
      <c r="AB31" s="13" t="s">
        <v>275</v>
      </c>
    </row>
    <row r="32" spans="1:28" ht="31.65" customHeight="1" x14ac:dyDescent="0.35">
      <c r="A32" s="9">
        <v>2017</v>
      </c>
      <c r="B32" s="9" t="s">
        <v>125</v>
      </c>
      <c r="C32" s="13">
        <v>52861</v>
      </c>
      <c r="D32" s="18">
        <v>9.8000000000000007</v>
      </c>
      <c r="E32" s="13">
        <v>27215</v>
      </c>
      <c r="F32" s="13">
        <v>25646</v>
      </c>
      <c r="G32" s="13">
        <v>1061</v>
      </c>
      <c r="H32" s="13">
        <v>27003</v>
      </c>
      <c r="I32" s="15">
        <v>0.51100000000000001</v>
      </c>
      <c r="J32" s="13">
        <v>225</v>
      </c>
      <c r="K32" s="18">
        <v>4.2</v>
      </c>
      <c r="L32" s="13">
        <v>304</v>
      </c>
      <c r="M32" s="18">
        <v>5.7</v>
      </c>
      <c r="N32" s="13">
        <v>119</v>
      </c>
      <c r="O32" s="18">
        <v>2.2999999999999998</v>
      </c>
      <c r="P32" s="13">
        <v>176</v>
      </c>
      <c r="Q32" s="18">
        <v>3.3</v>
      </c>
      <c r="R32" s="13">
        <v>57883</v>
      </c>
      <c r="S32" s="18">
        <v>10.7</v>
      </c>
      <c r="T32" s="13">
        <v>28250</v>
      </c>
      <c r="U32" s="13">
        <v>29633</v>
      </c>
      <c r="V32" s="13">
        <v>28440</v>
      </c>
      <c r="W32" s="18">
        <v>5.3</v>
      </c>
      <c r="X32" s="13">
        <v>27458</v>
      </c>
      <c r="Y32" s="13">
        <v>982</v>
      </c>
      <c r="Z32" s="13">
        <v>41</v>
      </c>
      <c r="AA32" s="13">
        <v>29</v>
      </c>
      <c r="AB32" s="13" t="s">
        <v>275</v>
      </c>
    </row>
    <row r="33" spans="1:28" x14ac:dyDescent="0.35">
      <c r="A33" s="9">
        <v>2017</v>
      </c>
      <c r="B33" s="9" t="s">
        <v>126</v>
      </c>
      <c r="C33" s="13">
        <v>13252</v>
      </c>
      <c r="D33" s="18">
        <v>10</v>
      </c>
      <c r="E33" s="13">
        <v>6791</v>
      </c>
      <c r="F33" s="13">
        <v>6461</v>
      </c>
      <c r="G33" s="13">
        <v>1051</v>
      </c>
      <c r="H33" s="13">
        <v>6924</v>
      </c>
      <c r="I33" s="15">
        <v>0.52200000000000002</v>
      </c>
      <c r="J33" s="13">
        <v>58</v>
      </c>
      <c r="K33" s="18">
        <v>4.4000000000000004</v>
      </c>
      <c r="L33" s="13">
        <v>74</v>
      </c>
      <c r="M33" s="18">
        <v>5.6</v>
      </c>
      <c r="N33" s="13">
        <v>27</v>
      </c>
      <c r="O33" s="18">
        <v>2</v>
      </c>
      <c r="P33" s="13">
        <v>44</v>
      </c>
      <c r="Q33" s="18">
        <v>3.3</v>
      </c>
      <c r="R33" s="13">
        <v>15711</v>
      </c>
      <c r="S33" s="18">
        <v>11.8</v>
      </c>
      <c r="T33" s="13">
        <v>7450</v>
      </c>
      <c r="U33" s="13">
        <v>8261</v>
      </c>
      <c r="V33" s="13">
        <v>3578</v>
      </c>
      <c r="W33" s="18">
        <v>2.7</v>
      </c>
      <c r="X33" s="13">
        <v>3433</v>
      </c>
      <c r="Y33" s="13">
        <v>145</v>
      </c>
      <c r="Z33" s="13">
        <v>4</v>
      </c>
      <c r="AA33" s="13">
        <v>6</v>
      </c>
      <c r="AB33" s="13" t="s">
        <v>275</v>
      </c>
    </row>
    <row r="34" spans="1:28" x14ac:dyDescent="0.35">
      <c r="A34" s="9">
        <v>2017</v>
      </c>
      <c r="B34" s="9" t="s">
        <v>127</v>
      </c>
      <c r="C34" s="13">
        <v>12955</v>
      </c>
      <c r="D34" s="18">
        <v>9.6</v>
      </c>
      <c r="E34" s="13">
        <v>6733</v>
      </c>
      <c r="F34" s="13">
        <v>6222</v>
      </c>
      <c r="G34" s="13">
        <v>1082</v>
      </c>
      <c r="H34" s="13">
        <v>6542</v>
      </c>
      <c r="I34" s="15">
        <v>0.505</v>
      </c>
      <c r="J34" s="13">
        <v>48</v>
      </c>
      <c r="K34" s="18">
        <v>3.7</v>
      </c>
      <c r="L34" s="13">
        <v>69</v>
      </c>
      <c r="M34" s="18">
        <v>5.3</v>
      </c>
      <c r="N34" s="13">
        <v>30</v>
      </c>
      <c r="O34" s="18">
        <v>2.2999999999999998</v>
      </c>
      <c r="P34" s="13">
        <v>46</v>
      </c>
      <c r="Q34" s="18">
        <v>3.6</v>
      </c>
      <c r="R34" s="13">
        <v>13789</v>
      </c>
      <c r="S34" s="18">
        <v>10.3</v>
      </c>
      <c r="T34" s="13">
        <v>6762</v>
      </c>
      <c r="U34" s="13">
        <v>7027</v>
      </c>
      <c r="V34" s="13">
        <v>8017</v>
      </c>
      <c r="W34" s="18">
        <v>6</v>
      </c>
      <c r="X34" s="13">
        <v>7777</v>
      </c>
      <c r="Y34" s="13">
        <v>240</v>
      </c>
      <c r="Z34" s="13">
        <v>6</v>
      </c>
      <c r="AA34" s="13">
        <v>4</v>
      </c>
      <c r="AB34" s="13" t="s">
        <v>275</v>
      </c>
    </row>
    <row r="35" spans="1:28" x14ac:dyDescent="0.35">
      <c r="A35" s="9">
        <v>2017</v>
      </c>
      <c r="B35" s="9" t="s">
        <v>128</v>
      </c>
      <c r="C35" s="13">
        <v>13840</v>
      </c>
      <c r="D35" s="18">
        <v>10.199999999999999</v>
      </c>
      <c r="E35" s="13">
        <v>7128</v>
      </c>
      <c r="F35" s="13">
        <v>6712</v>
      </c>
      <c r="G35" s="13">
        <v>1062</v>
      </c>
      <c r="H35" s="13">
        <v>6913</v>
      </c>
      <c r="I35" s="15">
        <v>0.499</v>
      </c>
      <c r="J35" s="13">
        <v>64</v>
      </c>
      <c r="K35" s="18">
        <v>4.5999999999999996</v>
      </c>
      <c r="L35" s="13">
        <v>88</v>
      </c>
      <c r="M35" s="18">
        <v>6.3</v>
      </c>
      <c r="N35" s="13">
        <v>31</v>
      </c>
      <c r="O35" s="18">
        <v>2.2000000000000002</v>
      </c>
      <c r="P35" s="13">
        <v>40</v>
      </c>
      <c r="Q35" s="18">
        <v>2.9</v>
      </c>
      <c r="R35" s="13">
        <v>13185</v>
      </c>
      <c r="S35" s="18">
        <v>9.6999999999999993</v>
      </c>
      <c r="T35" s="13">
        <v>6545</v>
      </c>
      <c r="U35" s="13">
        <v>6640</v>
      </c>
      <c r="V35" s="13">
        <v>10870</v>
      </c>
      <c r="W35" s="18">
        <v>8</v>
      </c>
      <c r="X35" s="13">
        <v>10501</v>
      </c>
      <c r="Y35" s="13">
        <v>369</v>
      </c>
      <c r="Z35" s="13">
        <v>17</v>
      </c>
      <c r="AA35" s="13">
        <v>10</v>
      </c>
      <c r="AB35" s="13" t="s">
        <v>275</v>
      </c>
    </row>
    <row r="36" spans="1:28" x14ac:dyDescent="0.35">
      <c r="A36" s="9">
        <v>2017</v>
      </c>
      <c r="B36" s="9" t="s">
        <v>129</v>
      </c>
      <c r="C36" s="13">
        <v>12814</v>
      </c>
      <c r="D36" s="18">
        <v>9.4</v>
      </c>
      <c r="E36" s="13">
        <v>6563</v>
      </c>
      <c r="F36" s="13">
        <v>6251</v>
      </c>
      <c r="G36" s="13">
        <v>1050</v>
      </c>
      <c r="H36" s="13">
        <v>6624</v>
      </c>
      <c r="I36" s="15">
        <v>0.51700000000000002</v>
      </c>
      <c r="J36" s="13">
        <v>55</v>
      </c>
      <c r="K36" s="18">
        <v>4.3</v>
      </c>
      <c r="L36" s="13">
        <v>73</v>
      </c>
      <c r="M36" s="18">
        <v>5.7</v>
      </c>
      <c r="N36" s="13">
        <v>31</v>
      </c>
      <c r="O36" s="18">
        <v>2.4</v>
      </c>
      <c r="P36" s="13">
        <v>46</v>
      </c>
      <c r="Q36" s="18">
        <v>3.6</v>
      </c>
      <c r="R36" s="13">
        <v>15198</v>
      </c>
      <c r="S36" s="18">
        <v>11.2</v>
      </c>
      <c r="T36" s="13">
        <v>7493</v>
      </c>
      <c r="U36" s="13">
        <v>7705</v>
      </c>
      <c r="V36" s="13">
        <v>5975</v>
      </c>
      <c r="W36" s="18">
        <v>4.4000000000000004</v>
      </c>
      <c r="X36" s="13">
        <v>5747</v>
      </c>
      <c r="Y36" s="13">
        <v>228</v>
      </c>
      <c r="Z36" s="13">
        <v>14</v>
      </c>
      <c r="AA36" s="13">
        <v>9</v>
      </c>
      <c r="AB36" s="13" t="s">
        <v>275</v>
      </c>
    </row>
    <row r="37" spans="1:28" ht="31.65" customHeight="1" x14ac:dyDescent="0.35">
      <c r="A37" s="9">
        <v>2018</v>
      </c>
      <c r="B37" s="9" t="s">
        <v>125</v>
      </c>
      <c r="C37" s="13">
        <v>51308</v>
      </c>
      <c r="D37" s="18">
        <v>9.5</v>
      </c>
      <c r="E37" s="13">
        <v>26332</v>
      </c>
      <c r="F37" s="13">
        <v>24976</v>
      </c>
      <c r="G37" s="13">
        <v>1054</v>
      </c>
      <c r="H37" s="13">
        <v>26143</v>
      </c>
      <c r="I37" s="15">
        <v>0.51</v>
      </c>
      <c r="J37" s="13">
        <v>190</v>
      </c>
      <c r="K37" s="18">
        <v>3.7</v>
      </c>
      <c r="L37" s="13">
        <v>264</v>
      </c>
      <c r="M37" s="18">
        <v>5.0999999999999996</v>
      </c>
      <c r="N37" s="13">
        <v>103</v>
      </c>
      <c r="O37" s="18">
        <v>2</v>
      </c>
      <c r="P37" s="13">
        <v>163</v>
      </c>
      <c r="Q37" s="18">
        <v>3.2</v>
      </c>
      <c r="R37" s="13">
        <v>58503</v>
      </c>
      <c r="S37" s="18">
        <v>10.8</v>
      </c>
      <c r="T37" s="13">
        <v>28642</v>
      </c>
      <c r="U37" s="13">
        <v>29861</v>
      </c>
      <c r="V37" s="13">
        <v>27525</v>
      </c>
      <c r="W37" s="18">
        <v>5.0999999999999996</v>
      </c>
      <c r="X37" s="13">
        <v>26546</v>
      </c>
      <c r="Y37" s="13">
        <v>979</v>
      </c>
      <c r="Z37" s="13">
        <v>38</v>
      </c>
      <c r="AA37" s="13">
        <v>27</v>
      </c>
      <c r="AB37" s="13" t="s">
        <v>275</v>
      </c>
    </row>
    <row r="38" spans="1:28" x14ac:dyDescent="0.35">
      <c r="A38" s="9">
        <v>2018</v>
      </c>
      <c r="B38" s="9" t="s">
        <v>126</v>
      </c>
      <c r="C38" s="13">
        <v>12691</v>
      </c>
      <c r="D38" s="18">
        <v>9.5</v>
      </c>
      <c r="E38" s="13">
        <v>6486</v>
      </c>
      <c r="F38" s="13">
        <v>6205</v>
      </c>
      <c r="G38" s="13">
        <v>1045</v>
      </c>
      <c r="H38" s="13">
        <v>6547</v>
      </c>
      <c r="I38" s="15">
        <v>0.51600000000000001</v>
      </c>
      <c r="J38" s="13">
        <v>56</v>
      </c>
      <c r="K38" s="18">
        <v>4.4000000000000004</v>
      </c>
      <c r="L38" s="13">
        <v>76</v>
      </c>
      <c r="M38" s="18">
        <v>6</v>
      </c>
      <c r="N38" s="13">
        <v>23</v>
      </c>
      <c r="O38" s="18">
        <v>1.8</v>
      </c>
      <c r="P38" s="13">
        <v>44</v>
      </c>
      <c r="Q38" s="18">
        <v>3.5</v>
      </c>
      <c r="R38" s="13">
        <v>17771</v>
      </c>
      <c r="S38" s="18">
        <v>13.4</v>
      </c>
      <c r="T38" s="13">
        <v>8348</v>
      </c>
      <c r="U38" s="13">
        <v>9423</v>
      </c>
      <c r="V38" s="13">
        <v>3462</v>
      </c>
      <c r="W38" s="18">
        <v>2.6</v>
      </c>
      <c r="X38" s="13">
        <v>3332</v>
      </c>
      <c r="Y38" s="13">
        <v>130</v>
      </c>
      <c r="Z38" s="13">
        <v>10</v>
      </c>
      <c r="AA38" s="13">
        <v>4</v>
      </c>
      <c r="AB38" s="13" t="s">
        <v>275</v>
      </c>
    </row>
    <row r="39" spans="1:28" x14ac:dyDescent="0.35">
      <c r="A39" s="9">
        <v>2018</v>
      </c>
      <c r="B39" s="9" t="s">
        <v>127</v>
      </c>
      <c r="C39" s="13">
        <v>12957</v>
      </c>
      <c r="D39" s="18">
        <v>9.6</v>
      </c>
      <c r="E39" s="13">
        <v>6680</v>
      </c>
      <c r="F39" s="13">
        <v>6277</v>
      </c>
      <c r="G39" s="13">
        <v>1064</v>
      </c>
      <c r="H39" s="13">
        <v>6545</v>
      </c>
      <c r="I39" s="15">
        <v>0.505</v>
      </c>
      <c r="J39" s="13">
        <v>54</v>
      </c>
      <c r="K39" s="18">
        <v>4.2</v>
      </c>
      <c r="L39" s="13">
        <v>68</v>
      </c>
      <c r="M39" s="18">
        <v>5.2</v>
      </c>
      <c r="N39" s="13">
        <v>24</v>
      </c>
      <c r="O39" s="18">
        <v>1.9</v>
      </c>
      <c r="P39" s="13">
        <v>35</v>
      </c>
      <c r="Q39" s="18">
        <v>2.7</v>
      </c>
      <c r="R39" s="13">
        <v>13621</v>
      </c>
      <c r="S39" s="18">
        <v>10.1</v>
      </c>
      <c r="T39" s="13">
        <v>6784</v>
      </c>
      <c r="U39" s="13">
        <v>6837</v>
      </c>
      <c r="V39" s="13">
        <v>7820</v>
      </c>
      <c r="W39" s="18">
        <v>5.8</v>
      </c>
      <c r="X39" s="13">
        <v>7569</v>
      </c>
      <c r="Y39" s="13">
        <v>251</v>
      </c>
      <c r="Z39" s="13">
        <v>7</v>
      </c>
      <c r="AA39" s="13">
        <v>8</v>
      </c>
      <c r="AB39" s="13" t="s">
        <v>275</v>
      </c>
    </row>
    <row r="40" spans="1:28" x14ac:dyDescent="0.35">
      <c r="A40" s="9">
        <v>2018</v>
      </c>
      <c r="B40" s="9" t="s">
        <v>128</v>
      </c>
      <c r="C40" s="13">
        <v>13078</v>
      </c>
      <c r="D40" s="18">
        <v>9.6</v>
      </c>
      <c r="E40" s="13">
        <v>6678</v>
      </c>
      <c r="F40" s="13">
        <v>6400</v>
      </c>
      <c r="G40" s="13">
        <v>1043</v>
      </c>
      <c r="H40" s="13">
        <v>6607</v>
      </c>
      <c r="I40" s="15">
        <v>0.505</v>
      </c>
      <c r="J40" s="13">
        <v>34</v>
      </c>
      <c r="K40" s="18">
        <v>2.6</v>
      </c>
      <c r="L40" s="13">
        <v>54</v>
      </c>
      <c r="M40" s="18">
        <v>4.0999999999999996</v>
      </c>
      <c r="N40" s="13">
        <v>31</v>
      </c>
      <c r="O40" s="18">
        <v>2.4</v>
      </c>
      <c r="P40" s="13">
        <v>40</v>
      </c>
      <c r="Q40" s="18">
        <v>3.1</v>
      </c>
      <c r="R40" s="13">
        <v>12626</v>
      </c>
      <c r="S40" s="18">
        <v>9.3000000000000007</v>
      </c>
      <c r="T40" s="13">
        <v>6314</v>
      </c>
      <c r="U40" s="13">
        <v>6312</v>
      </c>
      <c r="V40" s="13">
        <v>10118</v>
      </c>
      <c r="W40" s="18">
        <v>7.4</v>
      </c>
      <c r="X40" s="13">
        <v>9746</v>
      </c>
      <c r="Y40" s="13">
        <v>372</v>
      </c>
      <c r="Z40" s="13">
        <v>7</v>
      </c>
      <c r="AA40" s="13">
        <v>5</v>
      </c>
      <c r="AB40" s="13" t="s">
        <v>275</v>
      </c>
    </row>
    <row r="41" spans="1:28" x14ac:dyDescent="0.35">
      <c r="A41" s="9">
        <v>2018</v>
      </c>
      <c r="B41" s="9" t="s">
        <v>129</v>
      </c>
      <c r="C41" s="13">
        <v>12582</v>
      </c>
      <c r="D41" s="18">
        <v>9.3000000000000007</v>
      </c>
      <c r="E41" s="13">
        <v>6488</v>
      </c>
      <c r="F41" s="13">
        <v>6094</v>
      </c>
      <c r="G41" s="13">
        <v>1065</v>
      </c>
      <c r="H41" s="13">
        <v>6444</v>
      </c>
      <c r="I41" s="15">
        <v>0.51200000000000001</v>
      </c>
      <c r="J41" s="13">
        <v>46</v>
      </c>
      <c r="K41" s="18">
        <v>3.6</v>
      </c>
      <c r="L41" s="13">
        <v>66</v>
      </c>
      <c r="M41" s="18">
        <v>5.2</v>
      </c>
      <c r="N41" s="13">
        <v>25</v>
      </c>
      <c r="O41" s="18">
        <v>2</v>
      </c>
      <c r="P41" s="13">
        <v>44</v>
      </c>
      <c r="Q41" s="18">
        <v>3.5</v>
      </c>
      <c r="R41" s="13">
        <v>14485</v>
      </c>
      <c r="S41" s="18">
        <v>10.7</v>
      </c>
      <c r="T41" s="13">
        <v>7196</v>
      </c>
      <c r="U41" s="13">
        <v>7289</v>
      </c>
      <c r="V41" s="13">
        <v>6125</v>
      </c>
      <c r="W41" s="18">
        <v>4.5</v>
      </c>
      <c r="X41" s="13">
        <v>5899</v>
      </c>
      <c r="Y41" s="13">
        <v>226</v>
      </c>
      <c r="Z41" s="13">
        <v>14</v>
      </c>
      <c r="AA41" s="13">
        <v>10</v>
      </c>
      <c r="AB41" s="13" t="s">
        <v>275</v>
      </c>
    </row>
    <row r="42" spans="1:28" ht="31.65" customHeight="1" x14ac:dyDescent="0.35">
      <c r="A42" s="9">
        <v>2019</v>
      </c>
      <c r="B42" s="9" t="s">
        <v>125</v>
      </c>
      <c r="C42" s="13">
        <v>49863</v>
      </c>
      <c r="D42" s="18">
        <v>9.1999999999999993</v>
      </c>
      <c r="E42" s="13">
        <v>25687</v>
      </c>
      <c r="F42" s="13">
        <v>24176</v>
      </c>
      <c r="G42" s="13">
        <v>1063</v>
      </c>
      <c r="H42" s="13">
        <v>25576</v>
      </c>
      <c r="I42" s="15">
        <v>0.51300000000000001</v>
      </c>
      <c r="J42" s="13">
        <v>174</v>
      </c>
      <c r="K42" s="18">
        <v>3.5</v>
      </c>
      <c r="L42" s="13">
        <v>258</v>
      </c>
      <c r="M42" s="18">
        <v>5.2</v>
      </c>
      <c r="N42" s="13">
        <v>110</v>
      </c>
      <c r="O42" s="18">
        <v>2.2000000000000002</v>
      </c>
      <c r="P42" s="13">
        <v>165</v>
      </c>
      <c r="Q42" s="18">
        <v>3.3</v>
      </c>
      <c r="R42" s="13">
        <v>58108</v>
      </c>
      <c r="S42" s="18">
        <v>10.7</v>
      </c>
      <c r="T42" s="13">
        <v>28489</v>
      </c>
      <c r="U42" s="13">
        <v>29619</v>
      </c>
      <c r="V42" s="13">
        <v>26007</v>
      </c>
      <c r="W42" s="18">
        <v>4.8</v>
      </c>
      <c r="X42" s="13">
        <v>25095</v>
      </c>
      <c r="Y42" s="13">
        <v>912</v>
      </c>
      <c r="Z42" s="13">
        <v>50</v>
      </c>
      <c r="AA42" s="13">
        <v>33</v>
      </c>
      <c r="AB42" s="13" t="s">
        <v>275</v>
      </c>
    </row>
    <row r="43" spans="1:28" x14ac:dyDescent="0.35">
      <c r="A43" s="9">
        <v>2019</v>
      </c>
      <c r="B43" s="9" t="s">
        <v>126</v>
      </c>
      <c r="C43" s="13">
        <v>12618</v>
      </c>
      <c r="D43" s="18">
        <v>9.5</v>
      </c>
      <c r="E43" s="13">
        <v>6560</v>
      </c>
      <c r="F43" s="13">
        <v>6058</v>
      </c>
      <c r="G43" s="13">
        <v>1083</v>
      </c>
      <c r="H43" s="13">
        <v>6632</v>
      </c>
      <c r="I43" s="15">
        <v>0.52600000000000002</v>
      </c>
      <c r="J43" s="13">
        <v>42</v>
      </c>
      <c r="K43" s="18">
        <v>3.3</v>
      </c>
      <c r="L43" s="13">
        <v>68</v>
      </c>
      <c r="M43" s="18">
        <v>5.4</v>
      </c>
      <c r="N43" s="13">
        <v>34</v>
      </c>
      <c r="O43" s="18">
        <v>2.7</v>
      </c>
      <c r="P43" s="13">
        <v>49</v>
      </c>
      <c r="Q43" s="18">
        <v>3.9</v>
      </c>
      <c r="R43" s="13">
        <v>15306</v>
      </c>
      <c r="S43" s="18">
        <v>11.5</v>
      </c>
      <c r="T43" s="13">
        <v>7539</v>
      </c>
      <c r="U43" s="13">
        <v>7767</v>
      </c>
      <c r="V43" s="13">
        <v>3198</v>
      </c>
      <c r="W43" s="18">
        <v>2.4</v>
      </c>
      <c r="X43" s="13">
        <v>3069</v>
      </c>
      <c r="Y43" s="13">
        <v>129</v>
      </c>
      <c r="Z43" s="13">
        <v>9</v>
      </c>
      <c r="AA43" s="13">
        <v>5</v>
      </c>
      <c r="AB43" s="13" t="s">
        <v>275</v>
      </c>
    </row>
    <row r="44" spans="1:28" x14ac:dyDescent="0.35">
      <c r="A44" s="9">
        <v>2019</v>
      </c>
      <c r="B44" s="9" t="s">
        <v>127</v>
      </c>
      <c r="C44" s="13">
        <v>12226</v>
      </c>
      <c r="D44" s="18">
        <v>9.1</v>
      </c>
      <c r="E44" s="13">
        <v>6251</v>
      </c>
      <c r="F44" s="13">
        <v>5975</v>
      </c>
      <c r="G44" s="13">
        <v>1046</v>
      </c>
      <c r="H44" s="13">
        <v>6100</v>
      </c>
      <c r="I44" s="15">
        <v>0.499</v>
      </c>
      <c r="J44" s="13">
        <v>47</v>
      </c>
      <c r="K44" s="18">
        <v>3.8</v>
      </c>
      <c r="L44" s="13">
        <v>65</v>
      </c>
      <c r="M44" s="18">
        <v>5.3</v>
      </c>
      <c r="N44" s="13">
        <v>22</v>
      </c>
      <c r="O44" s="18">
        <v>1.8</v>
      </c>
      <c r="P44" s="13">
        <v>31</v>
      </c>
      <c r="Q44" s="18">
        <v>2.5</v>
      </c>
      <c r="R44" s="13">
        <v>13652</v>
      </c>
      <c r="S44" s="18">
        <v>10.1</v>
      </c>
      <c r="T44" s="13">
        <v>6665</v>
      </c>
      <c r="U44" s="13">
        <v>6987</v>
      </c>
      <c r="V44" s="13">
        <v>7614</v>
      </c>
      <c r="W44" s="18">
        <v>5.6</v>
      </c>
      <c r="X44" s="13">
        <v>7384</v>
      </c>
      <c r="Y44" s="13">
        <v>230</v>
      </c>
      <c r="Z44" s="13">
        <v>16</v>
      </c>
      <c r="AA44" s="13">
        <v>9</v>
      </c>
      <c r="AB44" s="13" t="s">
        <v>275</v>
      </c>
    </row>
    <row r="45" spans="1:28" x14ac:dyDescent="0.35">
      <c r="A45" s="9">
        <v>2019</v>
      </c>
      <c r="B45" s="9" t="s">
        <v>128</v>
      </c>
      <c r="C45" s="13">
        <v>13152</v>
      </c>
      <c r="D45" s="18">
        <v>9.6</v>
      </c>
      <c r="E45" s="13">
        <v>6784</v>
      </c>
      <c r="F45" s="13">
        <v>6368</v>
      </c>
      <c r="G45" s="13">
        <v>1065</v>
      </c>
      <c r="H45" s="13">
        <v>6687</v>
      </c>
      <c r="I45" s="15">
        <v>0.50800000000000001</v>
      </c>
      <c r="J45" s="13">
        <v>38</v>
      </c>
      <c r="K45" s="18">
        <v>2.9</v>
      </c>
      <c r="L45" s="13">
        <v>60</v>
      </c>
      <c r="M45" s="18">
        <v>4.5</v>
      </c>
      <c r="N45" s="13">
        <v>26</v>
      </c>
      <c r="O45" s="18">
        <v>2</v>
      </c>
      <c r="P45" s="13">
        <v>46</v>
      </c>
      <c r="Q45" s="18">
        <v>3.5</v>
      </c>
      <c r="R45" s="13">
        <v>13585</v>
      </c>
      <c r="S45" s="18">
        <v>10</v>
      </c>
      <c r="T45" s="13">
        <v>6761</v>
      </c>
      <c r="U45" s="13">
        <v>6824</v>
      </c>
      <c r="V45" s="13">
        <v>9512</v>
      </c>
      <c r="W45" s="18">
        <v>7</v>
      </c>
      <c r="X45" s="13">
        <v>9160</v>
      </c>
      <c r="Y45" s="13">
        <v>352</v>
      </c>
      <c r="Z45" s="13">
        <v>10</v>
      </c>
      <c r="AA45" s="13">
        <v>12</v>
      </c>
      <c r="AB45" s="13" t="s">
        <v>275</v>
      </c>
    </row>
    <row r="46" spans="1:28" x14ac:dyDescent="0.35">
      <c r="A46" s="9">
        <v>2019</v>
      </c>
      <c r="B46" s="9" t="s">
        <v>129</v>
      </c>
      <c r="C46" s="13">
        <v>11867</v>
      </c>
      <c r="D46" s="18">
        <v>8.6999999999999993</v>
      </c>
      <c r="E46" s="13">
        <v>6092</v>
      </c>
      <c r="F46" s="13">
        <v>5775</v>
      </c>
      <c r="G46" s="13">
        <v>1055</v>
      </c>
      <c r="H46" s="13">
        <v>6157</v>
      </c>
      <c r="I46" s="15">
        <v>0.51900000000000002</v>
      </c>
      <c r="J46" s="13">
        <v>47</v>
      </c>
      <c r="K46" s="18">
        <v>3.9</v>
      </c>
      <c r="L46" s="13">
        <v>65</v>
      </c>
      <c r="M46" s="18">
        <v>5.5</v>
      </c>
      <c r="N46" s="13">
        <v>28</v>
      </c>
      <c r="O46" s="18">
        <v>2.4</v>
      </c>
      <c r="P46" s="13">
        <v>39</v>
      </c>
      <c r="Q46" s="18">
        <v>3.3</v>
      </c>
      <c r="R46" s="13">
        <v>15565</v>
      </c>
      <c r="S46" s="18">
        <v>11.4</v>
      </c>
      <c r="T46" s="13">
        <v>7524</v>
      </c>
      <c r="U46" s="13">
        <v>8041</v>
      </c>
      <c r="V46" s="13">
        <v>5683</v>
      </c>
      <c r="W46" s="18">
        <v>4.2</v>
      </c>
      <c r="X46" s="13">
        <v>5482</v>
      </c>
      <c r="Y46" s="13">
        <v>201</v>
      </c>
      <c r="Z46" s="13">
        <v>15</v>
      </c>
      <c r="AA46" s="13">
        <v>7</v>
      </c>
      <c r="AB46" s="13" t="s">
        <v>275</v>
      </c>
    </row>
    <row r="47" spans="1:28" ht="31.65" customHeight="1" x14ac:dyDescent="0.35">
      <c r="A47" s="9">
        <v>2020</v>
      </c>
      <c r="B47" s="9" t="s">
        <v>125</v>
      </c>
      <c r="C47" s="13">
        <v>46809</v>
      </c>
      <c r="D47" s="18">
        <v>8.6999999999999993</v>
      </c>
      <c r="E47" s="13">
        <v>23972</v>
      </c>
      <c r="F47" s="13">
        <v>22837</v>
      </c>
      <c r="G47" s="13">
        <v>1050</v>
      </c>
      <c r="H47" s="13">
        <v>24187</v>
      </c>
      <c r="I47" s="15">
        <v>0.51700000000000002</v>
      </c>
      <c r="J47" s="13">
        <v>198</v>
      </c>
      <c r="K47" s="18">
        <v>4.2</v>
      </c>
      <c r="L47" s="13">
        <v>268</v>
      </c>
      <c r="M47" s="18">
        <v>5.7</v>
      </c>
      <c r="N47" s="13">
        <v>100</v>
      </c>
      <c r="O47" s="18">
        <v>2.1</v>
      </c>
      <c r="P47" s="13">
        <v>146</v>
      </c>
      <c r="Q47" s="18">
        <v>3.1</v>
      </c>
      <c r="R47" s="13">
        <v>64093</v>
      </c>
      <c r="S47" s="18">
        <v>11.8</v>
      </c>
      <c r="T47" s="13">
        <v>32130</v>
      </c>
      <c r="U47" s="13">
        <v>31963</v>
      </c>
      <c r="V47" s="13">
        <v>11986</v>
      </c>
      <c r="W47" s="18">
        <v>2.2000000000000002</v>
      </c>
      <c r="X47" s="13">
        <v>11563</v>
      </c>
      <c r="Y47" s="13">
        <v>423</v>
      </c>
      <c r="Z47" s="13">
        <v>33</v>
      </c>
      <c r="AA47" s="13">
        <v>39</v>
      </c>
      <c r="AB47" s="13" t="s">
        <v>275</v>
      </c>
    </row>
    <row r="48" spans="1:28" x14ac:dyDescent="0.35">
      <c r="A48" s="9">
        <v>2020</v>
      </c>
      <c r="B48" s="9" t="s">
        <v>126</v>
      </c>
      <c r="C48" s="13">
        <v>11022</v>
      </c>
      <c r="D48" s="18">
        <v>8.1999999999999993</v>
      </c>
      <c r="E48" s="13">
        <v>5583</v>
      </c>
      <c r="F48" s="13">
        <v>5439</v>
      </c>
      <c r="G48" s="13">
        <v>1026</v>
      </c>
      <c r="H48" s="13">
        <v>5803</v>
      </c>
      <c r="I48" s="15">
        <v>0.52600000000000002</v>
      </c>
      <c r="J48" s="13">
        <v>42</v>
      </c>
      <c r="K48" s="18" t="s">
        <v>276</v>
      </c>
      <c r="L48" s="13">
        <v>64</v>
      </c>
      <c r="M48" s="18" t="s">
        <v>276</v>
      </c>
      <c r="N48" s="13">
        <v>30</v>
      </c>
      <c r="O48" s="18" t="s">
        <v>276</v>
      </c>
      <c r="P48" s="13">
        <v>40</v>
      </c>
      <c r="Q48" s="18" t="s">
        <v>276</v>
      </c>
      <c r="R48" s="13">
        <v>15961</v>
      </c>
      <c r="S48" s="18">
        <v>11.9</v>
      </c>
      <c r="T48" s="13">
        <v>7940</v>
      </c>
      <c r="U48" s="13">
        <v>8021</v>
      </c>
      <c r="V48" s="13">
        <v>3024</v>
      </c>
      <c r="W48" s="18">
        <v>2.2000000000000002</v>
      </c>
      <c r="X48" s="13">
        <v>2904</v>
      </c>
      <c r="Y48" s="13">
        <v>120</v>
      </c>
      <c r="Z48" s="13">
        <v>12</v>
      </c>
      <c r="AA48" s="13">
        <v>10</v>
      </c>
      <c r="AB48" s="13" t="s">
        <v>275</v>
      </c>
    </row>
    <row r="49" spans="1:28" x14ac:dyDescent="0.35">
      <c r="A49" s="9">
        <v>2020</v>
      </c>
      <c r="B49" s="9" t="s">
        <v>127</v>
      </c>
      <c r="C49" s="13">
        <v>1148</v>
      </c>
      <c r="D49" s="18">
        <v>0.9</v>
      </c>
      <c r="E49" s="13">
        <v>622</v>
      </c>
      <c r="F49" s="13">
        <v>526</v>
      </c>
      <c r="G49" s="13">
        <v>1183</v>
      </c>
      <c r="H49" s="13">
        <v>481</v>
      </c>
      <c r="I49" s="15">
        <v>0.41899999999999998</v>
      </c>
      <c r="J49" s="13">
        <v>52</v>
      </c>
      <c r="K49" s="18" t="s">
        <v>276</v>
      </c>
      <c r="L49" s="13">
        <v>70</v>
      </c>
      <c r="M49" s="18" t="s">
        <v>276</v>
      </c>
      <c r="N49" s="13">
        <v>28</v>
      </c>
      <c r="O49" s="18" t="s">
        <v>276</v>
      </c>
      <c r="P49" s="13">
        <v>39</v>
      </c>
      <c r="Q49" s="18" t="s">
        <v>276</v>
      </c>
      <c r="R49" s="13">
        <v>18200</v>
      </c>
      <c r="S49" s="18">
        <v>13.5</v>
      </c>
      <c r="T49" s="13">
        <v>9089</v>
      </c>
      <c r="U49" s="13">
        <v>9111</v>
      </c>
      <c r="V49" s="13">
        <v>117</v>
      </c>
      <c r="W49" s="18">
        <v>0.1</v>
      </c>
      <c r="X49" s="13">
        <v>112</v>
      </c>
      <c r="Y49" s="13">
        <v>5</v>
      </c>
      <c r="Z49" s="13">
        <v>1</v>
      </c>
      <c r="AA49" s="13">
        <v>0</v>
      </c>
      <c r="AB49" s="13" t="s">
        <v>275</v>
      </c>
    </row>
    <row r="50" spans="1:28" x14ac:dyDescent="0.35">
      <c r="A50" s="9">
        <v>2020</v>
      </c>
      <c r="B50" s="9" t="s">
        <v>128</v>
      </c>
      <c r="C50" s="13">
        <v>21372</v>
      </c>
      <c r="D50" s="18">
        <v>15.7</v>
      </c>
      <c r="E50" s="13">
        <v>11017</v>
      </c>
      <c r="F50" s="13">
        <v>10355</v>
      </c>
      <c r="G50" s="13">
        <v>1064</v>
      </c>
      <c r="H50" s="13">
        <v>10880</v>
      </c>
      <c r="I50" s="15">
        <v>0.50900000000000001</v>
      </c>
      <c r="J50" s="13">
        <v>55</v>
      </c>
      <c r="K50" s="18" t="s">
        <v>276</v>
      </c>
      <c r="L50" s="13">
        <v>71</v>
      </c>
      <c r="M50" s="18" t="s">
        <v>276</v>
      </c>
      <c r="N50" s="13">
        <v>23</v>
      </c>
      <c r="O50" s="18" t="s">
        <v>276</v>
      </c>
      <c r="P50" s="13">
        <v>35</v>
      </c>
      <c r="Q50" s="18" t="s">
        <v>276</v>
      </c>
      <c r="R50" s="13">
        <v>13305</v>
      </c>
      <c r="S50" s="18">
        <v>9.8000000000000007</v>
      </c>
      <c r="T50" s="13">
        <v>6724</v>
      </c>
      <c r="U50" s="13">
        <v>6581</v>
      </c>
      <c r="V50" s="13">
        <v>3789</v>
      </c>
      <c r="W50" s="18">
        <v>2.8</v>
      </c>
      <c r="X50" s="13">
        <v>3674</v>
      </c>
      <c r="Y50" s="13">
        <v>115</v>
      </c>
      <c r="Z50" s="13">
        <v>8</v>
      </c>
      <c r="AA50" s="13">
        <v>14</v>
      </c>
      <c r="AB50" s="13" t="s">
        <v>275</v>
      </c>
    </row>
    <row r="51" spans="1:28" x14ac:dyDescent="0.35">
      <c r="A51" s="9">
        <v>2020</v>
      </c>
      <c r="B51" s="9" t="s">
        <v>129</v>
      </c>
      <c r="C51" s="13">
        <v>13267</v>
      </c>
      <c r="D51" s="18">
        <v>9.8000000000000007</v>
      </c>
      <c r="E51" s="13">
        <v>6750</v>
      </c>
      <c r="F51" s="13">
        <v>6517</v>
      </c>
      <c r="G51" s="13">
        <v>1036</v>
      </c>
      <c r="H51" s="13">
        <v>7023</v>
      </c>
      <c r="I51" s="15">
        <v>0.52900000000000003</v>
      </c>
      <c r="J51" s="13">
        <v>49</v>
      </c>
      <c r="K51" s="18" t="s">
        <v>276</v>
      </c>
      <c r="L51" s="13">
        <v>63</v>
      </c>
      <c r="M51" s="18" t="s">
        <v>276</v>
      </c>
      <c r="N51" s="13">
        <v>19</v>
      </c>
      <c r="O51" s="18" t="s">
        <v>276</v>
      </c>
      <c r="P51" s="13">
        <v>32</v>
      </c>
      <c r="Q51" s="18" t="s">
        <v>276</v>
      </c>
      <c r="R51" s="13">
        <v>16627</v>
      </c>
      <c r="S51" s="18">
        <v>12.2</v>
      </c>
      <c r="T51" s="13">
        <v>8377</v>
      </c>
      <c r="U51" s="13">
        <v>8250</v>
      </c>
      <c r="V51" s="13">
        <v>5056</v>
      </c>
      <c r="W51" s="18">
        <v>3.7</v>
      </c>
      <c r="X51" s="13">
        <v>4873</v>
      </c>
      <c r="Y51" s="13">
        <v>183</v>
      </c>
      <c r="Z51" s="13">
        <v>12</v>
      </c>
      <c r="AA51" s="13">
        <v>15</v>
      </c>
      <c r="AB51" s="13" t="s">
        <v>275</v>
      </c>
    </row>
    <row r="52" spans="1:28" ht="31.65" customHeight="1" x14ac:dyDescent="0.35">
      <c r="A52" s="9">
        <v>2021</v>
      </c>
      <c r="B52" s="9" t="s">
        <v>125</v>
      </c>
      <c r="C52" s="13">
        <v>47786</v>
      </c>
      <c r="D52" s="18">
        <v>8.8000000000000007</v>
      </c>
      <c r="E52" s="13">
        <v>24542</v>
      </c>
      <c r="F52" s="13">
        <v>23244</v>
      </c>
      <c r="G52" s="13">
        <v>1056</v>
      </c>
      <c r="H52" s="13">
        <v>25692</v>
      </c>
      <c r="I52" s="15">
        <v>0.53800000000000003</v>
      </c>
      <c r="J52" s="13">
        <v>180</v>
      </c>
      <c r="K52" s="18">
        <v>3.8</v>
      </c>
      <c r="L52" s="13">
        <v>274</v>
      </c>
      <c r="M52" s="18">
        <v>5.7</v>
      </c>
      <c r="N52" s="13">
        <v>132</v>
      </c>
      <c r="O52" s="18">
        <v>2.8</v>
      </c>
      <c r="P52" s="13">
        <v>186</v>
      </c>
      <c r="Q52" s="18">
        <v>3.9</v>
      </c>
      <c r="R52" s="13">
        <v>63587</v>
      </c>
      <c r="S52" s="18">
        <v>11.7</v>
      </c>
      <c r="T52" s="13">
        <v>31798</v>
      </c>
      <c r="U52" s="13">
        <v>31789</v>
      </c>
      <c r="V52" s="13">
        <v>24284</v>
      </c>
      <c r="W52" s="18">
        <v>4.5</v>
      </c>
      <c r="X52" s="13">
        <v>23465</v>
      </c>
      <c r="Y52" s="13">
        <v>819</v>
      </c>
      <c r="Z52" s="13">
        <v>49</v>
      </c>
      <c r="AA52" s="13">
        <v>39</v>
      </c>
      <c r="AB52" s="13">
        <v>411</v>
      </c>
    </row>
    <row r="53" spans="1:28" x14ac:dyDescent="0.35">
      <c r="A53" s="9">
        <v>2021</v>
      </c>
      <c r="B53" s="9" t="s">
        <v>126</v>
      </c>
      <c r="C53" s="13">
        <v>11511</v>
      </c>
      <c r="D53" s="18">
        <v>8.6</v>
      </c>
      <c r="E53" s="13">
        <v>5883</v>
      </c>
      <c r="F53" s="13">
        <v>5628</v>
      </c>
      <c r="G53" s="13">
        <v>1045</v>
      </c>
      <c r="H53" s="13">
        <v>6027</v>
      </c>
      <c r="I53" s="15">
        <v>0.52400000000000002</v>
      </c>
      <c r="J53" s="13">
        <v>50</v>
      </c>
      <c r="K53" s="18">
        <v>4.3</v>
      </c>
      <c r="L53" s="13">
        <v>65</v>
      </c>
      <c r="M53" s="18">
        <v>5.6</v>
      </c>
      <c r="N53" s="13">
        <v>28</v>
      </c>
      <c r="O53" s="18">
        <v>2.4</v>
      </c>
      <c r="P53" s="13">
        <v>37</v>
      </c>
      <c r="Q53" s="18">
        <v>3.2</v>
      </c>
      <c r="R53" s="13">
        <v>17371</v>
      </c>
      <c r="S53" s="18">
        <v>13</v>
      </c>
      <c r="T53" s="13">
        <v>8707</v>
      </c>
      <c r="U53" s="13">
        <v>8664</v>
      </c>
      <c r="V53" s="13">
        <v>1403</v>
      </c>
      <c r="W53" s="18">
        <v>1.1000000000000001</v>
      </c>
      <c r="X53" s="13">
        <v>1347</v>
      </c>
      <c r="Y53" s="13">
        <v>56</v>
      </c>
      <c r="Z53" s="13">
        <v>8</v>
      </c>
      <c r="AA53" s="13">
        <v>4</v>
      </c>
      <c r="AB53" s="13" t="s">
        <v>275</v>
      </c>
    </row>
    <row r="54" spans="1:28" x14ac:dyDescent="0.35">
      <c r="A54" s="9">
        <v>2021</v>
      </c>
      <c r="B54" s="9" t="s">
        <v>127</v>
      </c>
      <c r="C54" s="13">
        <v>11441</v>
      </c>
      <c r="D54" s="18">
        <v>8.5</v>
      </c>
      <c r="E54" s="13">
        <v>5882</v>
      </c>
      <c r="F54" s="13">
        <v>5559</v>
      </c>
      <c r="G54" s="13">
        <v>1058</v>
      </c>
      <c r="H54" s="13">
        <v>6041</v>
      </c>
      <c r="I54" s="15">
        <v>0.52800000000000002</v>
      </c>
      <c r="J54" s="13">
        <v>30</v>
      </c>
      <c r="K54" s="18">
        <v>2.6</v>
      </c>
      <c r="L54" s="13">
        <v>53</v>
      </c>
      <c r="M54" s="18">
        <v>4.5999999999999996</v>
      </c>
      <c r="N54" s="13">
        <v>32</v>
      </c>
      <c r="O54" s="18">
        <v>2.8</v>
      </c>
      <c r="P54" s="13">
        <v>48</v>
      </c>
      <c r="Q54" s="18">
        <v>4.2</v>
      </c>
      <c r="R54" s="13">
        <v>13771</v>
      </c>
      <c r="S54" s="18">
        <v>10.199999999999999</v>
      </c>
      <c r="T54" s="13">
        <v>6903</v>
      </c>
      <c r="U54" s="13">
        <v>6868</v>
      </c>
      <c r="V54" s="13">
        <v>5546</v>
      </c>
      <c r="W54" s="18">
        <v>4.0999999999999996</v>
      </c>
      <c r="X54" s="13">
        <v>5371</v>
      </c>
      <c r="Y54" s="13">
        <v>175</v>
      </c>
      <c r="Z54" s="13">
        <v>14</v>
      </c>
      <c r="AA54" s="13">
        <v>10</v>
      </c>
      <c r="AB54" s="13">
        <v>22</v>
      </c>
    </row>
    <row r="55" spans="1:28" x14ac:dyDescent="0.35">
      <c r="A55" s="9">
        <v>2021</v>
      </c>
      <c r="B55" s="9" t="s">
        <v>128</v>
      </c>
      <c r="C55" s="13">
        <v>12549</v>
      </c>
      <c r="D55" s="18">
        <v>9.1999999999999993</v>
      </c>
      <c r="E55" s="13">
        <v>6436</v>
      </c>
      <c r="F55" s="13">
        <v>6113</v>
      </c>
      <c r="G55" s="13">
        <v>1053</v>
      </c>
      <c r="H55" s="13">
        <v>6872</v>
      </c>
      <c r="I55" s="15">
        <v>0.54800000000000004</v>
      </c>
      <c r="J55" s="13">
        <v>62</v>
      </c>
      <c r="K55" s="18">
        <v>4.9000000000000004</v>
      </c>
      <c r="L55" s="13">
        <v>91</v>
      </c>
      <c r="M55" s="18">
        <v>7.2</v>
      </c>
      <c r="N55" s="13">
        <v>39</v>
      </c>
      <c r="O55" s="18">
        <v>3.1</v>
      </c>
      <c r="P55" s="13">
        <v>50</v>
      </c>
      <c r="Q55" s="18">
        <v>4</v>
      </c>
      <c r="R55" s="13">
        <v>15148</v>
      </c>
      <c r="S55" s="18">
        <v>11.1</v>
      </c>
      <c r="T55" s="13">
        <v>7534</v>
      </c>
      <c r="U55" s="13">
        <v>7614</v>
      </c>
      <c r="V55" s="13">
        <v>10541</v>
      </c>
      <c r="W55" s="18">
        <v>7.7</v>
      </c>
      <c r="X55" s="13">
        <v>10207</v>
      </c>
      <c r="Y55" s="13">
        <v>334</v>
      </c>
      <c r="Z55" s="13">
        <v>16</v>
      </c>
      <c r="AA55" s="13">
        <v>16</v>
      </c>
      <c r="AB55" s="13">
        <v>216</v>
      </c>
    </row>
    <row r="56" spans="1:28" x14ac:dyDescent="0.35">
      <c r="A56" s="9">
        <v>2021</v>
      </c>
      <c r="B56" s="9" t="s">
        <v>129</v>
      </c>
      <c r="C56" s="13">
        <v>12285</v>
      </c>
      <c r="D56" s="18">
        <v>9</v>
      </c>
      <c r="E56" s="13">
        <v>6341</v>
      </c>
      <c r="F56" s="13">
        <v>5944</v>
      </c>
      <c r="G56" s="13">
        <v>1067</v>
      </c>
      <c r="H56" s="13">
        <v>6752</v>
      </c>
      <c r="I56" s="15">
        <v>0.55000000000000004</v>
      </c>
      <c r="J56" s="13">
        <v>38</v>
      </c>
      <c r="K56" s="18">
        <v>3.1</v>
      </c>
      <c r="L56" s="13">
        <v>65</v>
      </c>
      <c r="M56" s="18">
        <v>5.3</v>
      </c>
      <c r="N56" s="13">
        <v>33</v>
      </c>
      <c r="O56" s="18">
        <v>2.7</v>
      </c>
      <c r="P56" s="13">
        <v>51</v>
      </c>
      <c r="Q56" s="18">
        <v>4.2</v>
      </c>
      <c r="R56" s="13">
        <v>17297</v>
      </c>
      <c r="S56" s="18">
        <v>12.7</v>
      </c>
      <c r="T56" s="13">
        <v>8654</v>
      </c>
      <c r="U56" s="13">
        <v>8643</v>
      </c>
      <c r="V56" s="13">
        <v>6794</v>
      </c>
      <c r="W56" s="18">
        <v>5</v>
      </c>
      <c r="X56" s="13">
        <v>6540</v>
      </c>
      <c r="Y56" s="13">
        <v>254</v>
      </c>
      <c r="Z56" s="13">
        <v>11</v>
      </c>
      <c r="AA56" s="13">
        <v>9</v>
      </c>
      <c r="AB56" s="13">
        <v>173</v>
      </c>
    </row>
    <row r="57" spans="1:28" ht="31.65" customHeight="1" x14ac:dyDescent="0.35">
      <c r="A57" s="9">
        <v>2022</v>
      </c>
      <c r="B57" s="9" t="s">
        <v>125</v>
      </c>
      <c r="C57" s="13">
        <v>46959</v>
      </c>
      <c r="D57" s="18">
        <v>8.6</v>
      </c>
      <c r="E57" s="13">
        <v>24259</v>
      </c>
      <c r="F57" s="13">
        <v>22700</v>
      </c>
      <c r="G57" s="13">
        <v>1069</v>
      </c>
      <c r="H57" s="13">
        <v>25628</v>
      </c>
      <c r="I57" s="15">
        <v>0.54600000000000004</v>
      </c>
      <c r="J57" s="13">
        <v>176</v>
      </c>
      <c r="K57" s="18">
        <v>3.7</v>
      </c>
      <c r="L57" s="13">
        <v>252</v>
      </c>
      <c r="M57" s="18">
        <v>5.3</v>
      </c>
      <c r="N57" s="13">
        <v>101</v>
      </c>
      <c r="O57" s="18">
        <v>2.2000000000000002</v>
      </c>
      <c r="P57" s="13">
        <v>165</v>
      </c>
      <c r="Q57" s="18">
        <v>3.5</v>
      </c>
      <c r="R57" s="13">
        <v>62941</v>
      </c>
      <c r="S57" s="18">
        <v>11.6</v>
      </c>
      <c r="T57" s="13">
        <v>31283</v>
      </c>
      <c r="U57" s="13">
        <v>31658</v>
      </c>
      <c r="V57" s="13">
        <v>30033</v>
      </c>
      <c r="W57" s="18">
        <v>5.5</v>
      </c>
      <c r="X57" s="13">
        <v>28921</v>
      </c>
      <c r="Y57" s="13">
        <v>1112</v>
      </c>
      <c r="Z57" s="13">
        <v>56</v>
      </c>
      <c r="AA57" s="13">
        <v>45</v>
      </c>
      <c r="AB57" s="13">
        <v>529</v>
      </c>
    </row>
    <row r="58" spans="1:28" x14ac:dyDescent="0.35">
      <c r="A58" s="9">
        <v>2022</v>
      </c>
      <c r="B58" s="9" t="s">
        <v>126</v>
      </c>
      <c r="C58" s="13">
        <v>12126</v>
      </c>
      <c r="D58" s="18">
        <v>9</v>
      </c>
      <c r="E58" s="13">
        <v>6225</v>
      </c>
      <c r="F58" s="13">
        <v>5901</v>
      </c>
      <c r="G58" s="13">
        <v>1055</v>
      </c>
      <c r="H58" s="13">
        <v>6853</v>
      </c>
      <c r="I58" s="15">
        <v>0.56499999999999995</v>
      </c>
      <c r="J58" s="13">
        <v>48</v>
      </c>
      <c r="K58" s="18">
        <v>3.9</v>
      </c>
      <c r="L58" s="13">
        <v>69</v>
      </c>
      <c r="M58" s="18">
        <v>5.7</v>
      </c>
      <c r="N58" s="13">
        <v>28</v>
      </c>
      <c r="O58" s="18">
        <v>2.2999999999999998</v>
      </c>
      <c r="P58" s="13">
        <v>43</v>
      </c>
      <c r="Q58" s="18">
        <v>3.5</v>
      </c>
      <c r="R58" s="13">
        <v>16179</v>
      </c>
      <c r="S58" s="18">
        <v>12</v>
      </c>
      <c r="T58" s="13">
        <v>8047</v>
      </c>
      <c r="U58" s="13">
        <v>8132</v>
      </c>
      <c r="V58" s="13">
        <v>3666</v>
      </c>
      <c r="W58" s="18">
        <v>2.7</v>
      </c>
      <c r="X58" s="13">
        <v>3537</v>
      </c>
      <c r="Y58" s="13">
        <v>129</v>
      </c>
      <c r="Z58" s="13">
        <v>14</v>
      </c>
      <c r="AA58" s="13">
        <v>8</v>
      </c>
      <c r="AB58" s="13">
        <v>97</v>
      </c>
    </row>
    <row r="59" spans="1:28" x14ac:dyDescent="0.35">
      <c r="A59" s="9">
        <v>2022</v>
      </c>
      <c r="B59" s="9" t="s">
        <v>127</v>
      </c>
      <c r="C59" s="13">
        <v>11241</v>
      </c>
      <c r="D59" s="18">
        <v>8.3000000000000007</v>
      </c>
      <c r="E59" s="13">
        <v>5864</v>
      </c>
      <c r="F59" s="13">
        <v>5377</v>
      </c>
      <c r="G59" s="13">
        <v>1091</v>
      </c>
      <c r="H59" s="13">
        <v>6088</v>
      </c>
      <c r="I59" s="15">
        <v>0.54200000000000004</v>
      </c>
      <c r="J59" s="13">
        <v>36</v>
      </c>
      <c r="K59" s="18">
        <v>3.2</v>
      </c>
      <c r="L59" s="13">
        <v>55</v>
      </c>
      <c r="M59" s="18">
        <v>4.9000000000000004</v>
      </c>
      <c r="N59" s="13">
        <v>29</v>
      </c>
      <c r="O59" s="18">
        <v>2.6</v>
      </c>
      <c r="P59" s="13">
        <v>46</v>
      </c>
      <c r="Q59" s="18">
        <v>4.0999999999999996</v>
      </c>
      <c r="R59" s="13">
        <v>14982</v>
      </c>
      <c r="S59" s="18">
        <v>11</v>
      </c>
      <c r="T59" s="13">
        <v>7456</v>
      </c>
      <c r="U59" s="13">
        <v>7526</v>
      </c>
      <c r="V59" s="13">
        <v>9331</v>
      </c>
      <c r="W59" s="18">
        <v>6.9</v>
      </c>
      <c r="X59" s="13">
        <v>8991</v>
      </c>
      <c r="Y59" s="13">
        <v>340</v>
      </c>
      <c r="Z59" s="13">
        <v>13</v>
      </c>
      <c r="AA59" s="13">
        <v>9</v>
      </c>
      <c r="AB59" s="13">
        <v>135</v>
      </c>
    </row>
    <row r="60" spans="1:28" x14ac:dyDescent="0.35">
      <c r="A60" s="9">
        <v>2022</v>
      </c>
      <c r="B60" s="9" t="s">
        <v>128</v>
      </c>
      <c r="C60" s="13">
        <v>11693</v>
      </c>
      <c r="D60" s="18">
        <v>8.5</v>
      </c>
      <c r="E60" s="13">
        <v>6047</v>
      </c>
      <c r="F60" s="13">
        <v>5646</v>
      </c>
      <c r="G60" s="13">
        <v>1071</v>
      </c>
      <c r="H60" s="13">
        <v>6242</v>
      </c>
      <c r="I60" s="15">
        <v>0.53400000000000003</v>
      </c>
      <c r="J60" s="13">
        <v>48</v>
      </c>
      <c r="K60" s="18">
        <v>4.0999999999999996</v>
      </c>
      <c r="L60" s="13">
        <v>65</v>
      </c>
      <c r="M60" s="18">
        <v>5.5</v>
      </c>
      <c r="N60" s="13">
        <v>20</v>
      </c>
      <c r="O60" s="18">
        <v>1.7</v>
      </c>
      <c r="P60" s="13">
        <v>34</v>
      </c>
      <c r="Q60" s="18">
        <v>2.9</v>
      </c>
      <c r="R60" s="13">
        <v>14925</v>
      </c>
      <c r="S60" s="18">
        <v>10.9</v>
      </c>
      <c r="T60" s="13">
        <v>7440</v>
      </c>
      <c r="U60" s="13">
        <v>7485</v>
      </c>
      <c r="V60" s="13">
        <v>10666</v>
      </c>
      <c r="W60" s="18">
        <v>7.8</v>
      </c>
      <c r="X60" s="13">
        <v>10288</v>
      </c>
      <c r="Y60" s="13">
        <v>378</v>
      </c>
      <c r="Z60" s="13">
        <v>13</v>
      </c>
      <c r="AA60" s="13">
        <v>16</v>
      </c>
      <c r="AB60" s="13">
        <v>156</v>
      </c>
    </row>
    <row r="61" spans="1:28" x14ac:dyDescent="0.35">
      <c r="A61" s="9">
        <v>2022</v>
      </c>
      <c r="B61" s="9" t="s">
        <v>129</v>
      </c>
      <c r="C61" s="13">
        <v>11899</v>
      </c>
      <c r="D61" s="18">
        <v>8.6999999999999993</v>
      </c>
      <c r="E61" s="13">
        <v>6123</v>
      </c>
      <c r="F61" s="13">
        <v>5776</v>
      </c>
      <c r="G61" s="13">
        <v>1060</v>
      </c>
      <c r="H61" s="13">
        <v>6445</v>
      </c>
      <c r="I61" s="15">
        <v>0.54200000000000004</v>
      </c>
      <c r="J61" s="13">
        <v>44</v>
      </c>
      <c r="K61" s="18">
        <v>3.7</v>
      </c>
      <c r="L61" s="13">
        <v>63</v>
      </c>
      <c r="M61" s="18">
        <v>5.3</v>
      </c>
      <c r="N61" s="13">
        <v>24</v>
      </c>
      <c r="O61" s="18">
        <v>2</v>
      </c>
      <c r="P61" s="13">
        <v>42</v>
      </c>
      <c r="Q61" s="18">
        <v>3.5</v>
      </c>
      <c r="R61" s="13">
        <v>16855</v>
      </c>
      <c r="S61" s="18">
        <v>12.3</v>
      </c>
      <c r="T61" s="13">
        <v>8340</v>
      </c>
      <c r="U61" s="13">
        <v>8515</v>
      </c>
      <c r="V61" s="13">
        <v>6370</v>
      </c>
      <c r="W61" s="18">
        <v>4.5999999999999996</v>
      </c>
      <c r="X61" s="13">
        <v>6105</v>
      </c>
      <c r="Y61" s="13">
        <v>265</v>
      </c>
      <c r="Z61" s="13">
        <v>16</v>
      </c>
      <c r="AA61" s="13">
        <v>12</v>
      </c>
      <c r="AB61" s="13">
        <v>141</v>
      </c>
    </row>
    <row r="62" spans="1:28" ht="31.65" customHeight="1" x14ac:dyDescent="0.35">
      <c r="A62" s="9">
        <v>2023</v>
      </c>
      <c r="B62" s="9" t="s">
        <v>125</v>
      </c>
      <c r="C62" s="13">
        <v>45935</v>
      </c>
      <c r="D62" s="18">
        <v>8.3000000000000007</v>
      </c>
      <c r="E62" s="13">
        <v>23594</v>
      </c>
      <c r="F62" s="13">
        <v>22341</v>
      </c>
      <c r="G62" s="13">
        <v>1056</v>
      </c>
      <c r="H62" s="13">
        <v>24357</v>
      </c>
      <c r="I62" s="15">
        <v>0.53</v>
      </c>
      <c r="J62" s="13">
        <v>171</v>
      </c>
      <c r="K62" s="18">
        <v>3.7</v>
      </c>
      <c r="L62" s="13">
        <v>262</v>
      </c>
      <c r="M62" s="18">
        <v>5.7</v>
      </c>
      <c r="N62" s="13">
        <v>122</v>
      </c>
      <c r="O62" s="18">
        <v>2.7</v>
      </c>
      <c r="P62" s="13">
        <v>184</v>
      </c>
      <c r="Q62" s="18">
        <v>4</v>
      </c>
      <c r="R62" s="13">
        <v>63445</v>
      </c>
      <c r="S62" s="18">
        <v>11.5</v>
      </c>
      <c r="T62" s="13">
        <v>31686</v>
      </c>
      <c r="U62" s="13">
        <v>31759</v>
      </c>
      <c r="V62" s="13">
        <v>26753</v>
      </c>
      <c r="W62" s="18">
        <v>4.9000000000000004</v>
      </c>
      <c r="X62" s="13">
        <v>25713</v>
      </c>
      <c r="Y62" s="13">
        <v>1040</v>
      </c>
      <c r="Z62" s="13">
        <v>73</v>
      </c>
      <c r="AA62" s="13">
        <v>56</v>
      </c>
      <c r="AB62" s="13">
        <v>590</v>
      </c>
    </row>
    <row r="63" spans="1:28" x14ac:dyDescent="0.35">
      <c r="A63" s="9">
        <v>2023</v>
      </c>
      <c r="B63" s="9" t="s">
        <v>126</v>
      </c>
      <c r="C63" s="13">
        <v>11650</v>
      </c>
      <c r="D63" s="18">
        <v>8.6</v>
      </c>
      <c r="E63" s="13">
        <v>5924</v>
      </c>
      <c r="F63" s="13">
        <v>5726</v>
      </c>
      <c r="G63" s="13">
        <v>1035</v>
      </c>
      <c r="H63" s="13">
        <v>6344</v>
      </c>
      <c r="I63" s="15">
        <v>0.54500000000000004</v>
      </c>
      <c r="J63" s="13">
        <v>37</v>
      </c>
      <c r="K63" s="18">
        <v>3.2</v>
      </c>
      <c r="L63" s="13">
        <v>62</v>
      </c>
      <c r="M63" s="18">
        <v>5.3</v>
      </c>
      <c r="N63" s="13">
        <v>33</v>
      </c>
      <c r="O63" s="18">
        <v>2.8</v>
      </c>
      <c r="P63" s="13">
        <v>45</v>
      </c>
      <c r="Q63" s="18">
        <v>3.9</v>
      </c>
      <c r="R63" s="13">
        <v>18523</v>
      </c>
      <c r="S63" s="18">
        <v>13.6</v>
      </c>
      <c r="T63" s="13">
        <v>9088</v>
      </c>
      <c r="U63" s="13">
        <v>9435</v>
      </c>
      <c r="V63" s="13">
        <v>3073</v>
      </c>
      <c r="W63" s="18">
        <v>2.2999999999999998</v>
      </c>
      <c r="X63" s="13">
        <v>2951</v>
      </c>
      <c r="Y63" s="13">
        <v>122</v>
      </c>
      <c r="Z63" s="13">
        <v>8</v>
      </c>
      <c r="AA63" s="13">
        <v>12</v>
      </c>
      <c r="AB63" s="13">
        <v>108</v>
      </c>
    </row>
    <row r="64" spans="1:28" x14ac:dyDescent="0.35">
      <c r="A64" s="9">
        <v>2023</v>
      </c>
      <c r="B64" s="9" t="s">
        <v>127</v>
      </c>
      <c r="C64" s="13">
        <v>11058</v>
      </c>
      <c r="D64" s="18">
        <v>8.1</v>
      </c>
      <c r="E64" s="13">
        <v>5701</v>
      </c>
      <c r="F64" s="13">
        <v>5357</v>
      </c>
      <c r="G64" s="13">
        <v>1064</v>
      </c>
      <c r="H64" s="13">
        <v>5748</v>
      </c>
      <c r="I64" s="15">
        <v>0.52</v>
      </c>
      <c r="J64" s="13">
        <v>50</v>
      </c>
      <c r="K64" s="18">
        <v>4.5</v>
      </c>
      <c r="L64" s="13">
        <v>71</v>
      </c>
      <c r="M64" s="18">
        <v>6.4</v>
      </c>
      <c r="N64" s="13">
        <v>24</v>
      </c>
      <c r="O64" s="18">
        <v>2.2000000000000002</v>
      </c>
      <c r="P64" s="13">
        <v>50</v>
      </c>
      <c r="Q64" s="18">
        <v>4.5</v>
      </c>
      <c r="R64" s="13">
        <v>14996</v>
      </c>
      <c r="S64" s="18">
        <v>10.9</v>
      </c>
      <c r="T64" s="13">
        <v>7679</v>
      </c>
      <c r="U64" s="13">
        <v>7317</v>
      </c>
      <c r="V64" s="13">
        <v>7630</v>
      </c>
      <c r="W64" s="18">
        <v>5.6</v>
      </c>
      <c r="X64" s="13">
        <v>7370</v>
      </c>
      <c r="Y64" s="13">
        <v>260</v>
      </c>
      <c r="Z64" s="13">
        <v>20</v>
      </c>
      <c r="AA64" s="13">
        <v>18</v>
      </c>
      <c r="AB64" s="13">
        <v>146</v>
      </c>
    </row>
    <row r="65" spans="1:28" x14ac:dyDescent="0.35">
      <c r="A65" s="9">
        <v>2023</v>
      </c>
      <c r="B65" s="9" t="s">
        <v>128</v>
      </c>
      <c r="C65" s="13">
        <v>11891</v>
      </c>
      <c r="D65" s="18">
        <v>8.6</v>
      </c>
      <c r="E65" s="13">
        <v>6246</v>
      </c>
      <c r="F65" s="13">
        <v>5645</v>
      </c>
      <c r="G65" s="13">
        <v>1106</v>
      </c>
      <c r="H65" s="13">
        <v>6291</v>
      </c>
      <c r="I65" s="15">
        <v>0.52900000000000003</v>
      </c>
      <c r="J65" s="13">
        <v>38</v>
      </c>
      <c r="K65" s="18">
        <v>3.2</v>
      </c>
      <c r="L65" s="13">
        <v>64</v>
      </c>
      <c r="M65" s="18">
        <v>5.4</v>
      </c>
      <c r="N65" s="13">
        <v>41</v>
      </c>
      <c r="O65" s="18">
        <v>3.4</v>
      </c>
      <c r="P65" s="13">
        <v>50</v>
      </c>
      <c r="Q65" s="18">
        <v>4.2</v>
      </c>
      <c r="R65" s="13">
        <v>14136</v>
      </c>
      <c r="S65" s="18">
        <v>10.199999999999999</v>
      </c>
      <c r="T65" s="13">
        <v>7112</v>
      </c>
      <c r="U65" s="13">
        <v>7024</v>
      </c>
      <c r="V65" s="13">
        <v>10410</v>
      </c>
      <c r="W65" s="18">
        <v>7.5</v>
      </c>
      <c r="X65" s="13">
        <v>9984</v>
      </c>
      <c r="Y65" s="13">
        <v>426</v>
      </c>
      <c r="Z65" s="13">
        <v>19</v>
      </c>
      <c r="AA65" s="13">
        <v>15</v>
      </c>
      <c r="AB65" s="13">
        <v>190</v>
      </c>
    </row>
    <row r="66" spans="1:28" x14ac:dyDescent="0.35">
      <c r="A66" s="9">
        <v>2023</v>
      </c>
      <c r="B66" s="9" t="s">
        <v>129</v>
      </c>
      <c r="C66" s="13">
        <v>11336</v>
      </c>
      <c r="D66" s="18">
        <v>8.1999999999999993</v>
      </c>
      <c r="E66" s="13">
        <v>5723</v>
      </c>
      <c r="F66" s="13">
        <v>5613</v>
      </c>
      <c r="G66" s="13">
        <v>1020</v>
      </c>
      <c r="H66" s="13">
        <v>5974</v>
      </c>
      <c r="I66" s="15">
        <v>0.52700000000000002</v>
      </c>
      <c r="J66" s="13">
        <v>46</v>
      </c>
      <c r="K66" s="18">
        <v>4</v>
      </c>
      <c r="L66" s="13">
        <v>65</v>
      </c>
      <c r="M66" s="18">
        <v>5.7</v>
      </c>
      <c r="N66" s="13">
        <v>24</v>
      </c>
      <c r="O66" s="18">
        <v>2.1</v>
      </c>
      <c r="P66" s="13">
        <v>39</v>
      </c>
      <c r="Q66" s="18">
        <v>3.4</v>
      </c>
      <c r="R66" s="13">
        <v>15790</v>
      </c>
      <c r="S66" s="18">
        <v>11.4</v>
      </c>
      <c r="T66" s="13">
        <v>7807</v>
      </c>
      <c r="U66" s="13">
        <v>7983</v>
      </c>
      <c r="V66" s="13">
        <v>5640</v>
      </c>
      <c r="W66" s="18">
        <v>4.0999999999999996</v>
      </c>
      <c r="X66" s="13">
        <v>5408</v>
      </c>
      <c r="Y66" s="13">
        <v>232</v>
      </c>
      <c r="Z66" s="13">
        <v>26</v>
      </c>
      <c r="AA66" s="13">
        <v>11</v>
      </c>
      <c r="AB66" s="13">
        <v>146</v>
      </c>
    </row>
    <row r="67" spans="1:28" ht="31.65" customHeight="1" x14ac:dyDescent="0.35">
      <c r="A67" s="9">
        <v>2024</v>
      </c>
      <c r="B67" s="9" t="s">
        <v>125</v>
      </c>
      <c r="C67" s="13">
        <v>45763</v>
      </c>
      <c r="D67" s="18">
        <v>8.3000000000000007</v>
      </c>
      <c r="E67" s="13">
        <v>23429</v>
      </c>
      <c r="F67" s="13">
        <v>22334</v>
      </c>
      <c r="G67" s="13">
        <v>1049</v>
      </c>
      <c r="H67" s="13">
        <v>23664</v>
      </c>
      <c r="I67" s="15">
        <v>0.51700000000000002</v>
      </c>
      <c r="J67" s="13">
        <v>159</v>
      </c>
      <c r="K67" s="18">
        <v>3.5</v>
      </c>
      <c r="L67" s="13">
        <v>235</v>
      </c>
      <c r="M67" s="18">
        <v>5.0999999999999996</v>
      </c>
      <c r="N67" s="13">
        <v>108</v>
      </c>
      <c r="O67" s="18">
        <v>2.4</v>
      </c>
      <c r="P67" s="13">
        <v>159</v>
      </c>
      <c r="Q67" s="18">
        <v>3.5</v>
      </c>
      <c r="R67" s="13">
        <v>62291</v>
      </c>
      <c r="S67" s="18">
        <v>11.2</v>
      </c>
      <c r="T67" s="13">
        <v>31258</v>
      </c>
      <c r="U67" s="13">
        <v>31033</v>
      </c>
      <c r="V67" s="13">
        <v>26955</v>
      </c>
      <c r="W67" s="18">
        <v>4.9000000000000004</v>
      </c>
      <c r="X67" s="13">
        <v>25869</v>
      </c>
      <c r="Y67" s="13">
        <v>1086</v>
      </c>
      <c r="Z67" s="13">
        <v>67</v>
      </c>
      <c r="AA67" s="13">
        <v>68</v>
      </c>
      <c r="AB67" s="13">
        <v>661</v>
      </c>
    </row>
    <row r="68" spans="1:28" x14ac:dyDescent="0.35">
      <c r="A68" s="9">
        <v>2024</v>
      </c>
      <c r="B68" s="9" t="s">
        <v>126</v>
      </c>
      <c r="C68" s="13">
        <v>11548</v>
      </c>
      <c r="D68" s="18">
        <v>8.4</v>
      </c>
      <c r="E68" s="13">
        <v>5939</v>
      </c>
      <c r="F68" s="13">
        <v>5609</v>
      </c>
      <c r="G68" s="13">
        <v>1059</v>
      </c>
      <c r="H68" s="13">
        <v>6072</v>
      </c>
      <c r="I68" s="15">
        <v>0.52600000000000002</v>
      </c>
      <c r="J68" s="13">
        <v>38</v>
      </c>
      <c r="K68" s="18">
        <v>3.3</v>
      </c>
      <c r="L68" s="13">
        <v>56</v>
      </c>
      <c r="M68" s="18">
        <v>4.8</v>
      </c>
      <c r="N68" s="13">
        <v>24</v>
      </c>
      <c r="O68" s="18">
        <v>2.1</v>
      </c>
      <c r="P68" s="13">
        <v>35</v>
      </c>
      <c r="Q68" s="18">
        <v>3</v>
      </c>
      <c r="R68" s="13">
        <v>16755</v>
      </c>
      <c r="S68" s="18">
        <v>12.1</v>
      </c>
      <c r="T68" s="13">
        <v>8324</v>
      </c>
      <c r="U68" s="13">
        <v>8431</v>
      </c>
      <c r="V68" s="13">
        <v>3205</v>
      </c>
      <c r="W68" s="18">
        <v>2.2999999999999998</v>
      </c>
      <c r="X68" s="13">
        <v>3070</v>
      </c>
      <c r="Y68" s="13">
        <v>135</v>
      </c>
      <c r="Z68" s="13">
        <v>21</v>
      </c>
      <c r="AA68" s="13">
        <v>13</v>
      </c>
      <c r="AB68" s="13">
        <v>133</v>
      </c>
    </row>
    <row r="69" spans="1:28" x14ac:dyDescent="0.35">
      <c r="A69" s="9">
        <v>2024</v>
      </c>
      <c r="B69" s="9" t="s">
        <v>127</v>
      </c>
      <c r="C69" s="13">
        <v>11019</v>
      </c>
      <c r="D69" s="18">
        <v>8</v>
      </c>
      <c r="E69" s="13">
        <v>5536</v>
      </c>
      <c r="F69" s="13">
        <v>5483</v>
      </c>
      <c r="G69" s="13">
        <v>1010</v>
      </c>
      <c r="H69" s="13">
        <v>5670</v>
      </c>
      <c r="I69" s="15">
        <v>0.51500000000000001</v>
      </c>
      <c r="J69" s="13">
        <v>42</v>
      </c>
      <c r="K69" s="18">
        <v>3.8</v>
      </c>
      <c r="L69" s="13">
        <v>54</v>
      </c>
      <c r="M69" s="18">
        <v>4.9000000000000004</v>
      </c>
      <c r="N69" s="13">
        <v>22</v>
      </c>
      <c r="O69" s="18">
        <v>2</v>
      </c>
      <c r="P69" s="13">
        <v>35</v>
      </c>
      <c r="Q69" s="18">
        <v>3.2</v>
      </c>
      <c r="R69" s="13">
        <v>15049</v>
      </c>
      <c r="S69" s="18">
        <v>10.9</v>
      </c>
      <c r="T69" s="13">
        <v>7671</v>
      </c>
      <c r="U69" s="13">
        <v>7378</v>
      </c>
      <c r="V69" s="13">
        <v>7925</v>
      </c>
      <c r="W69" s="18">
        <v>5.7</v>
      </c>
      <c r="X69" s="13">
        <v>7610</v>
      </c>
      <c r="Y69" s="13">
        <v>315</v>
      </c>
      <c r="Z69" s="13">
        <v>15</v>
      </c>
      <c r="AA69" s="13">
        <v>14</v>
      </c>
      <c r="AB69" s="13">
        <v>159</v>
      </c>
    </row>
    <row r="70" spans="1:28" x14ac:dyDescent="0.35">
      <c r="A70" s="9">
        <v>2024</v>
      </c>
      <c r="B70" s="9" t="s">
        <v>128</v>
      </c>
      <c r="C70" s="13">
        <v>11783</v>
      </c>
      <c r="D70" s="18">
        <v>8.5</v>
      </c>
      <c r="E70" s="13">
        <v>6119</v>
      </c>
      <c r="F70" s="13">
        <v>5664</v>
      </c>
      <c r="G70" s="13">
        <v>1080</v>
      </c>
      <c r="H70" s="13">
        <v>6087</v>
      </c>
      <c r="I70" s="15">
        <v>0.51700000000000002</v>
      </c>
      <c r="J70" s="13">
        <v>44</v>
      </c>
      <c r="K70" s="18">
        <v>3.7</v>
      </c>
      <c r="L70" s="13">
        <v>66</v>
      </c>
      <c r="M70" s="18">
        <v>5.6</v>
      </c>
      <c r="N70" s="13">
        <v>28</v>
      </c>
      <c r="O70" s="18">
        <v>2.4</v>
      </c>
      <c r="P70" s="13">
        <v>39</v>
      </c>
      <c r="Q70" s="18">
        <v>3.3</v>
      </c>
      <c r="R70" s="13">
        <v>14435</v>
      </c>
      <c r="S70" s="18">
        <v>10.4</v>
      </c>
      <c r="T70" s="13">
        <v>7296</v>
      </c>
      <c r="U70" s="13">
        <v>7139</v>
      </c>
      <c r="V70" s="13">
        <v>9619</v>
      </c>
      <c r="W70" s="18">
        <v>6.9</v>
      </c>
      <c r="X70" s="13">
        <v>9238</v>
      </c>
      <c r="Y70" s="13">
        <v>381</v>
      </c>
      <c r="Z70" s="13">
        <v>9</v>
      </c>
      <c r="AA70" s="13">
        <v>23</v>
      </c>
      <c r="AB70" s="13">
        <v>197</v>
      </c>
    </row>
    <row r="71" spans="1:28" x14ac:dyDescent="0.35">
      <c r="A71" s="9">
        <v>2024</v>
      </c>
      <c r="B71" s="9" t="s">
        <v>129</v>
      </c>
      <c r="C71" s="13">
        <v>11413</v>
      </c>
      <c r="D71" s="18">
        <v>8.1999999999999993</v>
      </c>
      <c r="E71" s="13">
        <v>5835</v>
      </c>
      <c r="F71" s="13">
        <v>5578</v>
      </c>
      <c r="G71" s="13">
        <v>1046</v>
      </c>
      <c r="H71" s="13">
        <v>5835</v>
      </c>
      <c r="I71" s="15">
        <v>0.51100000000000001</v>
      </c>
      <c r="J71" s="13">
        <v>35</v>
      </c>
      <c r="K71" s="18">
        <v>3.1</v>
      </c>
      <c r="L71" s="13">
        <v>59</v>
      </c>
      <c r="M71" s="18">
        <v>5.2</v>
      </c>
      <c r="N71" s="13">
        <v>34</v>
      </c>
      <c r="O71" s="18">
        <v>3</v>
      </c>
      <c r="P71" s="13">
        <v>50</v>
      </c>
      <c r="Q71" s="18">
        <v>4.4000000000000004</v>
      </c>
      <c r="R71" s="13">
        <v>16052</v>
      </c>
      <c r="S71" s="18">
        <v>11.5</v>
      </c>
      <c r="T71" s="13">
        <v>7967</v>
      </c>
      <c r="U71" s="13">
        <v>8085</v>
      </c>
      <c r="V71" s="13">
        <v>6206</v>
      </c>
      <c r="W71" s="18">
        <v>4.5</v>
      </c>
      <c r="X71" s="13">
        <v>5951</v>
      </c>
      <c r="Y71" s="13">
        <v>255</v>
      </c>
      <c r="Z71" s="13">
        <v>22</v>
      </c>
      <c r="AA71" s="13">
        <v>18</v>
      </c>
      <c r="AB71" s="13">
        <v>172</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52"/>
  <sheetViews>
    <sheetView workbookViewId="0"/>
  </sheetViews>
  <sheetFormatPr defaultColWidth="11.61328125" defaultRowHeight="15.5" x14ac:dyDescent="0.35"/>
  <cols>
    <col min="1" max="1" width="14.69140625" customWidth="1"/>
    <col min="2" max="2" width="25.61328125" bestFit="1" customWidth="1"/>
    <col min="3" max="7" width="10.61328125" bestFit="1" customWidth="1"/>
    <col min="8" max="8" width="12.765625" customWidth="1"/>
    <col min="9" max="20" width="10.61328125" bestFit="1" customWidth="1"/>
    <col min="21" max="21" width="12.765625" customWidth="1"/>
    <col min="22" max="26" width="10.61328125" bestFit="1" customWidth="1"/>
    <col min="27" max="29" width="12.765625" customWidth="1"/>
  </cols>
  <sheetData>
    <row r="1" spans="1:29" ht="20" x14ac:dyDescent="0.4">
      <c r="A1" s="5" t="s">
        <v>305</v>
      </c>
    </row>
    <row r="2" spans="1:29" x14ac:dyDescent="0.35">
      <c r="A2" t="s">
        <v>22</v>
      </c>
    </row>
    <row r="3" spans="1:29" x14ac:dyDescent="0.35">
      <c r="A3" t="s">
        <v>67</v>
      </c>
    </row>
    <row r="4" spans="1:29" x14ac:dyDescent="0.35">
      <c r="A4" s="16" t="str">
        <f>HYPERLINK("#'Contents'!A1", "back to contents")</f>
        <v>back to contents</v>
      </c>
    </row>
    <row r="5" spans="1:29" ht="62" x14ac:dyDescent="0.35">
      <c r="A5" s="8" t="s">
        <v>130</v>
      </c>
      <c r="B5" s="8" t="s">
        <v>131</v>
      </c>
      <c r="C5" s="12" t="s">
        <v>132</v>
      </c>
      <c r="D5" s="12" t="s">
        <v>133</v>
      </c>
      <c r="E5" s="12" t="s">
        <v>134</v>
      </c>
      <c r="F5" s="12" t="s">
        <v>73</v>
      </c>
      <c r="G5" s="10" t="s">
        <v>282</v>
      </c>
      <c r="H5" s="10" t="s">
        <v>135</v>
      </c>
      <c r="I5" s="12" t="s">
        <v>74</v>
      </c>
      <c r="J5" s="12" t="s">
        <v>75</v>
      </c>
      <c r="K5" s="12" t="s">
        <v>281</v>
      </c>
      <c r="L5" s="12" t="s">
        <v>280</v>
      </c>
      <c r="M5" s="12" t="s">
        <v>119</v>
      </c>
      <c r="N5" s="12" t="s">
        <v>291</v>
      </c>
      <c r="O5" s="12" t="s">
        <v>121</v>
      </c>
      <c r="P5" s="12" t="s">
        <v>292</v>
      </c>
      <c r="Q5" s="12" t="s">
        <v>79</v>
      </c>
      <c r="R5" s="12" t="s">
        <v>286</v>
      </c>
      <c r="S5" s="12" t="s">
        <v>80</v>
      </c>
      <c r="T5" s="10" t="s">
        <v>287</v>
      </c>
      <c r="U5" s="10" t="s">
        <v>136</v>
      </c>
      <c r="V5" s="12" t="s">
        <v>81</v>
      </c>
      <c r="W5" s="12" t="s">
        <v>82</v>
      </c>
      <c r="X5" s="12" t="s">
        <v>299</v>
      </c>
      <c r="Y5" s="12" t="s">
        <v>300</v>
      </c>
      <c r="Z5" s="12" t="s">
        <v>277</v>
      </c>
      <c r="AA5" s="12" t="s">
        <v>278</v>
      </c>
      <c r="AB5" s="12" t="s">
        <v>279</v>
      </c>
      <c r="AC5" s="12" t="s">
        <v>116</v>
      </c>
    </row>
    <row r="6" spans="1:29" x14ac:dyDescent="0.35">
      <c r="A6" s="9" t="s">
        <v>137</v>
      </c>
      <c r="B6" s="9" t="s">
        <v>138</v>
      </c>
      <c r="C6" s="13">
        <v>5546900</v>
      </c>
      <c r="D6" s="13">
        <v>2695160</v>
      </c>
      <c r="E6" s="13">
        <v>2851740</v>
      </c>
      <c r="F6" s="13">
        <v>45763</v>
      </c>
      <c r="G6" s="18">
        <v>8.2501999999999995</v>
      </c>
      <c r="H6" s="18">
        <v>8.2501999999999995</v>
      </c>
      <c r="I6" s="13">
        <v>23429</v>
      </c>
      <c r="J6" s="13">
        <v>22334</v>
      </c>
      <c r="K6" s="13">
        <v>159</v>
      </c>
      <c r="L6" s="18">
        <v>3.4624000000000001</v>
      </c>
      <c r="M6" s="13">
        <v>235</v>
      </c>
      <c r="N6" s="18">
        <v>5.1173999999999999</v>
      </c>
      <c r="O6" s="13">
        <v>108</v>
      </c>
      <c r="P6" s="18">
        <v>2.36</v>
      </c>
      <c r="Q6" s="13">
        <v>159</v>
      </c>
      <c r="R6" s="18">
        <v>3.4744000000000002</v>
      </c>
      <c r="S6" s="13">
        <v>62291</v>
      </c>
      <c r="T6" s="18">
        <v>11.229900000000001</v>
      </c>
      <c r="U6" s="18">
        <v>11.229900000000001</v>
      </c>
      <c r="V6" s="13">
        <v>31258</v>
      </c>
      <c r="W6" s="13">
        <v>31033</v>
      </c>
      <c r="X6" s="13">
        <v>26955</v>
      </c>
      <c r="Y6" s="13">
        <v>25869</v>
      </c>
      <c r="Z6" s="13">
        <v>1086</v>
      </c>
      <c r="AA6" s="13">
        <v>67</v>
      </c>
      <c r="AB6" s="13">
        <v>68</v>
      </c>
      <c r="AC6" s="13">
        <v>661</v>
      </c>
    </row>
    <row r="7" spans="1:29" ht="29.25" customHeight="1" x14ac:dyDescent="0.35">
      <c r="A7" s="9" t="s">
        <v>139</v>
      </c>
      <c r="B7" s="9" t="s">
        <v>140</v>
      </c>
      <c r="C7" s="13">
        <v>231780</v>
      </c>
      <c r="D7" s="13">
        <v>113549</v>
      </c>
      <c r="E7" s="13">
        <v>118231</v>
      </c>
      <c r="F7" s="13">
        <v>1923</v>
      </c>
      <c r="G7" s="18">
        <v>8.2966999999999995</v>
      </c>
      <c r="H7" s="18">
        <v>6.9465000000000003</v>
      </c>
      <c r="I7" s="13">
        <v>993</v>
      </c>
      <c r="J7" s="13">
        <v>930</v>
      </c>
      <c r="K7" s="13">
        <v>12</v>
      </c>
      <c r="L7" s="18">
        <v>6.2016</v>
      </c>
      <c r="M7" s="13">
        <v>18</v>
      </c>
      <c r="N7" s="18">
        <v>9.3023000000000007</v>
      </c>
      <c r="O7" s="13">
        <v>6</v>
      </c>
      <c r="P7" s="18">
        <v>3.1200999999999999</v>
      </c>
      <c r="Q7" s="13">
        <v>7</v>
      </c>
      <c r="R7" s="18">
        <v>3.6400999999999999</v>
      </c>
      <c r="S7" s="13">
        <v>2170</v>
      </c>
      <c r="T7" s="18">
        <v>9.3622999999999994</v>
      </c>
      <c r="U7" s="18">
        <v>10.736800000000001</v>
      </c>
      <c r="V7" s="13">
        <v>1102</v>
      </c>
      <c r="W7" s="13">
        <v>1068</v>
      </c>
      <c r="X7" s="13">
        <v>645</v>
      </c>
      <c r="Y7" s="13">
        <v>618</v>
      </c>
      <c r="Z7" s="13">
        <v>27</v>
      </c>
      <c r="AA7" s="13">
        <v>3</v>
      </c>
      <c r="AB7" s="13">
        <v>2</v>
      </c>
      <c r="AC7" s="13">
        <v>21</v>
      </c>
    </row>
    <row r="8" spans="1:29" x14ac:dyDescent="0.35">
      <c r="A8" s="9" t="s">
        <v>139</v>
      </c>
      <c r="B8" s="9" t="s">
        <v>141</v>
      </c>
      <c r="C8" s="13">
        <v>265080</v>
      </c>
      <c r="D8" s="13">
        <v>130243</v>
      </c>
      <c r="E8" s="13">
        <v>134837</v>
      </c>
      <c r="F8" s="13">
        <v>1865</v>
      </c>
      <c r="G8" s="18">
        <v>7.0355999999999996</v>
      </c>
      <c r="H8" s="18">
        <v>8.7858999999999998</v>
      </c>
      <c r="I8" s="13">
        <v>967</v>
      </c>
      <c r="J8" s="13">
        <v>898</v>
      </c>
      <c r="K8" s="13">
        <v>4</v>
      </c>
      <c r="L8" s="18">
        <v>2.1402000000000001</v>
      </c>
      <c r="M8" s="13">
        <v>6</v>
      </c>
      <c r="N8" s="18">
        <v>3.2103000000000002</v>
      </c>
      <c r="O8" s="13">
        <v>2</v>
      </c>
      <c r="P8" s="18">
        <v>1.0724</v>
      </c>
      <c r="Q8" s="13">
        <v>8</v>
      </c>
      <c r="R8" s="18">
        <v>4.2895000000000003</v>
      </c>
      <c r="S8" s="13">
        <v>2692</v>
      </c>
      <c r="T8" s="18">
        <v>10.1554</v>
      </c>
      <c r="U8" s="18">
        <v>9.5366</v>
      </c>
      <c r="V8" s="13">
        <v>1365</v>
      </c>
      <c r="W8" s="13">
        <v>1327</v>
      </c>
      <c r="X8" s="13">
        <v>1142</v>
      </c>
      <c r="Y8" s="13">
        <v>1109</v>
      </c>
      <c r="Z8" s="13">
        <v>33</v>
      </c>
      <c r="AA8" s="13">
        <v>2</v>
      </c>
      <c r="AB8" s="13">
        <v>3</v>
      </c>
      <c r="AC8" s="13">
        <v>19</v>
      </c>
    </row>
    <row r="9" spans="1:29" x14ac:dyDescent="0.35">
      <c r="A9" s="9" t="s">
        <v>139</v>
      </c>
      <c r="B9" s="9" t="s">
        <v>142</v>
      </c>
      <c r="C9" s="13">
        <v>114810</v>
      </c>
      <c r="D9" s="13">
        <v>55530</v>
      </c>
      <c r="E9" s="13">
        <v>59280</v>
      </c>
      <c r="F9" s="13">
        <v>874</v>
      </c>
      <c r="G9" s="18">
        <v>7.6125999999999996</v>
      </c>
      <c r="H9" s="18">
        <v>9.5288000000000004</v>
      </c>
      <c r="I9" s="13">
        <v>410</v>
      </c>
      <c r="J9" s="13">
        <v>464</v>
      </c>
      <c r="K9" s="13">
        <v>4</v>
      </c>
      <c r="L9" s="18">
        <v>4.5557999999999996</v>
      </c>
      <c r="M9" s="13">
        <v>5</v>
      </c>
      <c r="N9" s="18">
        <v>5.6947999999999999</v>
      </c>
      <c r="O9" s="13">
        <v>1</v>
      </c>
      <c r="P9" s="18">
        <v>1.1442000000000001</v>
      </c>
      <c r="Q9" s="13">
        <v>1</v>
      </c>
      <c r="R9" s="18">
        <v>1.1442000000000001</v>
      </c>
      <c r="S9" s="13">
        <v>1556</v>
      </c>
      <c r="T9" s="18">
        <v>13.5528</v>
      </c>
      <c r="U9" s="18">
        <v>10.7538</v>
      </c>
      <c r="V9" s="13">
        <v>800</v>
      </c>
      <c r="W9" s="13">
        <v>756</v>
      </c>
      <c r="X9" s="13">
        <v>442</v>
      </c>
      <c r="Y9" s="13">
        <v>430</v>
      </c>
      <c r="Z9" s="13">
        <v>12</v>
      </c>
      <c r="AA9" s="13">
        <v>0</v>
      </c>
      <c r="AB9" s="13">
        <v>1</v>
      </c>
      <c r="AC9" s="13">
        <v>9</v>
      </c>
    </row>
    <row r="10" spans="1:29" x14ac:dyDescent="0.35">
      <c r="A10" s="9" t="s">
        <v>139</v>
      </c>
      <c r="B10" s="9" t="s">
        <v>143</v>
      </c>
      <c r="C10" s="13">
        <v>87690</v>
      </c>
      <c r="D10" s="13">
        <v>43715</v>
      </c>
      <c r="E10" s="13">
        <v>43975</v>
      </c>
      <c r="F10" s="13">
        <v>549</v>
      </c>
      <c r="G10" s="18">
        <v>6.2606999999999999</v>
      </c>
      <c r="H10" s="18">
        <v>9.0062999999999995</v>
      </c>
      <c r="I10" s="13">
        <v>277</v>
      </c>
      <c r="J10" s="13">
        <v>272</v>
      </c>
      <c r="K10" s="13">
        <v>1</v>
      </c>
      <c r="L10" s="18">
        <v>1.8182</v>
      </c>
      <c r="M10" s="13">
        <v>1</v>
      </c>
      <c r="N10" s="18">
        <v>1.8182</v>
      </c>
      <c r="O10" s="13">
        <v>0</v>
      </c>
      <c r="P10" s="18">
        <v>0</v>
      </c>
      <c r="Q10" s="13">
        <v>0</v>
      </c>
      <c r="R10" s="18">
        <v>0</v>
      </c>
      <c r="S10" s="13">
        <v>1200</v>
      </c>
      <c r="T10" s="18">
        <v>13.6846</v>
      </c>
      <c r="U10" s="18">
        <v>10.4057</v>
      </c>
      <c r="V10" s="13">
        <v>630</v>
      </c>
      <c r="W10" s="13">
        <v>570</v>
      </c>
      <c r="X10" s="13">
        <v>926</v>
      </c>
      <c r="Y10" s="13">
        <v>889</v>
      </c>
      <c r="Z10" s="13">
        <v>37</v>
      </c>
      <c r="AA10" s="13">
        <v>3</v>
      </c>
      <c r="AB10" s="13">
        <v>1</v>
      </c>
      <c r="AC10" s="13">
        <v>25</v>
      </c>
    </row>
    <row r="11" spans="1:29" x14ac:dyDescent="0.35">
      <c r="A11" s="9" t="s">
        <v>139</v>
      </c>
      <c r="B11" s="9" t="s">
        <v>144</v>
      </c>
      <c r="C11" s="13">
        <v>530680</v>
      </c>
      <c r="D11" s="13">
        <v>255322</v>
      </c>
      <c r="E11" s="13">
        <v>275358</v>
      </c>
      <c r="F11" s="13">
        <v>4463</v>
      </c>
      <c r="G11" s="18">
        <v>8.41</v>
      </c>
      <c r="H11" s="18">
        <v>6.1916000000000002</v>
      </c>
      <c r="I11" s="13">
        <v>2290</v>
      </c>
      <c r="J11" s="13">
        <v>2173</v>
      </c>
      <c r="K11" s="13">
        <v>15</v>
      </c>
      <c r="L11" s="18">
        <v>3.3496999999999999</v>
      </c>
      <c r="M11" s="13">
        <v>26</v>
      </c>
      <c r="N11" s="18">
        <v>5.8061999999999996</v>
      </c>
      <c r="O11" s="13">
        <v>15</v>
      </c>
      <c r="P11" s="18">
        <v>3.3610000000000002</v>
      </c>
      <c r="Q11" s="13">
        <v>18</v>
      </c>
      <c r="R11" s="18">
        <v>4.0331999999999999</v>
      </c>
      <c r="S11" s="13">
        <v>4443</v>
      </c>
      <c r="T11" s="18">
        <v>8.3722999999999992</v>
      </c>
      <c r="U11" s="18">
        <v>10.031700000000001</v>
      </c>
      <c r="V11" s="13">
        <v>2211</v>
      </c>
      <c r="W11" s="13">
        <v>2232</v>
      </c>
      <c r="X11" s="13">
        <v>2762</v>
      </c>
      <c r="Y11" s="13">
        <v>2606</v>
      </c>
      <c r="Z11" s="13">
        <v>156</v>
      </c>
      <c r="AA11" s="13">
        <v>20</v>
      </c>
      <c r="AB11" s="13">
        <v>20</v>
      </c>
      <c r="AC11" s="13">
        <v>177</v>
      </c>
    </row>
    <row r="12" spans="1:29" x14ac:dyDescent="0.35">
      <c r="A12" s="9" t="s">
        <v>139</v>
      </c>
      <c r="B12" s="9" t="s">
        <v>145</v>
      </c>
      <c r="C12" s="13">
        <v>52110</v>
      </c>
      <c r="D12" s="13">
        <v>25500</v>
      </c>
      <c r="E12" s="13">
        <v>26610</v>
      </c>
      <c r="F12" s="13">
        <v>391</v>
      </c>
      <c r="G12" s="18">
        <v>7.5034000000000001</v>
      </c>
      <c r="H12" s="18">
        <v>8.4324999999999992</v>
      </c>
      <c r="I12" s="13">
        <v>197</v>
      </c>
      <c r="J12" s="13">
        <v>194</v>
      </c>
      <c r="K12" s="13">
        <v>1</v>
      </c>
      <c r="L12" s="18">
        <v>2.5510000000000002</v>
      </c>
      <c r="M12" s="13">
        <v>2</v>
      </c>
      <c r="N12" s="18">
        <v>5.1020000000000003</v>
      </c>
      <c r="O12" s="13">
        <v>2</v>
      </c>
      <c r="P12" s="18">
        <v>5.1151</v>
      </c>
      <c r="Q12" s="13">
        <v>3</v>
      </c>
      <c r="R12" s="18">
        <v>7.6726000000000001</v>
      </c>
      <c r="S12" s="13">
        <v>617</v>
      </c>
      <c r="T12" s="18">
        <v>11.840299999999999</v>
      </c>
      <c r="U12" s="18">
        <v>12.0131</v>
      </c>
      <c r="V12" s="13">
        <v>337</v>
      </c>
      <c r="W12" s="13">
        <v>280</v>
      </c>
      <c r="X12" s="13">
        <v>124</v>
      </c>
      <c r="Y12" s="13">
        <v>120</v>
      </c>
      <c r="Z12" s="13">
        <v>4</v>
      </c>
      <c r="AA12" s="13">
        <v>0</v>
      </c>
      <c r="AB12" s="13">
        <v>0</v>
      </c>
      <c r="AC12" s="13">
        <v>7</v>
      </c>
    </row>
    <row r="13" spans="1:29" x14ac:dyDescent="0.35">
      <c r="A13" s="9" t="s">
        <v>139</v>
      </c>
      <c r="B13" s="9" t="s">
        <v>146</v>
      </c>
      <c r="C13" s="13">
        <v>145860</v>
      </c>
      <c r="D13" s="13">
        <v>70571</v>
      </c>
      <c r="E13" s="13">
        <v>75289</v>
      </c>
      <c r="F13" s="13">
        <v>1054</v>
      </c>
      <c r="G13" s="18">
        <v>7.2260999999999997</v>
      </c>
      <c r="H13" s="18">
        <v>9.5542999999999996</v>
      </c>
      <c r="I13" s="13">
        <v>560</v>
      </c>
      <c r="J13" s="13">
        <v>494</v>
      </c>
      <c r="K13" s="13">
        <v>7</v>
      </c>
      <c r="L13" s="18">
        <v>6.5975000000000001</v>
      </c>
      <c r="M13" s="13">
        <v>11</v>
      </c>
      <c r="N13" s="18">
        <v>10.367599999999999</v>
      </c>
      <c r="O13" s="13">
        <v>6</v>
      </c>
      <c r="P13" s="18">
        <v>5.6925999999999997</v>
      </c>
      <c r="Q13" s="13">
        <v>7</v>
      </c>
      <c r="R13" s="18">
        <v>6.6414</v>
      </c>
      <c r="S13" s="13">
        <v>2074</v>
      </c>
      <c r="T13" s="18">
        <v>14.219099999999999</v>
      </c>
      <c r="U13" s="18">
        <v>10.603199999999999</v>
      </c>
      <c r="V13" s="13">
        <v>1069</v>
      </c>
      <c r="W13" s="13">
        <v>1005</v>
      </c>
      <c r="X13" s="13">
        <v>4748</v>
      </c>
      <c r="Y13" s="13">
        <v>4581</v>
      </c>
      <c r="Z13" s="13">
        <v>167</v>
      </c>
      <c r="AA13" s="13">
        <v>6</v>
      </c>
      <c r="AB13" s="13">
        <v>7</v>
      </c>
      <c r="AC13" s="13">
        <v>31</v>
      </c>
    </row>
    <row r="14" spans="1:29" x14ac:dyDescent="0.35">
      <c r="A14" s="9" t="s">
        <v>139</v>
      </c>
      <c r="B14" s="9" t="s">
        <v>147</v>
      </c>
      <c r="C14" s="13">
        <v>149880</v>
      </c>
      <c r="D14" s="13">
        <v>73157</v>
      </c>
      <c r="E14" s="13">
        <v>76723</v>
      </c>
      <c r="F14" s="13">
        <v>1312</v>
      </c>
      <c r="G14" s="18">
        <v>8.7537000000000003</v>
      </c>
      <c r="H14" s="18">
        <v>7.7099000000000002</v>
      </c>
      <c r="I14" s="13">
        <v>658</v>
      </c>
      <c r="J14" s="13">
        <v>654</v>
      </c>
      <c r="K14" s="13">
        <v>6</v>
      </c>
      <c r="L14" s="18">
        <v>4.5523999999999996</v>
      </c>
      <c r="M14" s="13">
        <v>10</v>
      </c>
      <c r="N14" s="18">
        <v>7.5872999999999999</v>
      </c>
      <c r="O14" s="13">
        <v>4</v>
      </c>
      <c r="P14" s="18">
        <v>3.0488</v>
      </c>
      <c r="Q14" s="13">
        <v>7</v>
      </c>
      <c r="R14" s="18">
        <v>5.3353999999999999</v>
      </c>
      <c r="S14" s="13">
        <v>1731</v>
      </c>
      <c r="T14" s="18">
        <v>11.549200000000001</v>
      </c>
      <c r="U14" s="18">
        <v>12.503</v>
      </c>
      <c r="V14" s="13">
        <v>866</v>
      </c>
      <c r="W14" s="13">
        <v>865</v>
      </c>
      <c r="X14" s="13">
        <v>413</v>
      </c>
      <c r="Y14" s="13">
        <v>391</v>
      </c>
      <c r="Z14" s="13">
        <v>22</v>
      </c>
      <c r="AA14" s="13">
        <v>4</v>
      </c>
      <c r="AB14" s="13">
        <v>2</v>
      </c>
      <c r="AC14" s="13">
        <v>15</v>
      </c>
    </row>
    <row r="15" spans="1:29" x14ac:dyDescent="0.35">
      <c r="A15" s="9" t="s">
        <v>139</v>
      </c>
      <c r="B15" s="9" t="s">
        <v>148</v>
      </c>
      <c r="C15" s="13">
        <v>121480</v>
      </c>
      <c r="D15" s="13">
        <v>58805</v>
      </c>
      <c r="E15" s="13">
        <v>62675</v>
      </c>
      <c r="F15" s="13">
        <v>1043</v>
      </c>
      <c r="G15" s="18">
        <v>8.5858000000000008</v>
      </c>
      <c r="H15" s="18">
        <v>9.5855999999999995</v>
      </c>
      <c r="I15" s="13">
        <v>552</v>
      </c>
      <c r="J15" s="13">
        <v>491</v>
      </c>
      <c r="K15" s="13">
        <v>4</v>
      </c>
      <c r="L15" s="18">
        <v>3.8203999999999998</v>
      </c>
      <c r="M15" s="13">
        <v>6</v>
      </c>
      <c r="N15" s="18">
        <v>5.7306999999999997</v>
      </c>
      <c r="O15" s="13">
        <v>4</v>
      </c>
      <c r="P15" s="18">
        <v>3.8351000000000002</v>
      </c>
      <c r="Q15" s="13">
        <v>8</v>
      </c>
      <c r="R15" s="18">
        <v>7.6702000000000004</v>
      </c>
      <c r="S15" s="13">
        <v>1589</v>
      </c>
      <c r="T15" s="18">
        <v>13.080299999999999</v>
      </c>
      <c r="U15" s="18">
        <v>12.634</v>
      </c>
      <c r="V15" s="13">
        <v>806</v>
      </c>
      <c r="W15" s="13">
        <v>783</v>
      </c>
      <c r="X15" s="13">
        <v>514</v>
      </c>
      <c r="Y15" s="13">
        <v>507</v>
      </c>
      <c r="Z15" s="13">
        <v>7</v>
      </c>
      <c r="AA15" s="13">
        <v>1</v>
      </c>
      <c r="AB15" s="13">
        <v>2</v>
      </c>
      <c r="AC15" s="13">
        <v>5</v>
      </c>
    </row>
    <row r="16" spans="1:29" x14ac:dyDescent="0.35">
      <c r="A16" s="9" t="s">
        <v>139</v>
      </c>
      <c r="B16" s="9" t="s">
        <v>149</v>
      </c>
      <c r="C16" s="13">
        <v>109970</v>
      </c>
      <c r="D16" s="13">
        <v>52858</v>
      </c>
      <c r="E16" s="13">
        <v>57112</v>
      </c>
      <c r="F16" s="13">
        <v>806</v>
      </c>
      <c r="G16" s="18">
        <v>7.3292999999999999</v>
      </c>
      <c r="H16" s="18">
        <v>9.9078999999999997</v>
      </c>
      <c r="I16" s="13">
        <v>413</v>
      </c>
      <c r="J16" s="13">
        <v>393</v>
      </c>
      <c r="K16" s="13">
        <v>2</v>
      </c>
      <c r="L16" s="18">
        <v>2.4752000000000001</v>
      </c>
      <c r="M16" s="13">
        <v>2</v>
      </c>
      <c r="N16" s="18">
        <v>2.4752000000000001</v>
      </c>
      <c r="O16" s="13">
        <v>1</v>
      </c>
      <c r="P16" s="18">
        <v>1.2406999999999999</v>
      </c>
      <c r="Q16" s="13">
        <v>1</v>
      </c>
      <c r="R16" s="18">
        <v>1.2406999999999999</v>
      </c>
      <c r="S16" s="13">
        <v>1203</v>
      </c>
      <c r="T16" s="18">
        <v>10.939299999999999</v>
      </c>
      <c r="U16" s="18">
        <v>8.6730999999999998</v>
      </c>
      <c r="V16" s="13">
        <v>599</v>
      </c>
      <c r="W16" s="13">
        <v>604</v>
      </c>
      <c r="X16" s="13">
        <v>354</v>
      </c>
      <c r="Y16" s="13">
        <v>333</v>
      </c>
      <c r="Z16" s="13">
        <v>21</v>
      </c>
      <c r="AA16" s="13">
        <v>0</v>
      </c>
      <c r="AB16" s="13">
        <v>1</v>
      </c>
      <c r="AC16" s="13">
        <v>6</v>
      </c>
    </row>
    <row r="17" spans="1:29" x14ac:dyDescent="0.35">
      <c r="A17" s="9" t="s">
        <v>139</v>
      </c>
      <c r="B17" s="9" t="s">
        <v>150</v>
      </c>
      <c r="C17" s="13">
        <v>115180</v>
      </c>
      <c r="D17" s="13">
        <v>55161</v>
      </c>
      <c r="E17" s="13">
        <v>60019</v>
      </c>
      <c r="F17" s="13">
        <v>984</v>
      </c>
      <c r="G17" s="18">
        <v>8.5431000000000008</v>
      </c>
      <c r="H17" s="18">
        <v>9.6136999999999997</v>
      </c>
      <c r="I17" s="13">
        <v>505</v>
      </c>
      <c r="J17" s="13">
        <v>479</v>
      </c>
      <c r="K17" s="13">
        <v>3</v>
      </c>
      <c r="L17" s="18">
        <v>3.0394999999999999</v>
      </c>
      <c r="M17" s="13">
        <v>4</v>
      </c>
      <c r="N17" s="18">
        <v>4.0526999999999997</v>
      </c>
      <c r="O17" s="13">
        <v>2</v>
      </c>
      <c r="P17" s="18">
        <v>2.0325000000000002</v>
      </c>
      <c r="Q17" s="13">
        <v>3</v>
      </c>
      <c r="R17" s="18">
        <v>3.0488</v>
      </c>
      <c r="S17" s="13">
        <v>1226</v>
      </c>
      <c r="T17" s="18">
        <v>10.6442</v>
      </c>
      <c r="U17" s="18">
        <v>9.9146000000000001</v>
      </c>
      <c r="V17" s="13">
        <v>649</v>
      </c>
      <c r="W17" s="13">
        <v>577</v>
      </c>
      <c r="X17" s="13">
        <v>584</v>
      </c>
      <c r="Y17" s="13">
        <v>566</v>
      </c>
      <c r="Z17" s="13">
        <v>18</v>
      </c>
      <c r="AA17" s="13">
        <v>0</v>
      </c>
      <c r="AB17" s="13">
        <v>0</v>
      </c>
      <c r="AC17" s="13">
        <v>15</v>
      </c>
    </row>
    <row r="18" spans="1:29" x14ac:dyDescent="0.35">
      <c r="A18" s="9" t="s">
        <v>139</v>
      </c>
      <c r="B18" s="9" t="s">
        <v>151</v>
      </c>
      <c r="C18" s="13">
        <v>99830</v>
      </c>
      <c r="D18" s="13">
        <v>47877</v>
      </c>
      <c r="E18" s="13">
        <v>51953</v>
      </c>
      <c r="F18" s="13">
        <v>784</v>
      </c>
      <c r="G18" s="18">
        <v>7.8533999999999997</v>
      </c>
      <c r="H18" s="18">
        <v>10.311400000000001</v>
      </c>
      <c r="I18" s="13">
        <v>407</v>
      </c>
      <c r="J18" s="13">
        <v>377</v>
      </c>
      <c r="K18" s="13">
        <v>2</v>
      </c>
      <c r="L18" s="18">
        <v>2.5445000000000002</v>
      </c>
      <c r="M18" s="13">
        <v>2</v>
      </c>
      <c r="N18" s="18">
        <v>2.5445000000000002</v>
      </c>
      <c r="O18" s="13">
        <v>0</v>
      </c>
      <c r="P18" s="18">
        <v>0</v>
      </c>
      <c r="Q18" s="13">
        <v>2</v>
      </c>
      <c r="R18" s="18">
        <v>2.5510000000000002</v>
      </c>
      <c r="S18" s="13">
        <v>983</v>
      </c>
      <c r="T18" s="18">
        <v>9.8467000000000002</v>
      </c>
      <c r="U18" s="18">
        <v>8.6818000000000008</v>
      </c>
      <c r="V18" s="13">
        <v>470</v>
      </c>
      <c r="W18" s="13">
        <v>513</v>
      </c>
      <c r="X18" s="13">
        <v>492</v>
      </c>
      <c r="Y18" s="13">
        <v>472</v>
      </c>
      <c r="Z18" s="13">
        <v>20</v>
      </c>
      <c r="AA18" s="13">
        <v>0</v>
      </c>
      <c r="AB18" s="13">
        <v>0</v>
      </c>
      <c r="AC18" s="13">
        <v>11</v>
      </c>
    </row>
    <row r="19" spans="1:29" x14ac:dyDescent="0.35">
      <c r="A19" s="9" t="s">
        <v>139</v>
      </c>
      <c r="B19" s="9" t="s">
        <v>152</v>
      </c>
      <c r="C19" s="13">
        <v>160020</v>
      </c>
      <c r="D19" s="13">
        <v>77764</v>
      </c>
      <c r="E19" s="13">
        <v>82256</v>
      </c>
      <c r="F19" s="13">
        <v>1332</v>
      </c>
      <c r="G19" s="18">
        <v>8.3239999999999998</v>
      </c>
      <c r="H19" s="18">
        <v>8.7662999999999993</v>
      </c>
      <c r="I19" s="13">
        <v>673</v>
      </c>
      <c r="J19" s="13">
        <v>659</v>
      </c>
      <c r="K19" s="13">
        <v>4</v>
      </c>
      <c r="L19" s="18">
        <v>2.9940000000000002</v>
      </c>
      <c r="M19" s="13">
        <v>10</v>
      </c>
      <c r="N19" s="18">
        <v>7.4850000000000003</v>
      </c>
      <c r="O19" s="13">
        <v>6</v>
      </c>
      <c r="P19" s="18">
        <v>4.5045000000000002</v>
      </c>
      <c r="Q19" s="13">
        <v>8</v>
      </c>
      <c r="R19" s="18">
        <v>6.0060000000000002</v>
      </c>
      <c r="S19" s="13">
        <v>1902</v>
      </c>
      <c r="T19" s="18">
        <v>11.885999999999999</v>
      </c>
      <c r="U19" s="18">
        <v>12.269299999999999</v>
      </c>
      <c r="V19" s="13">
        <v>975</v>
      </c>
      <c r="W19" s="13">
        <v>927</v>
      </c>
      <c r="X19" s="13">
        <v>508</v>
      </c>
      <c r="Y19" s="13">
        <v>490</v>
      </c>
      <c r="Z19" s="13">
        <v>18</v>
      </c>
      <c r="AA19" s="13">
        <v>2</v>
      </c>
      <c r="AB19" s="13">
        <v>1</v>
      </c>
      <c r="AC19" s="13">
        <v>5</v>
      </c>
    </row>
    <row r="20" spans="1:29" x14ac:dyDescent="0.35">
      <c r="A20" s="9" t="s">
        <v>139</v>
      </c>
      <c r="B20" s="9" t="s">
        <v>153</v>
      </c>
      <c r="C20" s="13">
        <v>374760</v>
      </c>
      <c r="D20" s="13">
        <v>181146</v>
      </c>
      <c r="E20" s="13">
        <v>193614</v>
      </c>
      <c r="F20" s="13">
        <v>2815</v>
      </c>
      <c r="G20" s="18">
        <v>7.5114999999999998</v>
      </c>
      <c r="H20" s="18">
        <v>8.3153000000000006</v>
      </c>
      <c r="I20" s="13">
        <v>1463</v>
      </c>
      <c r="J20" s="13">
        <v>1352</v>
      </c>
      <c r="K20" s="13">
        <v>12</v>
      </c>
      <c r="L20" s="18">
        <v>4.2447999999999997</v>
      </c>
      <c r="M20" s="13">
        <v>17</v>
      </c>
      <c r="N20" s="18">
        <v>6.0133999999999999</v>
      </c>
      <c r="O20" s="13">
        <v>9</v>
      </c>
      <c r="P20" s="18">
        <v>3.1972</v>
      </c>
      <c r="Q20" s="13">
        <v>15</v>
      </c>
      <c r="R20" s="18">
        <v>5.3285999999999998</v>
      </c>
      <c r="S20" s="13">
        <v>4468</v>
      </c>
      <c r="T20" s="18">
        <v>11.9223</v>
      </c>
      <c r="U20" s="18">
        <v>11.1234</v>
      </c>
      <c r="V20" s="13">
        <v>2161</v>
      </c>
      <c r="W20" s="13">
        <v>2307</v>
      </c>
      <c r="X20" s="13">
        <v>1573</v>
      </c>
      <c r="Y20" s="13">
        <v>1503</v>
      </c>
      <c r="Z20" s="13">
        <v>70</v>
      </c>
      <c r="AA20" s="13">
        <v>2</v>
      </c>
      <c r="AB20" s="13">
        <v>3</v>
      </c>
      <c r="AC20" s="13">
        <v>24</v>
      </c>
    </row>
    <row r="21" spans="1:29" x14ac:dyDescent="0.35">
      <c r="A21" s="9" t="s">
        <v>139</v>
      </c>
      <c r="B21" s="9" t="s">
        <v>154</v>
      </c>
      <c r="C21" s="13">
        <v>650300</v>
      </c>
      <c r="D21" s="13">
        <v>318246</v>
      </c>
      <c r="E21" s="13">
        <v>332054</v>
      </c>
      <c r="F21" s="13">
        <v>6150</v>
      </c>
      <c r="G21" s="18">
        <v>9.4572000000000003</v>
      </c>
      <c r="H21" s="18">
        <v>6.8085000000000004</v>
      </c>
      <c r="I21" s="13">
        <v>3142</v>
      </c>
      <c r="J21" s="13">
        <v>3008</v>
      </c>
      <c r="K21" s="13">
        <v>19</v>
      </c>
      <c r="L21" s="18">
        <v>3.0798999999999999</v>
      </c>
      <c r="M21" s="13">
        <v>25</v>
      </c>
      <c r="N21" s="18">
        <v>4.0525000000000002</v>
      </c>
      <c r="O21" s="13">
        <v>11</v>
      </c>
      <c r="P21" s="18">
        <v>1.7886</v>
      </c>
      <c r="Q21" s="13">
        <v>20</v>
      </c>
      <c r="R21" s="18">
        <v>3.2519999999999998</v>
      </c>
      <c r="S21" s="13">
        <v>6347</v>
      </c>
      <c r="T21" s="18">
        <v>9.7600999999999996</v>
      </c>
      <c r="U21" s="18">
        <v>14.1684</v>
      </c>
      <c r="V21" s="13">
        <v>3166</v>
      </c>
      <c r="W21" s="13">
        <v>3181</v>
      </c>
      <c r="X21" s="13">
        <v>2127</v>
      </c>
      <c r="Y21" s="13">
        <v>2014</v>
      </c>
      <c r="Z21" s="13">
        <v>113</v>
      </c>
      <c r="AA21" s="13">
        <v>9</v>
      </c>
      <c r="AB21" s="13">
        <v>7</v>
      </c>
      <c r="AC21" s="13">
        <v>79</v>
      </c>
    </row>
    <row r="22" spans="1:29" x14ac:dyDescent="0.35">
      <c r="A22" s="9" t="s">
        <v>139</v>
      </c>
      <c r="B22" s="9" t="s">
        <v>155</v>
      </c>
      <c r="C22" s="13">
        <v>237290</v>
      </c>
      <c r="D22" s="13">
        <v>116236</v>
      </c>
      <c r="E22" s="13">
        <v>121054</v>
      </c>
      <c r="F22" s="13">
        <v>1748</v>
      </c>
      <c r="G22" s="18">
        <v>7.3665000000000003</v>
      </c>
      <c r="H22" s="18">
        <v>9.1327999999999996</v>
      </c>
      <c r="I22" s="13">
        <v>882</v>
      </c>
      <c r="J22" s="13">
        <v>866</v>
      </c>
      <c r="K22" s="13">
        <v>7</v>
      </c>
      <c r="L22" s="18">
        <v>3.9885999999999999</v>
      </c>
      <c r="M22" s="13">
        <v>7</v>
      </c>
      <c r="N22" s="18">
        <v>3.9885999999999999</v>
      </c>
      <c r="O22" s="13">
        <v>1</v>
      </c>
      <c r="P22" s="18">
        <v>0.57210000000000005</v>
      </c>
      <c r="Q22" s="13">
        <v>3</v>
      </c>
      <c r="R22" s="18">
        <v>1.7161999999999999</v>
      </c>
      <c r="S22" s="13">
        <v>2855</v>
      </c>
      <c r="T22" s="18">
        <v>12.031700000000001</v>
      </c>
      <c r="U22" s="18">
        <v>10.2165</v>
      </c>
      <c r="V22" s="13">
        <v>1484</v>
      </c>
      <c r="W22" s="13">
        <v>1371</v>
      </c>
      <c r="X22" s="13">
        <v>1711</v>
      </c>
      <c r="Y22" s="13">
        <v>1646</v>
      </c>
      <c r="Z22" s="13">
        <v>65</v>
      </c>
      <c r="AA22" s="13">
        <v>3</v>
      </c>
      <c r="AB22" s="13">
        <v>4</v>
      </c>
      <c r="AC22" s="13">
        <v>39</v>
      </c>
    </row>
    <row r="23" spans="1:29" x14ac:dyDescent="0.35">
      <c r="A23" s="9" t="s">
        <v>139</v>
      </c>
      <c r="B23" s="9" t="s">
        <v>156</v>
      </c>
      <c r="C23" s="13">
        <v>78880</v>
      </c>
      <c r="D23" s="13">
        <v>38080</v>
      </c>
      <c r="E23" s="13">
        <v>40800</v>
      </c>
      <c r="F23" s="13">
        <v>594</v>
      </c>
      <c r="G23" s="18">
        <v>7.5304000000000002</v>
      </c>
      <c r="H23" s="18">
        <v>8.6245999999999992</v>
      </c>
      <c r="I23" s="13">
        <v>304</v>
      </c>
      <c r="J23" s="13">
        <v>290</v>
      </c>
      <c r="K23" s="13">
        <v>2</v>
      </c>
      <c r="L23" s="18">
        <v>3.3557000000000001</v>
      </c>
      <c r="M23" s="13">
        <v>3</v>
      </c>
      <c r="N23" s="18">
        <v>5.0335999999999999</v>
      </c>
      <c r="O23" s="13">
        <v>1</v>
      </c>
      <c r="P23" s="18">
        <v>1.6835</v>
      </c>
      <c r="Q23" s="13">
        <v>1</v>
      </c>
      <c r="R23" s="18">
        <v>1.6835</v>
      </c>
      <c r="S23" s="13">
        <v>1126</v>
      </c>
      <c r="T23" s="18">
        <v>14.274800000000001</v>
      </c>
      <c r="U23" s="18">
        <v>12.8977</v>
      </c>
      <c r="V23" s="13">
        <v>560</v>
      </c>
      <c r="W23" s="13">
        <v>566</v>
      </c>
      <c r="X23" s="13">
        <v>127</v>
      </c>
      <c r="Y23" s="13">
        <v>120</v>
      </c>
      <c r="Z23" s="13">
        <v>7</v>
      </c>
      <c r="AA23" s="13">
        <v>0</v>
      </c>
      <c r="AB23" s="13">
        <v>0</v>
      </c>
      <c r="AC23" s="13">
        <v>4</v>
      </c>
    </row>
    <row r="24" spans="1:29" x14ac:dyDescent="0.35">
      <c r="A24" s="9" t="s">
        <v>139</v>
      </c>
      <c r="B24" s="9" t="s">
        <v>157</v>
      </c>
      <c r="C24" s="13">
        <v>99880</v>
      </c>
      <c r="D24" s="13">
        <v>48333</v>
      </c>
      <c r="E24" s="13">
        <v>51547</v>
      </c>
      <c r="F24" s="13">
        <v>1071</v>
      </c>
      <c r="G24" s="18">
        <v>10.722899999999999</v>
      </c>
      <c r="H24" s="18">
        <v>10.7555</v>
      </c>
      <c r="I24" s="13">
        <v>521</v>
      </c>
      <c r="J24" s="13">
        <v>550</v>
      </c>
      <c r="K24" s="13">
        <v>2</v>
      </c>
      <c r="L24" s="18">
        <v>1.8638999999999999</v>
      </c>
      <c r="M24" s="13">
        <v>6</v>
      </c>
      <c r="N24" s="18">
        <v>5.5918000000000001</v>
      </c>
      <c r="O24" s="13">
        <v>4</v>
      </c>
      <c r="P24" s="18">
        <v>3.7347999999999999</v>
      </c>
      <c r="Q24" s="13">
        <v>6</v>
      </c>
      <c r="R24" s="18">
        <v>5.6021999999999998</v>
      </c>
      <c r="S24" s="13">
        <v>967</v>
      </c>
      <c r="T24" s="18">
        <v>9.6815999999999995</v>
      </c>
      <c r="U24" s="18">
        <v>10.4436</v>
      </c>
      <c r="V24" s="13">
        <v>489</v>
      </c>
      <c r="W24" s="13">
        <v>478</v>
      </c>
      <c r="X24" s="13">
        <v>404</v>
      </c>
      <c r="Y24" s="13">
        <v>396</v>
      </c>
      <c r="Z24" s="13">
        <v>8</v>
      </c>
      <c r="AA24" s="13">
        <v>0</v>
      </c>
      <c r="AB24" s="13">
        <v>0</v>
      </c>
      <c r="AC24" s="13">
        <v>12</v>
      </c>
    </row>
    <row r="25" spans="1:29" x14ac:dyDescent="0.35">
      <c r="A25" s="9" t="s">
        <v>139</v>
      </c>
      <c r="B25" s="9" t="s">
        <v>158</v>
      </c>
      <c r="C25" s="13">
        <v>95010</v>
      </c>
      <c r="D25" s="13">
        <v>46969</v>
      </c>
      <c r="E25" s="13">
        <v>48041</v>
      </c>
      <c r="F25" s="13">
        <v>690</v>
      </c>
      <c r="G25" s="18">
        <v>7.2624000000000004</v>
      </c>
      <c r="H25" s="18">
        <v>8.8597000000000001</v>
      </c>
      <c r="I25" s="13">
        <v>339</v>
      </c>
      <c r="J25" s="13">
        <v>351</v>
      </c>
      <c r="K25" s="13">
        <v>2</v>
      </c>
      <c r="L25" s="18">
        <v>2.8902000000000001</v>
      </c>
      <c r="M25" s="13">
        <v>3</v>
      </c>
      <c r="N25" s="18">
        <v>4.3353000000000002</v>
      </c>
      <c r="O25" s="13">
        <v>1</v>
      </c>
      <c r="P25" s="18">
        <v>1.4493</v>
      </c>
      <c r="Q25" s="13">
        <v>2</v>
      </c>
      <c r="R25" s="18">
        <v>2.8986000000000001</v>
      </c>
      <c r="S25" s="13">
        <v>1169</v>
      </c>
      <c r="T25" s="18">
        <v>12.304</v>
      </c>
      <c r="U25" s="18">
        <v>10.8316</v>
      </c>
      <c r="V25" s="13">
        <v>608</v>
      </c>
      <c r="W25" s="13">
        <v>561</v>
      </c>
      <c r="X25" s="13">
        <v>297</v>
      </c>
      <c r="Y25" s="13">
        <v>288</v>
      </c>
      <c r="Z25" s="13">
        <v>9</v>
      </c>
      <c r="AA25" s="13">
        <v>1</v>
      </c>
      <c r="AB25" s="13">
        <v>3</v>
      </c>
      <c r="AC25" s="13">
        <v>20</v>
      </c>
    </row>
    <row r="26" spans="1:29" x14ac:dyDescent="0.35">
      <c r="A26" s="9" t="s">
        <v>139</v>
      </c>
      <c r="B26" s="9" t="s">
        <v>159</v>
      </c>
      <c r="C26" s="13">
        <v>26020</v>
      </c>
      <c r="D26" s="13">
        <v>12900</v>
      </c>
      <c r="E26" s="13">
        <v>13120</v>
      </c>
      <c r="F26" s="13">
        <v>176</v>
      </c>
      <c r="G26" s="18">
        <v>6.7640000000000002</v>
      </c>
      <c r="H26" s="18">
        <v>9.8238000000000003</v>
      </c>
      <c r="I26" s="13">
        <v>103</v>
      </c>
      <c r="J26" s="13">
        <v>73</v>
      </c>
      <c r="K26" s="13">
        <v>2</v>
      </c>
      <c r="L26" s="18">
        <v>11.236000000000001</v>
      </c>
      <c r="M26" s="13">
        <v>2</v>
      </c>
      <c r="N26" s="18">
        <v>11.236000000000001</v>
      </c>
      <c r="O26" s="13">
        <v>0</v>
      </c>
      <c r="P26" s="18">
        <v>0</v>
      </c>
      <c r="Q26" s="13">
        <v>0</v>
      </c>
      <c r="R26" s="18">
        <v>0</v>
      </c>
      <c r="S26" s="13">
        <v>385</v>
      </c>
      <c r="T26" s="18">
        <v>14.7963</v>
      </c>
      <c r="U26" s="18">
        <v>11.1195</v>
      </c>
      <c r="V26" s="13">
        <v>181</v>
      </c>
      <c r="W26" s="13">
        <v>204</v>
      </c>
      <c r="X26" s="13">
        <v>120</v>
      </c>
      <c r="Y26" s="13">
        <v>116</v>
      </c>
      <c r="Z26" s="13">
        <v>4</v>
      </c>
      <c r="AA26" s="13">
        <v>0</v>
      </c>
      <c r="AB26" s="13">
        <v>1</v>
      </c>
      <c r="AC26" s="13">
        <v>0</v>
      </c>
    </row>
    <row r="27" spans="1:29" x14ac:dyDescent="0.35">
      <c r="A27" s="9" t="s">
        <v>139</v>
      </c>
      <c r="B27" s="9" t="s">
        <v>160</v>
      </c>
      <c r="C27" s="13">
        <v>134010</v>
      </c>
      <c r="D27" s="13">
        <v>64223</v>
      </c>
      <c r="E27" s="13">
        <v>69787</v>
      </c>
      <c r="F27" s="13">
        <v>1012</v>
      </c>
      <c r="G27" s="18">
        <v>7.5517000000000003</v>
      </c>
      <c r="H27" s="18">
        <v>9.0526</v>
      </c>
      <c r="I27" s="13">
        <v>521</v>
      </c>
      <c r="J27" s="13">
        <v>491</v>
      </c>
      <c r="K27" s="13">
        <v>3</v>
      </c>
      <c r="L27" s="18">
        <v>2.9557000000000002</v>
      </c>
      <c r="M27" s="13">
        <v>5</v>
      </c>
      <c r="N27" s="18">
        <v>4.9260999999999999</v>
      </c>
      <c r="O27" s="13">
        <v>3</v>
      </c>
      <c r="P27" s="18">
        <v>2.9643999999999999</v>
      </c>
      <c r="Q27" s="13">
        <v>4</v>
      </c>
      <c r="R27" s="18">
        <v>3.9525999999999999</v>
      </c>
      <c r="S27" s="13">
        <v>1950</v>
      </c>
      <c r="T27" s="18">
        <v>14.5512</v>
      </c>
      <c r="U27" s="18">
        <v>12.8529</v>
      </c>
      <c r="V27" s="13">
        <v>1007</v>
      </c>
      <c r="W27" s="13">
        <v>943</v>
      </c>
      <c r="X27" s="13">
        <v>586</v>
      </c>
      <c r="Y27" s="13">
        <v>574</v>
      </c>
      <c r="Z27" s="13">
        <v>12</v>
      </c>
      <c r="AA27" s="13">
        <v>2</v>
      </c>
      <c r="AB27" s="13">
        <v>3</v>
      </c>
      <c r="AC27" s="13">
        <v>10</v>
      </c>
    </row>
    <row r="28" spans="1:29" x14ac:dyDescent="0.35">
      <c r="A28" s="9" t="s">
        <v>139</v>
      </c>
      <c r="B28" s="9" t="s">
        <v>161</v>
      </c>
      <c r="C28" s="13">
        <v>344540</v>
      </c>
      <c r="D28" s="13">
        <v>167746</v>
      </c>
      <c r="E28" s="13">
        <v>176794</v>
      </c>
      <c r="F28" s="13">
        <v>3176</v>
      </c>
      <c r="G28" s="18">
        <v>9.2180999999999997</v>
      </c>
      <c r="H28" s="18">
        <v>9.5252999999999997</v>
      </c>
      <c r="I28" s="13">
        <v>1627</v>
      </c>
      <c r="J28" s="13">
        <v>1549</v>
      </c>
      <c r="K28" s="13">
        <v>13</v>
      </c>
      <c r="L28" s="18">
        <v>4.0765000000000002</v>
      </c>
      <c r="M28" s="13">
        <v>20</v>
      </c>
      <c r="N28" s="18">
        <v>6.2716000000000003</v>
      </c>
      <c r="O28" s="13">
        <v>12</v>
      </c>
      <c r="P28" s="18">
        <v>3.7783000000000002</v>
      </c>
      <c r="Q28" s="13">
        <v>12</v>
      </c>
      <c r="R28" s="18">
        <v>3.7783000000000002</v>
      </c>
      <c r="S28" s="13">
        <v>4105</v>
      </c>
      <c r="T28" s="18">
        <v>11.914400000000001</v>
      </c>
      <c r="U28" s="18">
        <v>13.5739</v>
      </c>
      <c r="V28" s="13">
        <v>2051</v>
      </c>
      <c r="W28" s="13">
        <v>2054</v>
      </c>
      <c r="X28" s="13">
        <v>630</v>
      </c>
      <c r="Y28" s="13">
        <v>603</v>
      </c>
      <c r="Z28" s="13">
        <v>27</v>
      </c>
      <c r="AA28" s="13">
        <v>0</v>
      </c>
      <c r="AB28" s="13">
        <v>1</v>
      </c>
      <c r="AC28" s="13">
        <v>13</v>
      </c>
    </row>
    <row r="29" spans="1:29" x14ac:dyDescent="0.35">
      <c r="A29" s="9" t="s">
        <v>139</v>
      </c>
      <c r="B29" s="9" t="s">
        <v>162</v>
      </c>
      <c r="C29" s="13">
        <v>22020</v>
      </c>
      <c r="D29" s="13">
        <v>10844</v>
      </c>
      <c r="E29" s="13">
        <v>11176</v>
      </c>
      <c r="F29" s="13">
        <v>146</v>
      </c>
      <c r="G29" s="18">
        <v>6.6303000000000001</v>
      </c>
      <c r="H29" s="18">
        <v>8.4177</v>
      </c>
      <c r="I29" s="13">
        <v>81</v>
      </c>
      <c r="J29" s="13">
        <v>65</v>
      </c>
      <c r="K29" s="13">
        <v>0</v>
      </c>
      <c r="L29" s="18">
        <v>0</v>
      </c>
      <c r="M29" s="13">
        <v>0</v>
      </c>
      <c r="N29" s="18">
        <v>0</v>
      </c>
      <c r="O29" s="13">
        <v>0</v>
      </c>
      <c r="P29" s="18">
        <v>0</v>
      </c>
      <c r="Q29" s="13">
        <v>0</v>
      </c>
      <c r="R29" s="18">
        <v>0</v>
      </c>
      <c r="S29" s="13">
        <v>247</v>
      </c>
      <c r="T29" s="18">
        <v>11.2171</v>
      </c>
      <c r="U29" s="18">
        <v>8.8068000000000008</v>
      </c>
      <c r="V29" s="13">
        <v>124</v>
      </c>
      <c r="W29" s="13">
        <v>123</v>
      </c>
      <c r="X29" s="13">
        <v>92</v>
      </c>
      <c r="Y29" s="13">
        <v>89</v>
      </c>
      <c r="Z29" s="13">
        <v>3</v>
      </c>
      <c r="AA29" s="13">
        <v>0</v>
      </c>
      <c r="AB29" s="13">
        <v>0</v>
      </c>
      <c r="AC29" s="13">
        <v>4</v>
      </c>
    </row>
    <row r="30" spans="1:29" x14ac:dyDescent="0.35">
      <c r="A30" s="9" t="s">
        <v>139</v>
      </c>
      <c r="B30" s="9" t="s">
        <v>163</v>
      </c>
      <c r="C30" s="13">
        <v>154420</v>
      </c>
      <c r="D30" s="13">
        <v>75611</v>
      </c>
      <c r="E30" s="13">
        <v>78809</v>
      </c>
      <c r="F30" s="13">
        <v>1167</v>
      </c>
      <c r="G30" s="18">
        <v>7.5572999999999997</v>
      </c>
      <c r="H30" s="18">
        <v>9.3612000000000002</v>
      </c>
      <c r="I30" s="13">
        <v>602</v>
      </c>
      <c r="J30" s="13">
        <v>565</v>
      </c>
      <c r="K30" s="13">
        <v>2</v>
      </c>
      <c r="L30" s="18">
        <v>1.7109000000000001</v>
      </c>
      <c r="M30" s="13">
        <v>4</v>
      </c>
      <c r="N30" s="18">
        <v>3.4217</v>
      </c>
      <c r="O30" s="13">
        <v>3</v>
      </c>
      <c r="P30" s="18">
        <v>2.5707</v>
      </c>
      <c r="Q30" s="13">
        <v>3</v>
      </c>
      <c r="R30" s="18">
        <v>2.5707</v>
      </c>
      <c r="S30" s="13">
        <v>1878</v>
      </c>
      <c r="T30" s="18">
        <v>12.1616</v>
      </c>
      <c r="U30" s="18">
        <v>9.7584999999999997</v>
      </c>
      <c r="V30" s="13">
        <v>923</v>
      </c>
      <c r="W30" s="13">
        <v>955</v>
      </c>
      <c r="X30" s="13">
        <v>977</v>
      </c>
      <c r="Y30" s="13">
        <v>933</v>
      </c>
      <c r="Z30" s="13">
        <v>44</v>
      </c>
      <c r="AA30" s="13">
        <v>1</v>
      </c>
      <c r="AB30" s="13">
        <v>3</v>
      </c>
      <c r="AC30" s="13">
        <v>21</v>
      </c>
    </row>
    <row r="31" spans="1:29" x14ac:dyDescent="0.35">
      <c r="A31" s="9" t="s">
        <v>139</v>
      </c>
      <c r="B31" s="9" t="s">
        <v>164</v>
      </c>
      <c r="C31" s="13">
        <v>189170</v>
      </c>
      <c r="D31" s="13">
        <v>91467</v>
      </c>
      <c r="E31" s="13">
        <v>97703</v>
      </c>
      <c r="F31" s="13">
        <v>1718</v>
      </c>
      <c r="G31" s="18">
        <v>9.0817999999999994</v>
      </c>
      <c r="H31" s="18">
        <v>8.8343000000000007</v>
      </c>
      <c r="I31" s="13">
        <v>842</v>
      </c>
      <c r="J31" s="13">
        <v>876</v>
      </c>
      <c r="K31" s="13">
        <v>6</v>
      </c>
      <c r="L31" s="18">
        <v>3.4803000000000002</v>
      </c>
      <c r="M31" s="13">
        <v>7</v>
      </c>
      <c r="N31" s="18">
        <v>4.0602999999999998</v>
      </c>
      <c r="O31" s="13">
        <v>2</v>
      </c>
      <c r="P31" s="18">
        <v>1.1640999999999999</v>
      </c>
      <c r="Q31" s="13">
        <v>2</v>
      </c>
      <c r="R31" s="18">
        <v>1.1640999999999999</v>
      </c>
      <c r="S31" s="13">
        <v>2275</v>
      </c>
      <c r="T31" s="18">
        <v>12.026199999999999</v>
      </c>
      <c r="U31" s="18">
        <v>12.266</v>
      </c>
      <c r="V31" s="13">
        <v>1115</v>
      </c>
      <c r="W31" s="13">
        <v>1160</v>
      </c>
      <c r="X31" s="13">
        <v>624</v>
      </c>
      <c r="Y31" s="13">
        <v>599</v>
      </c>
      <c r="Z31" s="13">
        <v>25</v>
      </c>
      <c r="AA31" s="13">
        <v>1</v>
      </c>
      <c r="AB31" s="13">
        <v>1</v>
      </c>
      <c r="AC31" s="13">
        <v>15</v>
      </c>
    </row>
    <row r="32" spans="1:29" x14ac:dyDescent="0.35">
      <c r="A32" s="9" t="s">
        <v>139</v>
      </c>
      <c r="B32" s="9" t="s">
        <v>165</v>
      </c>
      <c r="C32" s="13">
        <v>116980</v>
      </c>
      <c r="D32" s="13">
        <v>56736</v>
      </c>
      <c r="E32" s="13">
        <v>60244</v>
      </c>
      <c r="F32" s="13">
        <v>835</v>
      </c>
      <c r="G32" s="18">
        <v>7.1379999999999999</v>
      </c>
      <c r="H32" s="18">
        <v>9.6508000000000003</v>
      </c>
      <c r="I32" s="13">
        <v>433</v>
      </c>
      <c r="J32" s="13">
        <v>402</v>
      </c>
      <c r="K32" s="13">
        <v>1</v>
      </c>
      <c r="L32" s="18">
        <v>1.1961999999999999</v>
      </c>
      <c r="M32" s="13">
        <v>1</v>
      </c>
      <c r="N32" s="18">
        <v>1.1961999999999999</v>
      </c>
      <c r="O32" s="13">
        <v>0</v>
      </c>
      <c r="P32" s="18">
        <v>0</v>
      </c>
      <c r="Q32" s="13">
        <v>0</v>
      </c>
      <c r="R32" s="18">
        <v>0</v>
      </c>
      <c r="S32" s="13">
        <v>1468</v>
      </c>
      <c r="T32" s="18">
        <v>12.549200000000001</v>
      </c>
      <c r="U32" s="18">
        <v>9.5251999999999999</v>
      </c>
      <c r="V32" s="13">
        <v>745</v>
      </c>
      <c r="W32" s="13">
        <v>723</v>
      </c>
      <c r="X32" s="13">
        <v>663</v>
      </c>
      <c r="Y32" s="13">
        <v>637</v>
      </c>
      <c r="Z32" s="13">
        <v>26</v>
      </c>
      <c r="AA32" s="13">
        <v>0</v>
      </c>
      <c r="AB32" s="13">
        <v>0</v>
      </c>
      <c r="AC32" s="13">
        <v>15</v>
      </c>
    </row>
    <row r="33" spans="1:29" x14ac:dyDescent="0.35">
      <c r="A33" s="9" t="s">
        <v>139</v>
      </c>
      <c r="B33" s="9" t="s">
        <v>166</v>
      </c>
      <c r="C33" s="13">
        <v>23190</v>
      </c>
      <c r="D33" s="13">
        <v>11621</v>
      </c>
      <c r="E33" s="13">
        <v>11569</v>
      </c>
      <c r="F33" s="13">
        <v>166</v>
      </c>
      <c r="G33" s="18">
        <v>7.1582999999999997</v>
      </c>
      <c r="H33" s="18">
        <v>8.4341000000000008</v>
      </c>
      <c r="I33" s="13">
        <v>78</v>
      </c>
      <c r="J33" s="13">
        <v>88</v>
      </c>
      <c r="K33" s="13">
        <v>0</v>
      </c>
      <c r="L33" s="18">
        <v>0</v>
      </c>
      <c r="M33" s="13">
        <v>0</v>
      </c>
      <c r="N33" s="18">
        <v>0</v>
      </c>
      <c r="O33" s="13">
        <v>0</v>
      </c>
      <c r="P33" s="18">
        <v>0</v>
      </c>
      <c r="Q33" s="13">
        <v>0</v>
      </c>
      <c r="R33" s="18">
        <v>0</v>
      </c>
      <c r="S33" s="13">
        <v>225</v>
      </c>
      <c r="T33" s="18">
        <v>9.7025000000000006</v>
      </c>
      <c r="U33" s="18">
        <v>8.7870000000000008</v>
      </c>
      <c r="V33" s="13">
        <v>114</v>
      </c>
      <c r="W33" s="13">
        <v>111</v>
      </c>
      <c r="X33" s="13">
        <v>87</v>
      </c>
      <c r="Y33" s="13">
        <v>84</v>
      </c>
      <c r="Z33" s="13">
        <v>3</v>
      </c>
      <c r="AA33" s="13">
        <v>0</v>
      </c>
      <c r="AB33" s="13">
        <v>0</v>
      </c>
      <c r="AC33" s="13">
        <v>2</v>
      </c>
    </row>
    <row r="34" spans="1:29" x14ac:dyDescent="0.35">
      <c r="A34" s="9" t="s">
        <v>139</v>
      </c>
      <c r="B34" s="9" t="s">
        <v>167</v>
      </c>
      <c r="C34" s="13">
        <v>112260</v>
      </c>
      <c r="D34" s="13">
        <v>53870</v>
      </c>
      <c r="E34" s="13">
        <v>58390</v>
      </c>
      <c r="F34" s="13">
        <v>757</v>
      </c>
      <c r="G34" s="18">
        <v>6.7432999999999996</v>
      </c>
      <c r="H34" s="18">
        <v>8.7348999999999997</v>
      </c>
      <c r="I34" s="13">
        <v>400</v>
      </c>
      <c r="J34" s="13">
        <v>357</v>
      </c>
      <c r="K34" s="13">
        <v>0</v>
      </c>
      <c r="L34" s="18">
        <v>0</v>
      </c>
      <c r="M34" s="13">
        <v>1</v>
      </c>
      <c r="N34" s="18">
        <v>1.321</v>
      </c>
      <c r="O34" s="13">
        <v>1</v>
      </c>
      <c r="P34" s="18">
        <v>1.321</v>
      </c>
      <c r="Q34" s="13">
        <v>1</v>
      </c>
      <c r="R34" s="18">
        <v>1.321</v>
      </c>
      <c r="S34" s="13">
        <v>1639</v>
      </c>
      <c r="T34" s="18">
        <v>14.6</v>
      </c>
      <c r="U34" s="18">
        <v>11.1112</v>
      </c>
      <c r="V34" s="13">
        <v>816</v>
      </c>
      <c r="W34" s="13">
        <v>823</v>
      </c>
      <c r="X34" s="13">
        <v>807</v>
      </c>
      <c r="Y34" s="13">
        <v>775</v>
      </c>
      <c r="Z34" s="13">
        <v>32</v>
      </c>
      <c r="AA34" s="13">
        <v>3</v>
      </c>
      <c r="AB34" s="13">
        <v>0</v>
      </c>
      <c r="AC34" s="13">
        <v>5</v>
      </c>
    </row>
    <row r="35" spans="1:29" x14ac:dyDescent="0.35">
      <c r="A35" s="9" t="s">
        <v>139</v>
      </c>
      <c r="B35" s="9" t="s">
        <v>168</v>
      </c>
      <c r="C35" s="13">
        <v>334030</v>
      </c>
      <c r="D35" s="13">
        <v>161646</v>
      </c>
      <c r="E35" s="13">
        <v>172384</v>
      </c>
      <c r="F35" s="13">
        <v>3030</v>
      </c>
      <c r="G35" s="18">
        <v>9.0709999999999997</v>
      </c>
      <c r="H35" s="18">
        <v>9.6417000000000002</v>
      </c>
      <c r="I35" s="13">
        <v>1572</v>
      </c>
      <c r="J35" s="13">
        <v>1458</v>
      </c>
      <c r="K35" s="13">
        <v>7</v>
      </c>
      <c r="L35" s="18">
        <v>2.3048999999999999</v>
      </c>
      <c r="M35" s="13">
        <v>10</v>
      </c>
      <c r="N35" s="18">
        <v>3.2927</v>
      </c>
      <c r="O35" s="13">
        <v>6</v>
      </c>
      <c r="P35" s="18">
        <v>1.9802</v>
      </c>
      <c r="Q35" s="13">
        <v>8</v>
      </c>
      <c r="R35" s="18">
        <v>2.6402999999999999</v>
      </c>
      <c r="S35" s="13">
        <v>3801</v>
      </c>
      <c r="T35" s="18">
        <v>11.379200000000001</v>
      </c>
      <c r="U35" s="18">
        <v>11.444699999999999</v>
      </c>
      <c r="V35" s="13">
        <v>1819</v>
      </c>
      <c r="W35" s="13">
        <v>1982</v>
      </c>
      <c r="X35" s="13">
        <v>1016</v>
      </c>
      <c r="Y35" s="13">
        <v>972</v>
      </c>
      <c r="Z35" s="13">
        <v>44</v>
      </c>
      <c r="AA35" s="13">
        <v>2</v>
      </c>
      <c r="AB35" s="13">
        <v>0</v>
      </c>
      <c r="AC35" s="13">
        <v>17</v>
      </c>
    </row>
    <row r="36" spans="1:29" x14ac:dyDescent="0.35">
      <c r="A36" s="9" t="s">
        <v>139</v>
      </c>
      <c r="B36" s="9" t="s">
        <v>169</v>
      </c>
      <c r="C36" s="13">
        <v>94210</v>
      </c>
      <c r="D36" s="13">
        <v>45479</v>
      </c>
      <c r="E36" s="13">
        <v>48731</v>
      </c>
      <c r="F36" s="13">
        <v>659</v>
      </c>
      <c r="G36" s="18">
        <v>6.9950000000000001</v>
      </c>
      <c r="H36" s="18">
        <v>7.6353999999999997</v>
      </c>
      <c r="I36" s="13">
        <v>323</v>
      </c>
      <c r="J36" s="13">
        <v>336</v>
      </c>
      <c r="K36" s="13">
        <v>6</v>
      </c>
      <c r="L36" s="18">
        <v>9.0226000000000006</v>
      </c>
      <c r="M36" s="13">
        <v>8</v>
      </c>
      <c r="N36" s="18">
        <v>12.030099999999999</v>
      </c>
      <c r="O36" s="13">
        <v>2</v>
      </c>
      <c r="P36" s="18">
        <v>3.0348999999999999</v>
      </c>
      <c r="Q36" s="13">
        <v>3</v>
      </c>
      <c r="R36" s="18">
        <v>4.5523999999999996</v>
      </c>
      <c r="S36" s="13">
        <v>994</v>
      </c>
      <c r="T36" s="18">
        <v>10.5509</v>
      </c>
      <c r="U36" s="18">
        <v>10.0076</v>
      </c>
      <c r="V36" s="13">
        <v>514</v>
      </c>
      <c r="W36" s="13">
        <v>480</v>
      </c>
      <c r="X36" s="13">
        <v>511</v>
      </c>
      <c r="Y36" s="13">
        <v>496</v>
      </c>
      <c r="Z36" s="13">
        <v>15</v>
      </c>
      <c r="AA36" s="13">
        <v>0</v>
      </c>
      <c r="AB36" s="13">
        <v>2</v>
      </c>
      <c r="AC36" s="13">
        <v>20</v>
      </c>
    </row>
    <row r="37" spans="1:29" x14ac:dyDescent="0.35">
      <c r="A37" s="9" t="s">
        <v>139</v>
      </c>
      <c r="B37" s="9" t="s">
        <v>170</v>
      </c>
      <c r="C37" s="13">
        <v>89120</v>
      </c>
      <c r="D37" s="13">
        <v>42823</v>
      </c>
      <c r="E37" s="13">
        <v>46297</v>
      </c>
      <c r="F37" s="13">
        <v>800</v>
      </c>
      <c r="G37" s="18">
        <v>8.9766999999999992</v>
      </c>
      <c r="H37" s="18">
        <v>9.3886000000000003</v>
      </c>
      <c r="I37" s="13">
        <v>421</v>
      </c>
      <c r="J37" s="13">
        <v>379</v>
      </c>
      <c r="K37" s="13">
        <v>3</v>
      </c>
      <c r="L37" s="18">
        <v>3.7360000000000002</v>
      </c>
      <c r="M37" s="13">
        <v>5</v>
      </c>
      <c r="N37" s="18">
        <v>6.2267000000000001</v>
      </c>
      <c r="O37" s="13">
        <v>2</v>
      </c>
      <c r="P37" s="18">
        <v>2.5</v>
      </c>
      <c r="Q37" s="13">
        <v>4</v>
      </c>
      <c r="R37" s="18">
        <v>5</v>
      </c>
      <c r="S37" s="13">
        <v>1131</v>
      </c>
      <c r="T37" s="18">
        <v>12.690799999999999</v>
      </c>
      <c r="U37" s="18">
        <v>13.0678</v>
      </c>
      <c r="V37" s="13">
        <v>575</v>
      </c>
      <c r="W37" s="13">
        <v>556</v>
      </c>
      <c r="X37" s="13">
        <v>251</v>
      </c>
      <c r="Y37" s="13">
        <v>242</v>
      </c>
      <c r="Z37" s="13">
        <v>9</v>
      </c>
      <c r="AA37" s="13">
        <v>0</v>
      </c>
      <c r="AB37" s="13">
        <v>0</v>
      </c>
      <c r="AC37" s="13">
        <v>4</v>
      </c>
    </row>
    <row r="38" spans="1:29" x14ac:dyDescent="0.35">
      <c r="A38" s="9" t="s">
        <v>139</v>
      </c>
      <c r="B38" s="9" t="s">
        <v>171</v>
      </c>
      <c r="C38" s="13">
        <v>186440</v>
      </c>
      <c r="D38" s="13">
        <v>91132</v>
      </c>
      <c r="E38" s="13">
        <v>95308</v>
      </c>
      <c r="F38" s="13">
        <v>1673</v>
      </c>
      <c r="G38" s="18">
        <v>8.9733999999999998</v>
      </c>
      <c r="H38" s="18">
        <v>9.3384</v>
      </c>
      <c r="I38" s="13">
        <v>873</v>
      </c>
      <c r="J38" s="13">
        <v>800</v>
      </c>
      <c r="K38" s="13">
        <v>7</v>
      </c>
      <c r="L38" s="18">
        <v>4.1666999999999996</v>
      </c>
      <c r="M38" s="13">
        <v>8</v>
      </c>
      <c r="N38" s="18">
        <v>4.7618999999999998</v>
      </c>
      <c r="O38" s="13">
        <v>1</v>
      </c>
      <c r="P38" s="18">
        <v>0.59770000000000001</v>
      </c>
      <c r="Q38" s="13">
        <v>2</v>
      </c>
      <c r="R38" s="18">
        <v>1.1955</v>
      </c>
      <c r="S38" s="13">
        <v>1875</v>
      </c>
      <c r="T38" s="18">
        <v>10.056900000000001</v>
      </c>
      <c r="U38" s="18">
        <v>11.649699999999999</v>
      </c>
      <c r="V38" s="13">
        <v>927</v>
      </c>
      <c r="W38" s="13">
        <v>948</v>
      </c>
      <c r="X38" s="13">
        <v>698</v>
      </c>
      <c r="Y38" s="13">
        <v>670</v>
      </c>
      <c r="Z38" s="13">
        <v>28</v>
      </c>
      <c r="AA38" s="13">
        <v>2</v>
      </c>
      <c r="AB38" s="13">
        <v>0</v>
      </c>
      <c r="AC38" s="13">
        <v>11</v>
      </c>
    </row>
    <row r="39" spans="1:29" ht="29.25" customHeight="1" x14ac:dyDescent="0.35">
      <c r="A39" s="9" t="s">
        <v>172</v>
      </c>
      <c r="B39" s="9" t="s">
        <v>173</v>
      </c>
      <c r="C39" s="13">
        <v>367750</v>
      </c>
      <c r="D39" s="13">
        <v>176898</v>
      </c>
      <c r="E39" s="13">
        <v>190852</v>
      </c>
      <c r="F39" s="13">
        <v>2812</v>
      </c>
      <c r="G39" s="18">
        <v>7.6464999999999996</v>
      </c>
      <c r="H39" s="18">
        <v>9.1516999999999999</v>
      </c>
      <c r="I39" s="13">
        <v>1473</v>
      </c>
      <c r="J39" s="13">
        <v>1339</v>
      </c>
      <c r="K39" s="13">
        <v>7</v>
      </c>
      <c r="L39" s="18">
        <v>2.4832000000000001</v>
      </c>
      <c r="M39" s="13">
        <v>12</v>
      </c>
      <c r="N39" s="18">
        <v>4.2568000000000001</v>
      </c>
      <c r="O39" s="13">
        <v>8</v>
      </c>
      <c r="P39" s="18">
        <v>2.8450000000000002</v>
      </c>
      <c r="Q39" s="13">
        <v>13</v>
      </c>
      <c r="R39" s="18">
        <v>4.6230000000000002</v>
      </c>
      <c r="S39" s="13">
        <v>5178</v>
      </c>
      <c r="T39" s="18">
        <v>14.0802</v>
      </c>
      <c r="U39" s="18">
        <v>12.1836</v>
      </c>
      <c r="V39" s="13">
        <v>2629</v>
      </c>
      <c r="W39" s="13">
        <v>2549</v>
      </c>
      <c r="X39" s="13">
        <v>1907</v>
      </c>
      <c r="Y39" s="13">
        <v>1856</v>
      </c>
      <c r="Z39" s="13">
        <v>51</v>
      </c>
      <c r="AA39" s="13">
        <v>6</v>
      </c>
      <c r="AB39" s="13">
        <v>5</v>
      </c>
      <c r="AC39" s="13">
        <v>20</v>
      </c>
    </row>
    <row r="40" spans="1:29" x14ac:dyDescent="0.35">
      <c r="A40" s="9" t="s">
        <v>172</v>
      </c>
      <c r="B40" s="9" t="s">
        <v>174</v>
      </c>
      <c r="C40" s="13">
        <v>116980</v>
      </c>
      <c r="D40" s="13">
        <v>56736</v>
      </c>
      <c r="E40" s="13">
        <v>60244</v>
      </c>
      <c r="F40" s="13">
        <v>835</v>
      </c>
      <c r="G40" s="18">
        <v>7.1379999999999999</v>
      </c>
      <c r="H40" s="18">
        <v>9.6508000000000003</v>
      </c>
      <c r="I40" s="13">
        <v>433</v>
      </c>
      <c r="J40" s="13">
        <v>402</v>
      </c>
      <c r="K40" s="13">
        <v>1</v>
      </c>
      <c r="L40" s="18">
        <v>1.1961999999999999</v>
      </c>
      <c r="M40" s="13">
        <v>1</v>
      </c>
      <c r="N40" s="18">
        <v>1.1961999999999999</v>
      </c>
      <c r="O40" s="13">
        <v>0</v>
      </c>
      <c r="P40" s="18">
        <v>0</v>
      </c>
      <c r="Q40" s="13">
        <v>0</v>
      </c>
      <c r="R40" s="18">
        <v>0</v>
      </c>
      <c r="S40" s="13">
        <v>1468</v>
      </c>
      <c r="T40" s="18">
        <v>12.549200000000001</v>
      </c>
      <c r="U40" s="18">
        <v>9.5251999999999999</v>
      </c>
      <c r="V40" s="13">
        <v>745</v>
      </c>
      <c r="W40" s="13">
        <v>723</v>
      </c>
      <c r="X40" s="13">
        <v>663</v>
      </c>
      <c r="Y40" s="13">
        <v>637</v>
      </c>
      <c r="Z40" s="13">
        <v>26</v>
      </c>
      <c r="AA40" s="13">
        <v>0</v>
      </c>
      <c r="AB40" s="13">
        <v>0</v>
      </c>
      <c r="AC40" s="13">
        <v>15</v>
      </c>
    </row>
    <row r="41" spans="1:29" x14ac:dyDescent="0.35">
      <c r="A41" s="9" t="s">
        <v>172</v>
      </c>
      <c r="B41" s="9" t="s">
        <v>146</v>
      </c>
      <c r="C41" s="13">
        <v>145860</v>
      </c>
      <c r="D41" s="13">
        <v>70571</v>
      </c>
      <c r="E41" s="13">
        <v>75289</v>
      </c>
      <c r="F41" s="13">
        <v>1054</v>
      </c>
      <c r="G41" s="18">
        <v>7.2260999999999997</v>
      </c>
      <c r="H41" s="18">
        <v>9.5542999999999996</v>
      </c>
      <c r="I41" s="13">
        <v>560</v>
      </c>
      <c r="J41" s="13">
        <v>494</v>
      </c>
      <c r="K41" s="13">
        <v>7</v>
      </c>
      <c r="L41" s="18">
        <v>6.5975000000000001</v>
      </c>
      <c r="M41" s="13">
        <v>11</v>
      </c>
      <c r="N41" s="18">
        <v>10.367599999999999</v>
      </c>
      <c r="O41" s="13">
        <v>6</v>
      </c>
      <c r="P41" s="18">
        <v>5.6925999999999997</v>
      </c>
      <c r="Q41" s="13">
        <v>7</v>
      </c>
      <c r="R41" s="18">
        <v>6.6414</v>
      </c>
      <c r="S41" s="13">
        <v>2074</v>
      </c>
      <c r="T41" s="18">
        <v>14.219099999999999</v>
      </c>
      <c r="U41" s="18">
        <v>10.603199999999999</v>
      </c>
      <c r="V41" s="13">
        <v>1069</v>
      </c>
      <c r="W41" s="13">
        <v>1005</v>
      </c>
      <c r="X41" s="13">
        <v>4748</v>
      </c>
      <c r="Y41" s="13">
        <v>4581</v>
      </c>
      <c r="Z41" s="13">
        <v>167</v>
      </c>
      <c r="AA41" s="13">
        <v>6</v>
      </c>
      <c r="AB41" s="13">
        <v>7</v>
      </c>
      <c r="AC41" s="13">
        <v>31</v>
      </c>
    </row>
    <row r="42" spans="1:29" x14ac:dyDescent="0.35">
      <c r="A42" s="9" t="s">
        <v>172</v>
      </c>
      <c r="B42" s="9" t="s">
        <v>153</v>
      </c>
      <c r="C42" s="13">
        <v>374760</v>
      </c>
      <c r="D42" s="13">
        <v>181146</v>
      </c>
      <c r="E42" s="13">
        <v>193614</v>
      </c>
      <c r="F42" s="13">
        <v>2815</v>
      </c>
      <c r="G42" s="18">
        <v>7.5114999999999998</v>
      </c>
      <c r="H42" s="18">
        <v>8.3153000000000006</v>
      </c>
      <c r="I42" s="13">
        <v>1463</v>
      </c>
      <c r="J42" s="13">
        <v>1352</v>
      </c>
      <c r="K42" s="13">
        <v>12</v>
      </c>
      <c r="L42" s="18">
        <v>4.2447999999999997</v>
      </c>
      <c r="M42" s="13">
        <v>17</v>
      </c>
      <c r="N42" s="18">
        <v>6.0133999999999999</v>
      </c>
      <c r="O42" s="13">
        <v>9</v>
      </c>
      <c r="P42" s="18">
        <v>3.1972</v>
      </c>
      <c r="Q42" s="13">
        <v>15</v>
      </c>
      <c r="R42" s="18">
        <v>5.3285999999999998</v>
      </c>
      <c r="S42" s="13">
        <v>4468</v>
      </c>
      <c r="T42" s="18">
        <v>11.9223</v>
      </c>
      <c r="U42" s="18">
        <v>11.1234</v>
      </c>
      <c r="V42" s="13">
        <v>2161</v>
      </c>
      <c r="W42" s="13">
        <v>2307</v>
      </c>
      <c r="X42" s="13">
        <v>1573</v>
      </c>
      <c r="Y42" s="13">
        <v>1503</v>
      </c>
      <c r="Z42" s="13">
        <v>70</v>
      </c>
      <c r="AA42" s="13">
        <v>2</v>
      </c>
      <c r="AB42" s="13">
        <v>3</v>
      </c>
      <c r="AC42" s="13">
        <v>24</v>
      </c>
    </row>
    <row r="43" spans="1:29" x14ac:dyDescent="0.35">
      <c r="A43" s="9" t="s">
        <v>172</v>
      </c>
      <c r="B43" s="9" t="s">
        <v>175</v>
      </c>
      <c r="C43" s="13">
        <v>306340</v>
      </c>
      <c r="D43" s="13">
        <v>148743</v>
      </c>
      <c r="E43" s="13">
        <v>157597</v>
      </c>
      <c r="F43" s="13">
        <v>2382</v>
      </c>
      <c r="G43" s="18">
        <v>7.7756999999999996</v>
      </c>
      <c r="H43" s="18">
        <v>8.3689999999999998</v>
      </c>
      <c r="I43" s="13">
        <v>1193</v>
      </c>
      <c r="J43" s="13">
        <v>1189</v>
      </c>
      <c r="K43" s="13">
        <v>11</v>
      </c>
      <c r="L43" s="18">
        <v>4.5967000000000002</v>
      </c>
      <c r="M43" s="13">
        <v>20</v>
      </c>
      <c r="N43" s="18">
        <v>8.3576999999999995</v>
      </c>
      <c r="O43" s="13">
        <v>10</v>
      </c>
      <c r="P43" s="18">
        <v>4.1981999999999999</v>
      </c>
      <c r="Q43" s="13">
        <v>14</v>
      </c>
      <c r="R43" s="18">
        <v>5.8773999999999997</v>
      </c>
      <c r="S43" s="13">
        <v>3513</v>
      </c>
      <c r="T43" s="18">
        <v>11.467700000000001</v>
      </c>
      <c r="U43" s="18">
        <v>11.4915</v>
      </c>
      <c r="V43" s="13">
        <v>1826</v>
      </c>
      <c r="W43" s="13">
        <v>1687</v>
      </c>
      <c r="X43" s="13">
        <v>1143</v>
      </c>
      <c r="Y43" s="13">
        <v>1106</v>
      </c>
      <c r="Z43" s="13">
        <v>37</v>
      </c>
      <c r="AA43" s="13">
        <v>2</v>
      </c>
      <c r="AB43" s="13">
        <v>3</v>
      </c>
      <c r="AC43" s="13">
        <v>32</v>
      </c>
    </row>
    <row r="44" spans="1:29" x14ac:dyDescent="0.35">
      <c r="A44" s="9" t="s">
        <v>172</v>
      </c>
      <c r="B44" s="9" t="s">
        <v>176</v>
      </c>
      <c r="C44" s="13">
        <v>591870</v>
      </c>
      <c r="D44" s="13">
        <v>290761</v>
      </c>
      <c r="E44" s="13">
        <v>301109</v>
      </c>
      <c r="F44" s="13">
        <v>4478</v>
      </c>
      <c r="G44" s="18">
        <v>7.5659000000000001</v>
      </c>
      <c r="H44" s="18">
        <v>7.8978999999999999</v>
      </c>
      <c r="I44" s="13">
        <v>2299</v>
      </c>
      <c r="J44" s="13">
        <v>2179</v>
      </c>
      <c r="K44" s="13">
        <v>18</v>
      </c>
      <c r="L44" s="18">
        <v>4.0035999999999996</v>
      </c>
      <c r="M44" s="13">
        <v>27</v>
      </c>
      <c r="N44" s="18">
        <v>6.0053000000000001</v>
      </c>
      <c r="O44" s="13">
        <v>9</v>
      </c>
      <c r="P44" s="18">
        <v>2.0097999999999998</v>
      </c>
      <c r="Q44" s="13">
        <v>17</v>
      </c>
      <c r="R44" s="18">
        <v>3.7963</v>
      </c>
      <c r="S44" s="13">
        <v>6031</v>
      </c>
      <c r="T44" s="18">
        <v>10.1897</v>
      </c>
      <c r="U44" s="18">
        <v>10.1821</v>
      </c>
      <c r="V44" s="13">
        <v>3075</v>
      </c>
      <c r="W44" s="13">
        <v>2956</v>
      </c>
      <c r="X44" s="13">
        <v>2084</v>
      </c>
      <c r="Y44" s="13">
        <v>2015</v>
      </c>
      <c r="Z44" s="13">
        <v>69</v>
      </c>
      <c r="AA44" s="13">
        <v>6</v>
      </c>
      <c r="AB44" s="13">
        <v>8</v>
      </c>
      <c r="AC44" s="13">
        <v>60</v>
      </c>
    </row>
    <row r="45" spans="1:29" x14ac:dyDescent="0.35">
      <c r="A45" s="9" t="s">
        <v>172</v>
      </c>
      <c r="B45" s="9" t="s">
        <v>177</v>
      </c>
      <c r="C45" s="13">
        <v>1217270</v>
      </c>
      <c r="D45" s="13">
        <v>591351</v>
      </c>
      <c r="E45" s="13">
        <v>625919</v>
      </c>
      <c r="F45" s="13">
        <v>10852</v>
      </c>
      <c r="G45" s="18">
        <v>8.9149999999999991</v>
      </c>
      <c r="H45" s="18">
        <v>7.7007000000000003</v>
      </c>
      <c r="I45" s="13">
        <v>5529</v>
      </c>
      <c r="J45" s="13">
        <v>5323</v>
      </c>
      <c r="K45" s="13">
        <v>34</v>
      </c>
      <c r="L45" s="18">
        <v>3.1233</v>
      </c>
      <c r="M45" s="13">
        <v>44</v>
      </c>
      <c r="N45" s="18">
        <v>4.0419</v>
      </c>
      <c r="O45" s="13">
        <v>17</v>
      </c>
      <c r="P45" s="18">
        <v>1.5665</v>
      </c>
      <c r="Q45" s="13">
        <v>30</v>
      </c>
      <c r="R45" s="18">
        <v>2.7645</v>
      </c>
      <c r="S45" s="13">
        <v>13065</v>
      </c>
      <c r="T45" s="18">
        <v>10.733000000000001</v>
      </c>
      <c r="U45" s="18">
        <v>12.3345</v>
      </c>
      <c r="V45" s="13">
        <v>6485</v>
      </c>
      <c r="W45" s="13">
        <v>6580</v>
      </c>
      <c r="X45" s="13">
        <v>3975</v>
      </c>
      <c r="Y45" s="13">
        <v>3780</v>
      </c>
      <c r="Z45" s="13">
        <v>195</v>
      </c>
      <c r="AA45" s="13">
        <v>10</v>
      </c>
      <c r="AB45" s="13">
        <v>9</v>
      </c>
      <c r="AC45" s="13">
        <v>119</v>
      </c>
    </row>
    <row r="46" spans="1:29" x14ac:dyDescent="0.35">
      <c r="A46" s="9" t="s">
        <v>172</v>
      </c>
      <c r="B46" s="9" t="s">
        <v>155</v>
      </c>
      <c r="C46" s="13">
        <v>324980</v>
      </c>
      <c r="D46" s="13">
        <v>159951</v>
      </c>
      <c r="E46" s="13">
        <v>165029</v>
      </c>
      <c r="F46" s="13">
        <v>2297</v>
      </c>
      <c r="G46" s="18">
        <v>7.0681000000000003</v>
      </c>
      <c r="H46" s="18">
        <v>9.1022999999999996</v>
      </c>
      <c r="I46" s="13">
        <v>1159</v>
      </c>
      <c r="J46" s="13">
        <v>1138</v>
      </c>
      <c r="K46" s="13">
        <v>8</v>
      </c>
      <c r="L46" s="18">
        <v>3.4706999999999999</v>
      </c>
      <c r="M46" s="13">
        <v>8</v>
      </c>
      <c r="N46" s="18">
        <v>3.4706999999999999</v>
      </c>
      <c r="O46" s="13">
        <v>1</v>
      </c>
      <c r="P46" s="18">
        <v>0.43540000000000001</v>
      </c>
      <c r="Q46" s="13">
        <v>3</v>
      </c>
      <c r="R46" s="18">
        <v>1.3061</v>
      </c>
      <c r="S46" s="13">
        <v>4055</v>
      </c>
      <c r="T46" s="18">
        <v>12.4777</v>
      </c>
      <c r="U46" s="18">
        <v>10.271699999999999</v>
      </c>
      <c r="V46" s="13">
        <v>2114</v>
      </c>
      <c r="W46" s="13">
        <v>1941</v>
      </c>
      <c r="X46" s="13">
        <v>2637</v>
      </c>
      <c r="Y46" s="13">
        <v>2535</v>
      </c>
      <c r="Z46" s="13">
        <v>102</v>
      </c>
      <c r="AA46" s="13">
        <v>6</v>
      </c>
      <c r="AB46" s="13">
        <v>5</v>
      </c>
      <c r="AC46" s="13">
        <v>64</v>
      </c>
    </row>
    <row r="47" spans="1:29" x14ac:dyDescent="0.35">
      <c r="A47" s="9" t="s">
        <v>172</v>
      </c>
      <c r="B47" s="9" t="s">
        <v>178</v>
      </c>
      <c r="C47" s="13">
        <v>678570</v>
      </c>
      <c r="D47" s="13">
        <v>329392</v>
      </c>
      <c r="E47" s="13">
        <v>349178</v>
      </c>
      <c r="F47" s="13">
        <v>6206</v>
      </c>
      <c r="G47" s="18">
        <v>9.1456999999999997</v>
      </c>
      <c r="H47" s="18">
        <v>9.5817999999999994</v>
      </c>
      <c r="I47" s="13">
        <v>3199</v>
      </c>
      <c r="J47" s="13">
        <v>3007</v>
      </c>
      <c r="K47" s="13">
        <v>20</v>
      </c>
      <c r="L47" s="18">
        <v>3.2122999999999999</v>
      </c>
      <c r="M47" s="13">
        <v>30</v>
      </c>
      <c r="N47" s="18">
        <v>4.8185000000000002</v>
      </c>
      <c r="O47" s="13">
        <v>18</v>
      </c>
      <c r="P47" s="18">
        <v>2.9003999999999999</v>
      </c>
      <c r="Q47" s="13">
        <v>20</v>
      </c>
      <c r="R47" s="18">
        <v>3.2227000000000001</v>
      </c>
      <c r="S47" s="13">
        <v>7906</v>
      </c>
      <c r="T47" s="18">
        <v>11.651</v>
      </c>
      <c r="U47" s="18">
        <v>12.4595</v>
      </c>
      <c r="V47" s="13">
        <v>3870</v>
      </c>
      <c r="W47" s="13">
        <v>4036</v>
      </c>
      <c r="X47" s="13">
        <v>1646</v>
      </c>
      <c r="Y47" s="13">
        <v>1575</v>
      </c>
      <c r="Z47" s="13">
        <v>71</v>
      </c>
      <c r="AA47" s="13">
        <v>2</v>
      </c>
      <c r="AB47" s="13">
        <v>1</v>
      </c>
      <c r="AC47" s="13">
        <v>30</v>
      </c>
    </row>
    <row r="48" spans="1:29" x14ac:dyDescent="0.35">
      <c r="A48" s="9" t="s">
        <v>172</v>
      </c>
      <c r="B48" s="9" t="s">
        <v>179</v>
      </c>
      <c r="C48" s="13">
        <v>932180</v>
      </c>
      <c r="D48" s="13">
        <v>449948</v>
      </c>
      <c r="E48" s="13">
        <v>482232</v>
      </c>
      <c r="F48" s="13">
        <v>8191</v>
      </c>
      <c r="G48" s="18">
        <v>8.7868999999999993</v>
      </c>
      <c r="H48" s="18">
        <v>7.4335000000000004</v>
      </c>
      <c r="I48" s="13">
        <v>4189</v>
      </c>
      <c r="J48" s="13">
        <v>4002</v>
      </c>
      <c r="K48" s="13">
        <v>27</v>
      </c>
      <c r="L48" s="18">
        <v>3.2854999999999999</v>
      </c>
      <c r="M48" s="13">
        <v>44</v>
      </c>
      <c r="N48" s="18">
        <v>5.3540999999999999</v>
      </c>
      <c r="O48" s="13">
        <v>22</v>
      </c>
      <c r="P48" s="18">
        <v>2.6859000000000002</v>
      </c>
      <c r="Q48" s="13">
        <v>29</v>
      </c>
      <c r="R48" s="18">
        <v>3.5405000000000002</v>
      </c>
      <c r="S48" s="13">
        <v>8511</v>
      </c>
      <c r="T48" s="18">
        <v>9.1302000000000003</v>
      </c>
      <c r="U48" s="18">
        <v>10.3781</v>
      </c>
      <c r="V48" s="13">
        <v>4276</v>
      </c>
      <c r="W48" s="13">
        <v>4235</v>
      </c>
      <c r="X48" s="13">
        <v>4448</v>
      </c>
      <c r="Y48" s="13">
        <v>4238</v>
      </c>
      <c r="Z48" s="13">
        <v>210</v>
      </c>
      <c r="AA48" s="13">
        <v>22</v>
      </c>
      <c r="AB48" s="13">
        <v>20</v>
      </c>
      <c r="AC48" s="13">
        <v>215</v>
      </c>
    </row>
    <row r="49" spans="1:29" x14ac:dyDescent="0.35">
      <c r="A49" s="9" t="s">
        <v>172</v>
      </c>
      <c r="B49" s="9" t="s">
        <v>180</v>
      </c>
      <c r="C49" s="13">
        <v>22020</v>
      </c>
      <c r="D49" s="13">
        <v>10844</v>
      </c>
      <c r="E49" s="13">
        <v>11176</v>
      </c>
      <c r="F49" s="13">
        <v>146</v>
      </c>
      <c r="G49" s="18">
        <v>6.6303000000000001</v>
      </c>
      <c r="H49" s="18">
        <v>8.4177</v>
      </c>
      <c r="I49" s="13">
        <v>81</v>
      </c>
      <c r="J49" s="13">
        <v>65</v>
      </c>
      <c r="K49" s="13">
        <v>0</v>
      </c>
      <c r="L49" s="18">
        <v>0</v>
      </c>
      <c r="M49" s="13">
        <v>0</v>
      </c>
      <c r="N49" s="18">
        <v>0</v>
      </c>
      <c r="O49" s="13">
        <v>0</v>
      </c>
      <c r="P49" s="18">
        <v>0</v>
      </c>
      <c r="Q49" s="13">
        <v>0</v>
      </c>
      <c r="R49" s="18">
        <v>0</v>
      </c>
      <c r="S49" s="13">
        <v>247</v>
      </c>
      <c r="T49" s="18">
        <v>11.2171</v>
      </c>
      <c r="U49" s="18">
        <v>8.8068000000000008</v>
      </c>
      <c r="V49" s="13">
        <v>124</v>
      </c>
      <c r="W49" s="13">
        <v>123</v>
      </c>
      <c r="X49" s="13">
        <v>92</v>
      </c>
      <c r="Y49" s="13">
        <v>89</v>
      </c>
      <c r="Z49" s="13">
        <v>3</v>
      </c>
      <c r="AA49" s="13">
        <v>0</v>
      </c>
      <c r="AB49" s="13">
        <v>0</v>
      </c>
      <c r="AC49" s="13">
        <v>4</v>
      </c>
    </row>
    <row r="50" spans="1:29" x14ac:dyDescent="0.35">
      <c r="A50" s="9" t="s">
        <v>172</v>
      </c>
      <c r="B50" s="9" t="s">
        <v>181</v>
      </c>
      <c r="C50" s="13">
        <v>23190</v>
      </c>
      <c r="D50" s="13">
        <v>11621</v>
      </c>
      <c r="E50" s="13">
        <v>11569</v>
      </c>
      <c r="F50" s="13">
        <v>166</v>
      </c>
      <c r="G50" s="18">
        <v>7.1582999999999997</v>
      </c>
      <c r="H50" s="18">
        <v>8.4341000000000008</v>
      </c>
      <c r="I50" s="13">
        <v>78</v>
      </c>
      <c r="J50" s="13">
        <v>88</v>
      </c>
      <c r="K50" s="13">
        <v>0</v>
      </c>
      <c r="L50" s="18">
        <v>0</v>
      </c>
      <c r="M50" s="13">
        <v>0</v>
      </c>
      <c r="N50" s="18">
        <v>0</v>
      </c>
      <c r="O50" s="13">
        <v>0</v>
      </c>
      <c r="P50" s="18">
        <v>0</v>
      </c>
      <c r="Q50" s="13">
        <v>0</v>
      </c>
      <c r="R50" s="18">
        <v>0</v>
      </c>
      <c r="S50" s="13">
        <v>225</v>
      </c>
      <c r="T50" s="18">
        <v>9.7025000000000006</v>
      </c>
      <c r="U50" s="18">
        <v>8.7870000000000008</v>
      </c>
      <c r="V50" s="13">
        <v>114</v>
      </c>
      <c r="W50" s="13">
        <v>111</v>
      </c>
      <c r="X50" s="13">
        <v>87</v>
      </c>
      <c r="Y50" s="13">
        <v>84</v>
      </c>
      <c r="Z50" s="13">
        <v>3</v>
      </c>
      <c r="AA50" s="13">
        <v>0</v>
      </c>
      <c r="AB50" s="13">
        <v>0</v>
      </c>
      <c r="AC50" s="13">
        <v>2</v>
      </c>
    </row>
    <row r="51" spans="1:29" x14ac:dyDescent="0.35">
      <c r="A51" s="9" t="s">
        <v>172</v>
      </c>
      <c r="B51" s="9" t="s">
        <v>182</v>
      </c>
      <c r="C51" s="13">
        <v>419110</v>
      </c>
      <c r="D51" s="13">
        <v>204298</v>
      </c>
      <c r="E51" s="13">
        <v>214812</v>
      </c>
      <c r="F51" s="13">
        <v>3353</v>
      </c>
      <c r="G51" s="18">
        <v>8.0002999999999993</v>
      </c>
      <c r="H51" s="18">
        <v>8.6739999999999995</v>
      </c>
      <c r="I51" s="13">
        <v>1670</v>
      </c>
      <c r="J51" s="13">
        <v>1683</v>
      </c>
      <c r="K51" s="13">
        <v>12</v>
      </c>
      <c r="L51" s="18">
        <v>3.5661</v>
      </c>
      <c r="M51" s="13">
        <v>19</v>
      </c>
      <c r="N51" s="18">
        <v>5.6463999999999999</v>
      </c>
      <c r="O51" s="13">
        <v>8</v>
      </c>
      <c r="P51" s="18">
        <v>2.3858999999999999</v>
      </c>
      <c r="Q51" s="13">
        <v>11</v>
      </c>
      <c r="R51" s="18">
        <v>3.2806000000000002</v>
      </c>
      <c r="S51" s="13">
        <v>5165</v>
      </c>
      <c r="T51" s="18">
        <v>12.323700000000001</v>
      </c>
      <c r="U51" s="18">
        <v>10.860300000000001</v>
      </c>
      <c r="V51" s="13">
        <v>2589</v>
      </c>
      <c r="W51" s="13">
        <v>2576</v>
      </c>
      <c r="X51" s="13">
        <v>1832</v>
      </c>
      <c r="Y51" s="13">
        <v>1754</v>
      </c>
      <c r="Z51" s="13">
        <v>78</v>
      </c>
      <c r="AA51" s="13">
        <v>5</v>
      </c>
      <c r="AB51" s="13">
        <v>6</v>
      </c>
      <c r="AC51" s="13">
        <v>45</v>
      </c>
    </row>
    <row r="52" spans="1:29" x14ac:dyDescent="0.35">
      <c r="A52" s="9" t="s">
        <v>172</v>
      </c>
      <c r="B52" s="9" t="s">
        <v>183</v>
      </c>
      <c r="C52" s="13">
        <v>26020</v>
      </c>
      <c r="D52" s="13">
        <v>12900</v>
      </c>
      <c r="E52" s="13">
        <v>13120</v>
      </c>
      <c r="F52" s="13">
        <v>176</v>
      </c>
      <c r="G52" s="18">
        <v>6.7640000000000002</v>
      </c>
      <c r="H52" s="18">
        <v>9.8238000000000003</v>
      </c>
      <c r="I52" s="13">
        <v>103</v>
      </c>
      <c r="J52" s="13">
        <v>73</v>
      </c>
      <c r="K52" s="13">
        <v>2</v>
      </c>
      <c r="L52" s="18">
        <v>11.236000000000001</v>
      </c>
      <c r="M52" s="13">
        <v>2</v>
      </c>
      <c r="N52" s="18">
        <v>11.236000000000001</v>
      </c>
      <c r="O52" s="13">
        <v>0</v>
      </c>
      <c r="P52" s="18">
        <v>0</v>
      </c>
      <c r="Q52" s="13">
        <v>0</v>
      </c>
      <c r="R52" s="18">
        <v>0</v>
      </c>
      <c r="S52" s="13">
        <v>385</v>
      </c>
      <c r="T52" s="18">
        <v>14.7963</v>
      </c>
      <c r="U52" s="18">
        <v>11.1195</v>
      </c>
      <c r="V52" s="13">
        <v>181</v>
      </c>
      <c r="W52" s="13">
        <v>204</v>
      </c>
      <c r="X52" s="13">
        <v>120</v>
      </c>
      <c r="Y52" s="13">
        <v>116</v>
      </c>
      <c r="Z52" s="13">
        <v>4</v>
      </c>
      <c r="AA52" s="13">
        <v>0</v>
      </c>
      <c r="AB52" s="13">
        <v>1</v>
      </c>
      <c r="AC52" s="13">
        <v>0</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2"/>
  <sheetViews>
    <sheetView workbookViewId="0"/>
  </sheetViews>
  <sheetFormatPr defaultColWidth="11.61328125" defaultRowHeight="15.5" x14ac:dyDescent="0.35"/>
  <cols>
    <col min="1" max="1" width="16.07421875" customWidth="1"/>
    <col min="2" max="2" width="23.765625" customWidth="1"/>
    <col min="3" max="10" width="10.61328125" bestFit="1" customWidth="1"/>
    <col min="11" max="12" width="12.765625" customWidth="1"/>
  </cols>
  <sheetData>
    <row r="1" spans="1:12" ht="20" x14ac:dyDescent="0.4">
      <c r="A1" s="5" t="s">
        <v>304</v>
      </c>
    </row>
    <row r="2" spans="1:12" x14ac:dyDescent="0.35">
      <c r="A2" t="s">
        <v>22</v>
      </c>
    </row>
    <row r="3" spans="1:12" x14ac:dyDescent="0.35">
      <c r="A3" t="s">
        <v>184</v>
      </c>
    </row>
    <row r="4" spans="1:12" x14ac:dyDescent="0.35">
      <c r="A4" s="22" t="str">
        <f>HYPERLINK("#'Contents'!A1", "back to contents")</f>
        <v>back to contents</v>
      </c>
    </row>
    <row r="5" spans="1:12" ht="108.5" x14ac:dyDescent="0.35">
      <c r="A5" s="8" t="s">
        <v>130</v>
      </c>
      <c r="B5" s="8" t="s">
        <v>185</v>
      </c>
      <c r="C5" s="12" t="s">
        <v>186</v>
      </c>
      <c r="D5" s="12" t="s">
        <v>187</v>
      </c>
      <c r="E5" s="12" t="s">
        <v>188</v>
      </c>
      <c r="F5" s="12" t="s">
        <v>189</v>
      </c>
      <c r="G5" s="12" t="s">
        <v>190</v>
      </c>
      <c r="H5" s="12" t="s">
        <v>191</v>
      </c>
      <c r="I5" s="12" t="s">
        <v>192</v>
      </c>
      <c r="J5" s="12" t="s">
        <v>193</v>
      </c>
      <c r="K5" s="10" t="s">
        <v>194</v>
      </c>
      <c r="L5" s="10" t="s">
        <v>195</v>
      </c>
    </row>
    <row r="6" spans="1:12" x14ac:dyDescent="0.35">
      <c r="A6" s="9" t="s">
        <v>137</v>
      </c>
      <c r="B6" s="9" t="s">
        <v>196</v>
      </c>
      <c r="C6" s="13">
        <v>45672</v>
      </c>
      <c r="D6" s="13">
        <v>23376</v>
      </c>
      <c r="E6" s="13">
        <v>22296</v>
      </c>
      <c r="F6" s="13">
        <v>91</v>
      </c>
      <c r="G6" s="13">
        <v>61977</v>
      </c>
      <c r="H6" s="13">
        <v>31053</v>
      </c>
      <c r="I6" s="13">
        <v>30924</v>
      </c>
      <c r="J6" s="13">
        <v>314</v>
      </c>
      <c r="K6" s="11">
        <v>11.173299999999999</v>
      </c>
      <c r="L6" s="11">
        <v>11.173299999999999</v>
      </c>
    </row>
    <row r="7" spans="1:12" ht="28.5" customHeight="1" x14ac:dyDescent="0.35">
      <c r="A7" s="9" t="s">
        <v>197</v>
      </c>
      <c r="B7" s="9" t="s">
        <v>140</v>
      </c>
      <c r="C7" s="13">
        <v>1920</v>
      </c>
      <c r="D7" s="13">
        <v>990</v>
      </c>
      <c r="E7" s="13">
        <v>930</v>
      </c>
      <c r="F7" s="13">
        <v>3</v>
      </c>
      <c r="G7" s="13">
        <v>2156</v>
      </c>
      <c r="H7" s="13">
        <v>1091</v>
      </c>
      <c r="I7" s="13">
        <v>1065</v>
      </c>
      <c r="J7" s="13">
        <v>14</v>
      </c>
      <c r="K7" s="11">
        <v>9.3018999999999998</v>
      </c>
      <c r="L7" s="11">
        <v>10.668799999999999</v>
      </c>
    </row>
    <row r="8" spans="1:12" x14ac:dyDescent="0.35">
      <c r="A8" s="9" t="s">
        <v>197</v>
      </c>
      <c r="B8" s="9" t="s">
        <v>141</v>
      </c>
      <c r="C8" s="13">
        <v>1865</v>
      </c>
      <c r="D8" s="13">
        <v>967</v>
      </c>
      <c r="E8" s="13">
        <v>898</v>
      </c>
      <c r="F8" s="13">
        <v>0</v>
      </c>
      <c r="G8" s="13">
        <v>2688</v>
      </c>
      <c r="H8" s="13">
        <v>1361</v>
      </c>
      <c r="I8" s="13">
        <v>1327</v>
      </c>
      <c r="J8" s="13">
        <v>4</v>
      </c>
      <c r="K8" s="11">
        <v>10.1403</v>
      </c>
      <c r="L8" s="11">
        <v>9.5221999999999998</v>
      </c>
    </row>
    <row r="9" spans="1:12" x14ac:dyDescent="0.35">
      <c r="A9" s="9" t="s">
        <v>197</v>
      </c>
      <c r="B9" s="9" t="s">
        <v>142</v>
      </c>
      <c r="C9" s="13">
        <v>874</v>
      </c>
      <c r="D9" s="13">
        <v>410</v>
      </c>
      <c r="E9" s="13">
        <v>464</v>
      </c>
      <c r="F9" s="13">
        <v>0</v>
      </c>
      <c r="G9" s="13">
        <v>1555</v>
      </c>
      <c r="H9" s="13">
        <v>799</v>
      </c>
      <c r="I9" s="13">
        <v>756</v>
      </c>
      <c r="J9" s="13">
        <v>1</v>
      </c>
      <c r="K9" s="11">
        <v>13.5441</v>
      </c>
      <c r="L9" s="11">
        <v>10.7437</v>
      </c>
    </row>
    <row r="10" spans="1:12" x14ac:dyDescent="0.35">
      <c r="A10" s="9" t="s">
        <v>197</v>
      </c>
      <c r="B10" s="9" t="s">
        <v>143</v>
      </c>
      <c r="C10" s="13">
        <v>549</v>
      </c>
      <c r="D10" s="13">
        <v>277</v>
      </c>
      <c r="E10" s="13">
        <v>272</v>
      </c>
      <c r="F10" s="13">
        <v>0</v>
      </c>
      <c r="G10" s="13">
        <v>1182</v>
      </c>
      <c r="H10" s="13">
        <v>617</v>
      </c>
      <c r="I10" s="13">
        <v>565</v>
      </c>
      <c r="J10" s="13">
        <v>18</v>
      </c>
      <c r="K10" s="11">
        <v>13.4793</v>
      </c>
      <c r="L10" s="11">
        <v>10.247199999999999</v>
      </c>
    </row>
    <row r="11" spans="1:12" x14ac:dyDescent="0.35">
      <c r="A11" s="9" t="s">
        <v>197</v>
      </c>
      <c r="B11" s="9" t="s">
        <v>144</v>
      </c>
      <c r="C11" s="13">
        <v>4458</v>
      </c>
      <c r="D11" s="13">
        <v>2287</v>
      </c>
      <c r="E11" s="13">
        <v>2171</v>
      </c>
      <c r="F11" s="13">
        <v>5</v>
      </c>
      <c r="G11" s="13">
        <v>4407</v>
      </c>
      <c r="H11" s="13">
        <v>2186</v>
      </c>
      <c r="I11" s="13">
        <v>2221</v>
      </c>
      <c r="J11" s="13">
        <v>36</v>
      </c>
      <c r="K11" s="11">
        <v>8.3043999999999993</v>
      </c>
      <c r="L11" s="11">
        <v>9.9517000000000007</v>
      </c>
    </row>
    <row r="12" spans="1:12" x14ac:dyDescent="0.35">
      <c r="A12" s="9" t="s">
        <v>197</v>
      </c>
      <c r="B12" s="9" t="s">
        <v>145</v>
      </c>
      <c r="C12" s="13">
        <v>391</v>
      </c>
      <c r="D12" s="13">
        <v>197</v>
      </c>
      <c r="E12" s="13">
        <v>194</v>
      </c>
      <c r="F12" s="13">
        <v>0</v>
      </c>
      <c r="G12" s="13">
        <v>615</v>
      </c>
      <c r="H12" s="13">
        <v>335</v>
      </c>
      <c r="I12" s="13">
        <v>280</v>
      </c>
      <c r="J12" s="13">
        <v>2</v>
      </c>
      <c r="K12" s="11">
        <v>11.802</v>
      </c>
      <c r="L12" s="11">
        <v>11.9763</v>
      </c>
    </row>
    <row r="13" spans="1:12" x14ac:dyDescent="0.35">
      <c r="A13" s="9" t="s">
        <v>197</v>
      </c>
      <c r="B13" s="9" t="s">
        <v>146</v>
      </c>
      <c r="C13" s="13">
        <v>1041</v>
      </c>
      <c r="D13" s="13">
        <v>550</v>
      </c>
      <c r="E13" s="13">
        <v>491</v>
      </c>
      <c r="F13" s="13">
        <v>13</v>
      </c>
      <c r="G13" s="13">
        <v>2058</v>
      </c>
      <c r="H13" s="13">
        <v>1058</v>
      </c>
      <c r="I13" s="13">
        <v>1000</v>
      </c>
      <c r="J13" s="13">
        <v>16</v>
      </c>
      <c r="K13" s="11">
        <v>14.109400000000001</v>
      </c>
      <c r="L13" s="11">
        <v>10.517899999999999</v>
      </c>
    </row>
    <row r="14" spans="1:12" x14ac:dyDescent="0.35">
      <c r="A14" s="9" t="s">
        <v>197</v>
      </c>
      <c r="B14" s="9" t="s">
        <v>147</v>
      </c>
      <c r="C14" s="13">
        <v>1309</v>
      </c>
      <c r="D14" s="13">
        <v>657</v>
      </c>
      <c r="E14" s="13">
        <v>652</v>
      </c>
      <c r="F14" s="13">
        <v>3</v>
      </c>
      <c r="G14" s="13">
        <v>1722</v>
      </c>
      <c r="H14" s="13">
        <v>859</v>
      </c>
      <c r="I14" s="13">
        <v>863</v>
      </c>
      <c r="J14" s="13">
        <v>9</v>
      </c>
      <c r="K14" s="11">
        <v>11.4892</v>
      </c>
      <c r="L14" s="11">
        <v>12.4381</v>
      </c>
    </row>
    <row r="15" spans="1:12" x14ac:dyDescent="0.35">
      <c r="A15" s="9" t="s">
        <v>197</v>
      </c>
      <c r="B15" s="9" t="s">
        <v>148</v>
      </c>
      <c r="C15" s="13">
        <v>1043</v>
      </c>
      <c r="D15" s="13">
        <v>552</v>
      </c>
      <c r="E15" s="13">
        <v>491</v>
      </c>
      <c r="F15" s="13">
        <v>0</v>
      </c>
      <c r="G15" s="13">
        <v>1585</v>
      </c>
      <c r="H15" s="13">
        <v>804</v>
      </c>
      <c r="I15" s="13">
        <v>781</v>
      </c>
      <c r="J15" s="13">
        <v>4</v>
      </c>
      <c r="K15" s="11">
        <v>13.0474</v>
      </c>
      <c r="L15" s="11">
        <v>12.6028</v>
      </c>
    </row>
    <row r="16" spans="1:12" x14ac:dyDescent="0.35">
      <c r="A16" s="9" t="s">
        <v>197</v>
      </c>
      <c r="B16" s="9" t="s">
        <v>149</v>
      </c>
      <c r="C16" s="13">
        <v>806</v>
      </c>
      <c r="D16" s="13">
        <v>413</v>
      </c>
      <c r="E16" s="13">
        <v>393</v>
      </c>
      <c r="F16" s="13">
        <v>0</v>
      </c>
      <c r="G16" s="13">
        <v>1200</v>
      </c>
      <c r="H16" s="13">
        <v>597</v>
      </c>
      <c r="I16" s="13">
        <v>603</v>
      </c>
      <c r="J16" s="13">
        <v>3</v>
      </c>
      <c r="K16" s="11">
        <v>10.912100000000001</v>
      </c>
      <c r="L16" s="11">
        <v>8.6477000000000004</v>
      </c>
    </row>
    <row r="17" spans="1:12" x14ac:dyDescent="0.35">
      <c r="A17" s="9" t="s">
        <v>197</v>
      </c>
      <c r="B17" s="9" t="s">
        <v>150</v>
      </c>
      <c r="C17" s="13">
        <v>984</v>
      </c>
      <c r="D17" s="13">
        <v>505</v>
      </c>
      <c r="E17" s="13">
        <v>479</v>
      </c>
      <c r="F17" s="13">
        <v>0</v>
      </c>
      <c r="G17" s="13">
        <v>1224</v>
      </c>
      <c r="H17" s="13">
        <v>648</v>
      </c>
      <c r="I17" s="13">
        <v>576</v>
      </c>
      <c r="J17" s="13">
        <v>2</v>
      </c>
      <c r="K17" s="11">
        <v>10.626799999999999</v>
      </c>
      <c r="L17" s="11">
        <v>9.8970000000000002</v>
      </c>
    </row>
    <row r="18" spans="1:12" x14ac:dyDescent="0.35">
      <c r="A18" s="9" t="s">
        <v>197</v>
      </c>
      <c r="B18" s="9" t="s">
        <v>151</v>
      </c>
      <c r="C18" s="13">
        <v>784</v>
      </c>
      <c r="D18" s="13">
        <v>407</v>
      </c>
      <c r="E18" s="13">
        <v>377</v>
      </c>
      <c r="F18" s="13">
        <v>0</v>
      </c>
      <c r="G18" s="13">
        <v>983</v>
      </c>
      <c r="H18" s="13">
        <v>470</v>
      </c>
      <c r="I18" s="13">
        <v>513</v>
      </c>
      <c r="J18" s="13">
        <v>0</v>
      </c>
      <c r="K18" s="11">
        <v>9.8467000000000002</v>
      </c>
      <c r="L18" s="11">
        <v>8.6784999999999997</v>
      </c>
    </row>
    <row r="19" spans="1:12" x14ac:dyDescent="0.35">
      <c r="A19" s="9" t="s">
        <v>197</v>
      </c>
      <c r="B19" s="9" t="s">
        <v>152</v>
      </c>
      <c r="C19" s="13">
        <v>1330</v>
      </c>
      <c r="D19" s="13">
        <v>672</v>
      </c>
      <c r="E19" s="13">
        <v>658</v>
      </c>
      <c r="F19" s="13">
        <v>2</v>
      </c>
      <c r="G19" s="13">
        <v>1893</v>
      </c>
      <c r="H19" s="13">
        <v>966</v>
      </c>
      <c r="I19" s="13">
        <v>927</v>
      </c>
      <c r="J19" s="13">
        <v>9</v>
      </c>
      <c r="K19" s="11">
        <v>11.829800000000001</v>
      </c>
      <c r="L19" s="11">
        <v>12.2125</v>
      </c>
    </row>
    <row r="20" spans="1:12" x14ac:dyDescent="0.35">
      <c r="A20" s="9" t="s">
        <v>197</v>
      </c>
      <c r="B20" s="9" t="s">
        <v>153</v>
      </c>
      <c r="C20" s="13">
        <v>2813</v>
      </c>
      <c r="D20" s="13">
        <v>1462</v>
      </c>
      <c r="E20" s="13">
        <v>1351</v>
      </c>
      <c r="F20" s="13">
        <v>2</v>
      </c>
      <c r="G20" s="13">
        <v>4449</v>
      </c>
      <c r="H20" s="13">
        <v>2152</v>
      </c>
      <c r="I20" s="13">
        <v>2297</v>
      </c>
      <c r="J20" s="13">
        <v>19</v>
      </c>
      <c r="K20" s="11">
        <v>11.871600000000001</v>
      </c>
      <c r="L20" s="11">
        <v>11.075200000000001</v>
      </c>
    </row>
    <row r="21" spans="1:12" x14ac:dyDescent="0.35">
      <c r="A21" s="9" t="s">
        <v>197</v>
      </c>
      <c r="B21" s="9" t="s">
        <v>154</v>
      </c>
      <c r="C21" s="13">
        <v>6144</v>
      </c>
      <c r="D21" s="13">
        <v>3138</v>
      </c>
      <c r="E21" s="13">
        <v>3006</v>
      </c>
      <c r="F21" s="13">
        <v>6</v>
      </c>
      <c r="G21" s="13">
        <v>6317</v>
      </c>
      <c r="H21" s="13">
        <v>3146</v>
      </c>
      <c r="I21" s="13">
        <v>3171</v>
      </c>
      <c r="J21" s="13">
        <v>30</v>
      </c>
      <c r="K21" s="11">
        <v>9.7140000000000004</v>
      </c>
      <c r="L21" s="11">
        <v>14.110099999999999</v>
      </c>
    </row>
    <row r="22" spans="1:12" x14ac:dyDescent="0.35">
      <c r="A22" s="9" t="s">
        <v>197</v>
      </c>
      <c r="B22" s="9" t="s">
        <v>155</v>
      </c>
      <c r="C22" s="13">
        <v>1747</v>
      </c>
      <c r="D22" s="13">
        <v>881</v>
      </c>
      <c r="E22" s="13">
        <v>866</v>
      </c>
      <c r="F22" s="13">
        <v>1</v>
      </c>
      <c r="G22" s="13">
        <v>2815</v>
      </c>
      <c r="H22" s="13">
        <v>1458</v>
      </c>
      <c r="I22" s="13">
        <v>1357</v>
      </c>
      <c r="J22" s="13">
        <v>40</v>
      </c>
      <c r="K22" s="11">
        <v>11.863099999999999</v>
      </c>
      <c r="L22" s="11">
        <v>10.0718</v>
      </c>
    </row>
    <row r="23" spans="1:12" x14ac:dyDescent="0.35">
      <c r="A23" s="9" t="s">
        <v>197</v>
      </c>
      <c r="B23" s="9" t="s">
        <v>156</v>
      </c>
      <c r="C23" s="13">
        <v>594</v>
      </c>
      <c r="D23" s="13">
        <v>304</v>
      </c>
      <c r="E23" s="13">
        <v>290</v>
      </c>
      <c r="F23" s="13">
        <v>0</v>
      </c>
      <c r="G23" s="13">
        <v>1121</v>
      </c>
      <c r="H23" s="13">
        <v>556</v>
      </c>
      <c r="I23" s="13">
        <v>565</v>
      </c>
      <c r="J23" s="13">
        <v>5</v>
      </c>
      <c r="K23" s="11">
        <v>14.211499999999999</v>
      </c>
      <c r="L23" s="11">
        <v>12.839399999999999</v>
      </c>
    </row>
    <row r="24" spans="1:12" x14ac:dyDescent="0.35">
      <c r="A24" s="9" t="s">
        <v>197</v>
      </c>
      <c r="B24" s="9" t="s">
        <v>157</v>
      </c>
      <c r="C24" s="13">
        <v>1071</v>
      </c>
      <c r="D24" s="13">
        <v>521</v>
      </c>
      <c r="E24" s="13">
        <v>550</v>
      </c>
      <c r="F24" s="13">
        <v>0</v>
      </c>
      <c r="G24" s="13">
        <v>964</v>
      </c>
      <c r="H24" s="13">
        <v>488</v>
      </c>
      <c r="I24" s="13">
        <v>476</v>
      </c>
      <c r="J24" s="13">
        <v>3</v>
      </c>
      <c r="K24" s="11">
        <v>9.6516000000000002</v>
      </c>
      <c r="L24" s="11">
        <v>10.4122</v>
      </c>
    </row>
    <row r="25" spans="1:12" x14ac:dyDescent="0.35">
      <c r="A25" s="9" t="s">
        <v>197</v>
      </c>
      <c r="B25" s="9" t="s">
        <v>158</v>
      </c>
      <c r="C25" s="13">
        <v>689</v>
      </c>
      <c r="D25" s="13">
        <v>339</v>
      </c>
      <c r="E25" s="13">
        <v>350</v>
      </c>
      <c r="F25" s="13">
        <v>1</v>
      </c>
      <c r="G25" s="13">
        <v>1166</v>
      </c>
      <c r="H25" s="13">
        <v>606</v>
      </c>
      <c r="I25" s="13">
        <v>560</v>
      </c>
      <c r="J25" s="13">
        <v>3</v>
      </c>
      <c r="K25" s="11">
        <v>12.272399999999999</v>
      </c>
      <c r="L25" s="11">
        <v>10.802199999999999</v>
      </c>
    </row>
    <row r="26" spans="1:12" x14ac:dyDescent="0.35">
      <c r="A26" s="9" t="s">
        <v>197</v>
      </c>
      <c r="B26" s="9" t="s">
        <v>159</v>
      </c>
      <c r="C26" s="13">
        <v>176</v>
      </c>
      <c r="D26" s="13">
        <v>103</v>
      </c>
      <c r="E26" s="13">
        <v>73</v>
      </c>
      <c r="F26" s="13">
        <v>0</v>
      </c>
      <c r="G26" s="13">
        <v>382</v>
      </c>
      <c r="H26" s="13">
        <v>180</v>
      </c>
      <c r="I26" s="13">
        <v>202</v>
      </c>
      <c r="J26" s="13">
        <v>3</v>
      </c>
      <c r="K26" s="11">
        <v>14.680999999999999</v>
      </c>
      <c r="L26" s="11">
        <v>11.0298</v>
      </c>
    </row>
    <row r="27" spans="1:12" x14ac:dyDescent="0.35">
      <c r="A27" s="9" t="s">
        <v>197</v>
      </c>
      <c r="B27" s="9" t="s">
        <v>160</v>
      </c>
      <c r="C27" s="13">
        <v>1012</v>
      </c>
      <c r="D27" s="13">
        <v>521</v>
      </c>
      <c r="E27" s="13">
        <v>491</v>
      </c>
      <c r="F27" s="13">
        <v>0</v>
      </c>
      <c r="G27" s="13">
        <v>1946</v>
      </c>
      <c r="H27" s="13">
        <v>1003</v>
      </c>
      <c r="I27" s="13">
        <v>943</v>
      </c>
      <c r="J27" s="13">
        <v>4</v>
      </c>
      <c r="K27" s="11">
        <v>14.5213</v>
      </c>
      <c r="L27" s="11">
        <v>12.8255</v>
      </c>
    </row>
    <row r="28" spans="1:12" x14ac:dyDescent="0.35">
      <c r="A28" s="9" t="s">
        <v>197</v>
      </c>
      <c r="B28" s="9" t="s">
        <v>161</v>
      </c>
      <c r="C28" s="13">
        <v>3172</v>
      </c>
      <c r="D28" s="13">
        <v>1626</v>
      </c>
      <c r="E28" s="13">
        <v>1546</v>
      </c>
      <c r="F28" s="13">
        <v>4</v>
      </c>
      <c r="G28" s="13">
        <v>4092</v>
      </c>
      <c r="H28" s="13">
        <v>2045</v>
      </c>
      <c r="I28" s="13">
        <v>2047</v>
      </c>
      <c r="J28" s="13">
        <v>13</v>
      </c>
      <c r="K28" s="11">
        <v>11.8767</v>
      </c>
      <c r="L28" s="11">
        <v>13.534800000000001</v>
      </c>
    </row>
    <row r="29" spans="1:12" x14ac:dyDescent="0.35">
      <c r="A29" s="9" t="s">
        <v>197</v>
      </c>
      <c r="B29" s="9" t="s">
        <v>162</v>
      </c>
      <c r="C29" s="13">
        <v>145</v>
      </c>
      <c r="D29" s="13">
        <v>80</v>
      </c>
      <c r="E29" s="13">
        <v>65</v>
      </c>
      <c r="F29" s="13">
        <v>1</v>
      </c>
      <c r="G29" s="13">
        <v>240</v>
      </c>
      <c r="H29" s="13">
        <v>118</v>
      </c>
      <c r="I29" s="13">
        <v>122</v>
      </c>
      <c r="J29" s="13">
        <v>7</v>
      </c>
      <c r="K29" s="11">
        <v>10.8992</v>
      </c>
      <c r="L29" s="11">
        <v>8.5548000000000002</v>
      </c>
    </row>
    <row r="30" spans="1:12" x14ac:dyDescent="0.35">
      <c r="A30" s="9" t="s">
        <v>197</v>
      </c>
      <c r="B30" s="9" t="s">
        <v>163</v>
      </c>
      <c r="C30" s="13">
        <v>1167</v>
      </c>
      <c r="D30" s="13">
        <v>602</v>
      </c>
      <c r="E30" s="13">
        <v>565</v>
      </c>
      <c r="F30" s="13">
        <v>0</v>
      </c>
      <c r="G30" s="13">
        <v>1871</v>
      </c>
      <c r="H30" s="13">
        <v>918</v>
      </c>
      <c r="I30" s="13">
        <v>953</v>
      </c>
      <c r="J30" s="13">
        <v>7</v>
      </c>
      <c r="K30" s="11">
        <v>12.116300000000001</v>
      </c>
      <c r="L30" s="11">
        <v>9.7190999999999992</v>
      </c>
    </row>
    <row r="31" spans="1:12" x14ac:dyDescent="0.35">
      <c r="A31" s="9" t="s">
        <v>197</v>
      </c>
      <c r="B31" s="9" t="s">
        <v>164</v>
      </c>
      <c r="C31" s="13">
        <v>1716</v>
      </c>
      <c r="D31" s="13">
        <v>840</v>
      </c>
      <c r="E31" s="13">
        <v>876</v>
      </c>
      <c r="F31" s="13">
        <v>2</v>
      </c>
      <c r="G31" s="13">
        <v>2261</v>
      </c>
      <c r="H31" s="13">
        <v>1109</v>
      </c>
      <c r="I31" s="13">
        <v>1152</v>
      </c>
      <c r="J31" s="13">
        <v>14</v>
      </c>
      <c r="K31" s="11">
        <v>11.952199999999999</v>
      </c>
      <c r="L31" s="11">
        <v>12.1907</v>
      </c>
    </row>
    <row r="32" spans="1:12" x14ac:dyDescent="0.35">
      <c r="A32" s="9" t="s">
        <v>197</v>
      </c>
      <c r="B32" s="9" t="s">
        <v>165</v>
      </c>
      <c r="C32" s="13">
        <v>793</v>
      </c>
      <c r="D32" s="13">
        <v>410</v>
      </c>
      <c r="E32" s="13">
        <v>383</v>
      </c>
      <c r="F32" s="13">
        <v>42</v>
      </c>
      <c r="G32" s="13">
        <v>1447</v>
      </c>
      <c r="H32" s="13">
        <v>736</v>
      </c>
      <c r="I32" s="13">
        <v>711</v>
      </c>
      <c r="J32" s="13">
        <v>21</v>
      </c>
      <c r="K32" s="11">
        <v>12.3696</v>
      </c>
      <c r="L32" s="11">
        <v>9.3861000000000008</v>
      </c>
    </row>
    <row r="33" spans="1:12" x14ac:dyDescent="0.35">
      <c r="A33" s="9" t="s">
        <v>197</v>
      </c>
      <c r="B33" s="9" t="s">
        <v>166</v>
      </c>
      <c r="C33" s="13">
        <v>166</v>
      </c>
      <c r="D33" s="13">
        <v>78</v>
      </c>
      <c r="E33" s="13">
        <v>88</v>
      </c>
      <c r="F33" s="13">
        <v>0</v>
      </c>
      <c r="G33" s="13">
        <v>225</v>
      </c>
      <c r="H33" s="13">
        <v>114</v>
      </c>
      <c r="I33" s="13">
        <v>111</v>
      </c>
      <c r="J33" s="13">
        <v>0</v>
      </c>
      <c r="K33" s="11">
        <v>9.7025000000000006</v>
      </c>
      <c r="L33" s="11">
        <v>8.7858999999999998</v>
      </c>
    </row>
    <row r="34" spans="1:12" x14ac:dyDescent="0.35">
      <c r="A34" s="9" t="s">
        <v>197</v>
      </c>
      <c r="B34" s="9" t="s">
        <v>167</v>
      </c>
      <c r="C34" s="13">
        <v>757</v>
      </c>
      <c r="D34" s="13">
        <v>400</v>
      </c>
      <c r="E34" s="13">
        <v>357</v>
      </c>
      <c r="F34" s="13">
        <v>0</v>
      </c>
      <c r="G34" s="13">
        <v>1630</v>
      </c>
      <c r="H34" s="13">
        <v>809</v>
      </c>
      <c r="I34" s="13">
        <v>821</v>
      </c>
      <c r="J34" s="13">
        <v>9</v>
      </c>
      <c r="K34" s="11">
        <v>14.5199</v>
      </c>
      <c r="L34" s="11">
        <v>11.0464</v>
      </c>
    </row>
    <row r="35" spans="1:12" x14ac:dyDescent="0.35">
      <c r="A35" s="9" t="s">
        <v>197</v>
      </c>
      <c r="B35" s="9" t="s">
        <v>168</v>
      </c>
      <c r="C35" s="13">
        <v>3027</v>
      </c>
      <c r="D35" s="13">
        <v>1570</v>
      </c>
      <c r="E35" s="13">
        <v>1457</v>
      </c>
      <c r="F35" s="13">
        <v>3</v>
      </c>
      <c r="G35" s="13">
        <v>3794</v>
      </c>
      <c r="H35" s="13">
        <v>1814</v>
      </c>
      <c r="I35" s="13">
        <v>1980</v>
      </c>
      <c r="J35" s="13">
        <v>7</v>
      </c>
      <c r="K35" s="11">
        <v>11.3583</v>
      </c>
      <c r="L35" s="11">
        <v>11.424300000000001</v>
      </c>
    </row>
    <row r="36" spans="1:12" x14ac:dyDescent="0.35">
      <c r="A36" s="9" t="s">
        <v>197</v>
      </c>
      <c r="B36" s="9" t="s">
        <v>169</v>
      </c>
      <c r="C36" s="13">
        <v>658</v>
      </c>
      <c r="D36" s="13">
        <v>323</v>
      </c>
      <c r="E36" s="13">
        <v>335</v>
      </c>
      <c r="F36" s="13">
        <v>1</v>
      </c>
      <c r="G36" s="13">
        <v>988</v>
      </c>
      <c r="H36" s="13">
        <v>510</v>
      </c>
      <c r="I36" s="13">
        <v>478</v>
      </c>
      <c r="J36" s="13">
        <v>6</v>
      </c>
      <c r="K36" s="11">
        <v>10.4872</v>
      </c>
      <c r="L36" s="11">
        <v>9.9459999999999997</v>
      </c>
    </row>
    <row r="37" spans="1:12" x14ac:dyDescent="0.35">
      <c r="A37" s="9" t="s">
        <v>197</v>
      </c>
      <c r="B37" s="9" t="s">
        <v>170</v>
      </c>
      <c r="C37" s="13">
        <v>800</v>
      </c>
      <c r="D37" s="13">
        <v>421</v>
      </c>
      <c r="E37" s="13">
        <v>379</v>
      </c>
      <c r="F37" s="13">
        <v>0</v>
      </c>
      <c r="G37" s="13">
        <v>1130</v>
      </c>
      <c r="H37" s="13">
        <v>575</v>
      </c>
      <c r="I37" s="13">
        <v>555</v>
      </c>
      <c r="J37" s="13">
        <v>1</v>
      </c>
      <c r="K37" s="11">
        <v>12.679500000000001</v>
      </c>
      <c r="L37" s="11">
        <v>13.0578</v>
      </c>
    </row>
    <row r="38" spans="1:12" x14ac:dyDescent="0.35">
      <c r="A38" s="9" t="s">
        <v>197</v>
      </c>
      <c r="B38" s="9" t="s">
        <v>171</v>
      </c>
      <c r="C38" s="13">
        <v>1671</v>
      </c>
      <c r="D38" s="13">
        <v>873</v>
      </c>
      <c r="E38" s="13">
        <v>798</v>
      </c>
      <c r="F38" s="13">
        <v>2</v>
      </c>
      <c r="G38" s="13">
        <v>1871</v>
      </c>
      <c r="H38" s="13">
        <v>925</v>
      </c>
      <c r="I38" s="13">
        <v>946</v>
      </c>
      <c r="J38" s="13">
        <v>4</v>
      </c>
      <c r="K38" s="11">
        <v>10.035399999999999</v>
      </c>
      <c r="L38" s="11">
        <v>11.6282</v>
      </c>
    </row>
    <row r="39" spans="1:12" ht="28.5" customHeight="1" x14ac:dyDescent="0.35">
      <c r="A39" s="9" t="s">
        <v>172</v>
      </c>
      <c r="B39" s="9" t="s">
        <v>173</v>
      </c>
      <c r="C39" s="13">
        <v>2812</v>
      </c>
      <c r="D39" s="13">
        <v>1473</v>
      </c>
      <c r="E39" s="13">
        <v>1339</v>
      </c>
      <c r="F39" s="13">
        <v>0</v>
      </c>
      <c r="G39" s="13">
        <v>5161</v>
      </c>
      <c r="H39" s="13">
        <v>2616</v>
      </c>
      <c r="I39" s="13">
        <v>2545</v>
      </c>
      <c r="J39" s="13">
        <v>17</v>
      </c>
      <c r="K39" s="11">
        <v>14.034000000000001</v>
      </c>
      <c r="L39" s="11">
        <v>12.141999999999999</v>
      </c>
    </row>
    <row r="40" spans="1:12" x14ac:dyDescent="0.35">
      <c r="A40" s="9" t="s">
        <v>172</v>
      </c>
      <c r="B40" s="9" t="s">
        <v>174</v>
      </c>
      <c r="C40" s="13">
        <v>793</v>
      </c>
      <c r="D40" s="13">
        <v>410</v>
      </c>
      <c r="E40" s="13">
        <v>383</v>
      </c>
      <c r="F40" s="13">
        <v>42</v>
      </c>
      <c r="G40" s="13">
        <v>1447</v>
      </c>
      <c r="H40" s="13">
        <v>736</v>
      </c>
      <c r="I40" s="13">
        <v>711</v>
      </c>
      <c r="J40" s="13">
        <v>21</v>
      </c>
      <c r="K40" s="11">
        <v>12.3696</v>
      </c>
      <c r="L40" s="11">
        <v>9.3861000000000008</v>
      </c>
    </row>
    <row r="41" spans="1:12" x14ac:dyDescent="0.35">
      <c r="A41" s="9" t="s">
        <v>172</v>
      </c>
      <c r="B41" s="9" t="s">
        <v>146</v>
      </c>
      <c r="C41" s="13">
        <v>1041</v>
      </c>
      <c r="D41" s="13">
        <v>550</v>
      </c>
      <c r="E41" s="13">
        <v>491</v>
      </c>
      <c r="F41" s="13">
        <v>13</v>
      </c>
      <c r="G41" s="13">
        <v>2058</v>
      </c>
      <c r="H41" s="13">
        <v>1058</v>
      </c>
      <c r="I41" s="13">
        <v>1000</v>
      </c>
      <c r="J41" s="13">
        <v>16</v>
      </c>
      <c r="K41" s="11">
        <v>14.109400000000001</v>
      </c>
      <c r="L41" s="11">
        <v>10.517899999999999</v>
      </c>
    </row>
    <row r="42" spans="1:12" x14ac:dyDescent="0.35">
      <c r="A42" s="9" t="s">
        <v>172</v>
      </c>
      <c r="B42" s="9" t="s">
        <v>153</v>
      </c>
      <c r="C42" s="13">
        <v>2813</v>
      </c>
      <c r="D42" s="13">
        <v>1462</v>
      </c>
      <c r="E42" s="13">
        <v>1351</v>
      </c>
      <c r="F42" s="13">
        <v>2</v>
      </c>
      <c r="G42" s="13">
        <v>4449</v>
      </c>
      <c r="H42" s="13">
        <v>2152</v>
      </c>
      <c r="I42" s="13">
        <v>2297</v>
      </c>
      <c r="J42" s="13">
        <v>19</v>
      </c>
      <c r="K42" s="11">
        <v>11.871600000000001</v>
      </c>
      <c r="L42" s="11">
        <v>11.075200000000001</v>
      </c>
    </row>
    <row r="43" spans="1:12" x14ac:dyDescent="0.35">
      <c r="A43" s="9" t="s">
        <v>172</v>
      </c>
      <c r="B43" s="9" t="s">
        <v>175</v>
      </c>
      <c r="C43" s="13">
        <v>2379</v>
      </c>
      <c r="D43" s="13">
        <v>1192</v>
      </c>
      <c r="E43" s="13">
        <v>1187</v>
      </c>
      <c r="F43" s="13">
        <v>3</v>
      </c>
      <c r="G43" s="13">
        <v>3496</v>
      </c>
      <c r="H43" s="13">
        <v>1811</v>
      </c>
      <c r="I43" s="13">
        <v>1685</v>
      </c>
      <c r="J43" s="13">
        <v>17</v>
      </c>
      <c r="K43" s="11">
        <v>11.4122</v>
      </c>
      <c r="L43" s="11">
        <v>11.436299999999999</v>
      </c>
    </row>
    <row r="44" spans="1:12" x14ac:dyDescent="0.35">
      <c r="A44" s="9" t="s">
        <v>172</v>
      </c>
      <c r="B44" s="9" t="s">
        <v>176</v>
      </c>
      <c r="C44" s="13">
        <v>4474</v>
      </c>
      <c r="D44" s="13">
        <v>2296</v>
      </c>
      <c r="E44" s="13">
        <v>2178</v>
      </c>
      <c r="F44" s="13">
        <v>4</v>
      </c>
      <c r="G44" s="13">
        <v>6010</v>
      </c>
      <c r="H44" s="13">
        <v>3058</v>
      </c>
      <c r="I44" s="13">
        <v>2952</v>
      </c>
      <c r="J44" s="13">
        <v>21</v>
      </c>
      <c r="K44" s="11">
        <v>10.154299999999999</v>
      </c>
      <c r="L44" s="11">
        <v>10.146699999999999</v>
      </c>
    </row>
    <row r="45" spans="1:12" ht="31" x14ac:dyDescent="0.35">
      <c r="A45" s="9" t="s">
        <v>172</v>
      </c>
      <c r="B45" s="9" t="s">
        <v>177</v>
      </c>
      <c r="C45" s="13">
        <v>10844</v>
      </c>
      <c r="D45" s="13">
        <v>5523</v>
      </c>
      <c r="E45" s="13">
        <v>5321</v>
      </c>
      <c r="F45" s="13">
        <v>8</v>
      </c>
      <c r="G45" s="13">
        <v>13012</v>
      </c>
      <c r="H45" s="13">
        <v>6453</v>
      </c>
      <c r="I45" s="13">
        <v>6559</v>
      </c>
      <c r="J45" s="13">
        <v>53</v>
      </c>
      <c r="K45" s="11">
        <v>10.689500000000001</v>
      </c>
      <c r="L45" s="11">
        <v>12.2866</v>
      </c>
    </row>
    <row r="46" spans="1:12" x14ac:dyDescent="0.35">
      <c r="A46" s="9" t="s">
        <v>172</v>
      </c>
      <c r="B46" s="9" t="s">
        <v>155</v>
      </c>
      <c r="C46" s="13">
        <v>2296</v>
      </c>
      <c r="D46" s="13">
        <v>1158</v>
      </c>
      <c r="E46" s="13">
        <v>1138</v>
      </c>
      <c r="F46" s="13">
        <v>1</v>
      </c>
      <c r="G46" s="13">
        <v>3997</v>
      </c>
      <c r="H46" s="13">
        <v>2075</v>
      </c>
      <c r="I46" s="13">
        <v>1922</v>
      </c>
      <c r="J46" s="13">
        <v>58</v>
      </c>
      <c r="K46" s="11">
        <v>12.299200000000001</v>
      </c>
      <c r="L46" s="11">
        <v>10.123100000000001</v>
      </c>
    </row>
    <row r="47" spans="1:12" x14ac:dyDescent="0.35">
      <c r="A47" s="9" t="s">
        <v>172</v>
      </c>
      <c r="B47" s="9" t="s">
        <v>178</v>
      </c>
      <c r="C47" s="13">
        <v>6199</v>
      </c>
      <c r="D47" s="13">
        <v>3196</v>
      </c>
      <c r="E47" s="13">
        <v>3003</v>
      </c>
      <c r="F47" s="13">
        <v>7</v>
      </c>
      <c r="G47" s="13">
        <v>7886</v>
      </c>
      <c r="H47" s="13">
        <v>3859</v>
      </c>
      <c r="I47" s="13">
        <v>4027</v>
      </c>
      <c r="J47" s="13">
        <v>20</v>
      </c>
      <c r="K47" s="11">
        <v>11.621499999999999</v>
      </c>
      <c r="L47" s="11">
        <v>12.43</v>
      </c>
    </row>
    <row r="48" spans="1:12" x14ac:dyDescent="0.35">
      <c r="A48" s="9" t="s">
        <v>172</v>
      </c>
      <c r="B48" s="9" t="s">
        <v>179</v>
      </c>
      <c r="C48" s="13">
        <v>8184</v>
      </c>
      <c r="D48" s="13">
        <v>4186</v>
      </c>
      <c r="E48" s="13">
        <v>3998</v>
      </c>
      <c r="F48" s="13">
        <v>7</v>
      </c>
      <c r="G48" s="13">
        <v>8466</v>
      </c>
      <c r="H48" s="13">
        <v>4247</v>
      </c>
      <c r="I48" s="13">
        <v>4219</v>
      </c>
      <c r="J48" s="13">
        <v>45</v>
      </c>
      <c r="K48" s="11">
        <v>9.0818999999999992</v>
      </c>
      <c r="L48" s="11">
        <v>10.324400000000001</v>
      </c>
    </row>
    <row r="49" spans="1:12" x14ac:dyDescent="0.35">
      <c r="A49" s="9" t="s">
        <v>172</v>
      </c>
      <c r="B49" s="9" t="s">
        <v>180</v>
      </c>
      <c r="C49" s="13">
        <v>145</v>
      </c>
      <c r="D49" s="13">
        <v>80</v>
      </c>
      <c r="E49" s="13">
        <v>65</v>
      </c>
      <c r="F49" s="13">
        <v>1</v>
      </c>
      <c r="G49" s="13">
        <v>240</v>
      </c>
      <c r="H49" s="13">
        <v>118</v>
      </c>
      <c r="I49" s="13">
        <v>122</v>
      </c>
      <c r="J49" s="13">
        <v>7</v>
      </c>
      <c r="K49" s="11">
        <v>10.8992</v>
      </c>
      <c r="L49" s="11">
        <v>8.5548000000000002</v>
      </c>
    </row>
    <row r="50" spans="1:12" x14ac:dyDescent="0.35">
      <c r="A50" s="9" t="s">
        <v>172</v>
      </c>
      <c r="B50" s="9" t="s">
        <v>181</v>
      </c>
      <c r="C50" s="13">
        <v>166</v>
      </c>
      <c r="D50" s="13">
        <v>78</v>
      </c>
      <c r="E50" s="13">
        <v>88</v>
      </c>
      <c r="F50" s="13">
        <v>0</v>
      </c>
      <c r="G50" s="13">
        <v>225</v>
      </c>
      <c r="H50" s="13">
        <v>114</v>
      </c>
      <c r="I50" s="13">
        <v>111</v>
      </c>
      <c r="J50" s="13">
        <v>0</v>
      </c>
      <c r="K50" s="11">
        <v>9.7025000000000006</v>
      </c>
      <c r="L50" s="11">
        <v>8.7858999999999998</v>
      </c>
    </row>
    <row r="51" spans="1:12" x14ac:dyDescent="0.35">
      <c r="A51" s="9" t="s">
        <v>172</v>
      </c>
      <c r="B51" s="9" t="s">
        <v>182</v>
      </c>
      <c r="C51" s="13">
        <v>3350</v>
      </c>
      <c r="D51" s="13">
        <v>1669</v>
      </c>
      <c r="E51" s="13">
        <v>1681</v>
      </c>
      <c r="F51" s="13">
        <v>3</v>
      </c>
      <c r="G51" s="13">
        <v>5148</v>
      </c>
      <c r="H51" s="13">
        <v>2576</v>
      </c>
      <c r="I51" s="13">
        <v>2572</v>
      </c>
      <c r="J51" s="13">
        <v>17</v>
      </c>
      <c r="K51" s="11">
        <v>12.283200000000001</v>
      </c>
      <c r="L51" s="11">
        <v>10.8222</v>
      </c>
    </row>
    <row r="52" spans="1:12" x14ac:dyDescent="0.35">
      <c r="A52" s="9" t="s">
        <v>172</v>
      </c>
      <c r="B52" s="9" t="s">
        <v>183</v>
      </c>
      <c r="C52" s="13">
        <v>176</v>
      </c>
      <c r="D52" s="13">
        <v>103</v>
      </c>
      <c r="E52" s="13">
        <v>73</v>
      </c>
      <c r="F52" s="13">
        <v>0</v>
      </c>
      <c r="G52" s="13">
        <v>382</v>
      </c>
      <c r="H52" s="13">
        <v>180</v>
      </c>
      <c r="I52" s="13">
        <v>202</v>
      </c>
      <c r="J52" s="13">
        <v>3</v>
      </c>
      <c r="K52" s="11">
        <v>14.680999999999999</v>
      </c>
      <c r="L52" s="11">
        <v>11.0298</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1"/>
  <sheetViews>
    <sheetView workbookViewId="0"/>
  </sheetViews>
  <sheetFormatPr defaultColWidth="11.61328125" defaultRowHeight="15.5" x14ac:dyDescent="0.35"/>
  <cols>
    <col min="1" max="1" width="15.921875" customWidth="1"/>
    <col min="2" max="2" width="25.61328125" bestFit="1" customWidth="1"/>
    <col min="3" max="9" width="12.765625" customWidth="1"/>
    <col min="10" max="10" width="16.23046875" customWidth="1"/>
    <col min="11" max="12" width="12.765625" customWidth="1"/>
  </cols>
  <sheetData>
    <row r="1" spans="1:12" ht="20" x14ac:dyDescent="0.4">
      <c r="A1" s="5" t="s">
        <v>303</v>
      </c>
    </row>
    <row r="2" spans="1:12" x14ac:dyDescent="0.35">
      <c r="A2" t="s">
        <v>22</v>
      </c>
    </row>
    <row r="3" spans="1:12" x14ac:dyDescent="0.35">
      <c r="A3" s="16" t="str">
        <f>HYPERLINK("#'Contents'!A1", "back to contents")</f>
        <v>back to contents</v>
      </c>
    </row>
    <row r="4" spans="1:12" ht="108.5" x14ac:dyDescent="0.35">
      <c r="A4" s="8" t="s">
        <v>130</v>
      </c>
      <c r="B4" s="8" t="s">
        <v>131</v>
      </c>
      <c r="C4" s="10" t="s">
        <v>198</v>
      </c>
      <c r="D4" s="10" t="s">
        <v>199</v>
      </c>
      <c r="E4" s="12" t="s">
        <v>200</v>
      </c>
      <c r="F4" s="10" t="s">
        <v>201</v>
      </c>
      <c r="G4" s="10" t="s">
        <v>202</v>
      </c>
      <c r="H4" s="10" t="s">
        <v>203</v>
      </c>
      <c r="I4" s="10" t="s">
        <v>204</v>
      </c>
      <c r="J4" s="10" t="s">
        <v>205</v>
      </c>
      <c r="K4" s="10" t="s">
        <v>206</v>
      </c>
      <c r="L4" s="10" t="s">
        <v>207</v>
      </c>
    </row>
    <row r="5" spans="1:12" x14ac:dyDescent="0.35">
      <c r="A5" s="9" t="s">
        <v>137</v>
      </c>
      <c r="B5" s="9" t="s">
        <v>196</v>
      </c>
      <c r="C5" s="13">
        <v>100</v>
      </c>
      <c r="D5" s="13">
        <v>100</v>
      </c>
      <c r="E5" s="13">
        <v>100</v>
      </c>
      <c r="F5" s="13">
        <v>100</v>
      </c>
      <c r="G5" s="13">
        <v>100</v>
      </c>
      <c r="H5" s="13">
        <v>100</v>
      </c>
      <c r="I5" s="13">
        <v>100</v>
      </c>
      <c r="J5" s="13">
        <v>100</v>
      </c>
      <c r="K5" s="13">
        <v>100</v>
      </c>
      <c r="L5" s="13">
        <v>100</v>
      </c>
    </row>
    <row r="6" spans="1:12" ht="30.15" customHeight="1" x14ac:dyDescent="0.35">
      <c r="A6" s="9" t="s">
        <v>197</v>
      </c>
      <c r="B6" s="9" t="s">
        <v>140</v>
      </c>
      <c r="C6" s="13">
        <v>95.608800000000002</v>
      </c>
      <c r="D6" s="13">
        <v>98.164599999999993</v>
      </c>
      <c r="E6" s="13">
        <v>102.43770000000001</v>
      </c>
      <c r="F6" s="13">
        <v>129.05950000000001</v>
      </c>
      <c r="G6" s="13">
        <v>98.099299999999999</v>
      </c>
      <c r="H6" s="13">
        <v>90.140900000000002</v>
      </c>
      <c r="I6" s="13">
        <v>89.594899999999996</v>
      </c>
      <c r="J6" s="13">
        <v>104.69159999999999</v>
      </c>
      <c r="K6" s="13">
        <v>101.19670000000001</v>
      </c>
      <c r="L6" s="13">
        <v>90.974900000000005</v>
      </c>
    </row>
    <row r="7" spans="1:12" x14ac:dyDescent="0.35">
      <c r="A7" s="9" t="s">
        <v>197</v>
      </c>
      <c r="B7" s="9" t="s">
        <v>141</v>
      </c>
      <c r="C7" s="13">
        <v>84.921999999999997</v>
      </c>
      <c r="D7" s="13">
        <v>90.225800000000007</v>
      </c>
      <c r="E7" s="13">
        <v>71.250200000000007</v>
      </c>
      <c r="F7" s="13">
        <v>134.5016</v>
      </c>
      <c r="G7" s="13">
        <v>73.960800000000006</v>
      </c>
      <c r="H7" s="13">
        <v>101.17189999999999</v>
      </c>
      <c r="I7" s="13">
        <v>77.173000000000002</v>
      </c>
      <c r="J7" s="13">
        <v>94.660600000000002</v>
      </c>
      <c r="K7" s="13">
        <v>99.537499999999994</v>
      </c>
      <c r="L7" s="13">
        <v>90.911500000000004</v>
      </c>
    </row>
    <row r="8" spans="1:12" x14ac:dyDescent="0.35">
      <c r="A8" s="9" t="s">
        <v>197</v>
      </c>
      <c r="B8" s="9" t="s">
        <v>142</v>
      </c>
      <c r="C8" s="13">
        <v>95.7607</v>
      </c>
      <c r="D8" s="13">
        <v>98.444400000000002</v>
      </c>
      <c r="E8" s="13">
        <v>142.45830000000001</v>
      </c>
      <c r="F8" s="13">
        <v>63.105400000000003</v>
      </c>
      <c r="G8" s="13">
        <v>88.575500000000005</v>
      </c>
      <c r="H8" s="13">
        <v>109.80459999999999</v>
      </c>
      <c r="I8" s="13">
        <v>92.455200000000005</v>
      </c>
      <c r="J8" s="13">
        <v>68.998699999999999</v>
      </c>
      <c r="K8" s="13">
        <v>70.893500000000003</v>
      </c>
      <c r="L8" s="13">
        <v>105.79519999999999</v>
      </c>
    </row>
    <row r="9" spans="1:12" x14ac:dyDescent="0.35">
      <c r="A9" s="9" t="s">
        <v>197</v>
      </c>
      <c r="B9" s="9" t="s">
        <v>143</v>
      </c>
      <c r="C9" s="13">
        <v>92.660600000000002</v>
      </c>
      <c r="D9" s="13">
        <v>93.615600000000001</v>
      </c>
      <c r="E9" s="13">
        <v>54.345999999999997</v>
      </c>
      <c r="F9" s="13">
        <v>111.4547</v>
      </c>
      <c r="G9" s="13">
        <v>93.645799999999994</v>
      </c>
      <c r="H9" s="13">
        <v>84.704800000000006</v>
      </c>
      <c r="I9" s="13">
        <v>106.0442</v>
      </c>
      <c r="J9" s="13">
        <v>105.1271</v>
      </c>
      <c r="K9" s="13">
        <v>83.216099999999997</v>
      </c>
      <c r="L9" s="13">
        <v>84.121700000000004</v>
      </c>
    </row>
    <row r="10" spans="1:12" x14ac:dyDescent="0.35">
      <c r="A10" s="9" t="s">
        <v>197</v>
      </c>
      <c r="B10" s="9" t="s">
        <v>144</v>
      </c>
      <c r="C10" s="13">
        <v>89.33</v>
      </c>
      <c r="D10" s="13">
        <v>95.101699999999994</v>
      </c>
      <c r="E10" s="13">
        <v>90.740700000000004</v>
      </c>
      <c r="F10" s="13">
        <v>93.600700000000003</v>
      </c>
      <c r="G10" s="13">
        <v>95.186599999999999</v>
      </c>
      <c r="H10" s="13">
        <v>83.210499999999996</v>
      </c>
      <c r="I10" s="13">
        <v>89.158500000000004</v>
      </c>
      <c r="J10" s="13">
        <v>96.049400000000006</v>
      </c>
      <c r="K10" s="13">
        <v>82.247500000000002</v>
      </c>
      <c r="L10" s="13">
        <v>87.648799999999994</v>
      </c>
    </row>
    <row r="11" spans="1:12" x14ac:dyDescent="0.35">
      <c r="A11" s="9" t="s">
        <v>197</v>
      </c>
      <c r="B11" s="9" t="s">
        <v>145</v>
      </c>
      <c r="C11" s="13">
        <v>106.97490000000001</v>
      </c>
      <c r="D11" s="13">
        <v>98.5976</v>
      </c>
      <c r="E11" s="13">
        <v>175.91970000000001</v>
      </c>
      <c r="F11" s="13">
        <v>72.257099999999994</v>
      </c>
      <c r="G11" s="13">
        <v>117.40949999999999</v>
      </c>
      <c r="H11" s="13">
        <v>99.125399999999999</v>
      </c>
      <c r="I11" s="13">
        <v>122.9996</v>
      </c>
      <c r="J11" s="13">
        <v>103.1491</v>
      </c>
      <c r="K11" s="13">
        <v>63.166600000000003</v>
      </c>
      <c r="L11" s="13">
        <v>108.4609</v>
      </c>
    </row>
    <row r="12" spans="1:12" x14ac:dyDescent="0.35">
      <c r="A12" s="9" t="s">
        <v>197</v>
      </c>
      <c r="B12" s="9" t="s">
        <v>146</v>
      </c>
      <c r="C12" s="13">
        <v>94.42</v>
      </c>
      <c r="D12" s="13">
        <v>92.4101</v>
      </c>
      <c r="E12" s="13">
        <v>88.472800000000007</v>
      </c>
      <c r="F12" s="13">
        <v>117.82</v>
      </c>
      <c r="G12" s="13">
        <v>83.446600000000004</v>
      </c>
      <c r="H12" s="13">
        <v>72.700599999999994</v>
      </c>
      <c r="I12" s="13">
        <v>108.6092</v>
      </c>
      <c r="J12" s="13">
        <v>91.390699999999995</v>
      </c>
      <c r="K12" s="13">
        <v>68.085899999999995</v>
      </c>
      <c r="L12" s="13">
        <v>106.4742</v>
      </c>
    </row>
    <row r="13" spans="1:12" x14ac:dyDescent="0.35">
      <c r="A13" s="9" t="s">
        <v>197</v>
      </c>
      <c r="B13" s="9" t="s">
        <v>147</v>
      </c>
      <c r="C13" s="13">
        <v>111.3373</v>
      </c>
      <c r="D13" s="13">
        <v>110.1348</v>
      </c>
      <c r="E13" s="13">
        <v>104.33199999999999</v>
      </c>
      <c r="F13" s="13">
        <v>62.895000000000003</v>
      </c>
      <c r="G13" s="13">
        <v>124.5908</v>
      </c>
      <c r="H13" s="13">
        <v>144.62180000000001</v>
      </c>
      <c r="I13" s="13">
        <v>94.91</v>
      </c>
      <c r="J13" s="13">
        <v>124.1318</v>
      </c>
      <c r="K13" s="13">
        <v>99.516000000000005</v>
      </c>
      <c r="L13" s="13">
        <v>101.3175</v>
      </c>
    </row>
    <row r="14" spans="1:12" x14ac:dyDescent="0.35">
      <c r="A14" s="9" t="s">
        <v>197</v>
      </c>
      <c r="B14" s="9" t="s">
        <v>148</v>
      </c>
      <c r="C14" s="13">
        <v>112.5031</v>
      </c>
      <c r="D14" s="13">
        <v>104.2186</v>
      </c>
      <c r="E14" s="13">
        <v>109.6187</v>
      </c>
      <c r="F14" s="13">
        <v>101.6566</v>
      </c>
      <c r="G14" s="13">
        <v>112.21250000000001</v>
      </c>
      <c r="H14" s="13">
        <v>114.66800000000001</v>
      </c>
      <c r="I14" s="13">
        <v>114.8245</v>
      </c>
      <c r="J14" s="13">
        <v>118.595</v>
      </c>
      <c r="K14" s="13">
        <v>120.0026</v>
      </c>
      <c r="L14" s="13">
        <v>98.817800000000005</v>
      </c>
    </row>
    <row r="15" spans="1:12" x14ac:dyDescent="0.35">
      <c r="A15" s="9" t="s">
        <v>197</v>
      </c>
      <c r="B15" s="9" t="s">
        <v>149</v>
      </c>
      <c r="C15" s="13">
        <v>77.231999999999999</v>
      </c>
      <c r="D15" s="13">
        <v>82.5047</v>
      </c>
      <c r="E15" s="13">
        <v>130.25370000000001</v>
      </c>
      <c r="F15" s="13">
        <v>50.955599999999997</v>
      </c>
      <c r="G15" s="13">
        <v>60.731299999999997</v>
      </c>
      <c r="H15" s="13">
        <v>125.44710000000001</v>
      </c>
      <c r="I15" s="13">
        <v>74.251000000000005</v>
      </c>
      <c r="J15" s="13">
        <v>64.260300000000001</v>
      </c>
      <c r="K15" s="13">
        <v>66.570300000000003</v>
      </c>
      <c r="L15" s="13">
        <v>82.743499999999997</v>
      </c>
    </row>
    <row r="16" spans="1:12" x14ac:dyDescent="0.35">
      <c r="A16" s="9" t="s">
        <v>197</v>
      </c>
      <c r="B16" s="9" t="s">
        <v>150</v>
      </c>
      <c r="C16" s="13">
        <v>88.287300000000002</v>
      </c>
      <c r="D16" s="13">
        <v>95.572900000000004</v>
      </c>
      <c r="E16" s="13">
        <v>63.665999999999997</v>
      </c>
      <c r="F16" s="13">
        <v>100.0986</v>
      </c>
      <c r="G16" s="13">
        <v>80.181700000000006</v>
      </c>
      <c r="H16" s="13">
        <v>89.534999999999997</v>
      </c>
      <c r="I16" s="13">
        <v>87.944800000000001</v>
      </c>
      <c r="J16" s="13">
        <v>82.877700000000004</v>
      </c>
      <c r="K16" s="13">
        <v>105.8507</v>
      </c>
      <c r="L16" s="13">
        <v>91.081500000000005</v>
      </c>
    </row>
    <row r="17" spans="1:12" x14ac:dyDescent="0.35">
      <c r="A17" s="9" t="s">
        <v>197</v>
      </c>
      <c r="B17" s="9" t="s">
        <v>151</v>
      </c>
      <c r="C17" s="13">
        <v>77.309399999999997</v>
      </c>
      <c r="D17" s="13">
        <v>77.785899999999998</v>
      </c>
      <c r="E17" s="13">
        <v>58.063499999999998</v>
      </c>
      <c r="F17" s="13">
        <v>91.167199999999994</v>
      </c>
      <c r="G17" s="13">
        <v>65.260800000000003</v>
      </c>
      <c r="H17" s="13">
        <v>94.561000000000007</v>
      </c>
      <c r="I17" s="13">
        <v>63.027500000000003</v>
      </c>
      <c r="J17" s="13">
        <v>102.38849999999999</v>
      </c>
      <c r="K17" s="13">
        <v>42.415900000000001</v>
      </c>
      <c r="L17" s="13">
        <v>83.878399999999999</v>
      </c>
    </row>
    <row r="18" spans="1:12" x14ac:dyDescent="0.35">
      <c r="A18" s="9" t="s">
        <v>197</v>
      </c>
      <c r="B18" s="9" t="s">
        <v>152</v>
      </c>
      <c r="C18" s="13">
        <v>109.25620000000001</v>
      </c>
      <c r="D18" s="13">
        <v>103.26260000000001</v>
      </c>
      <c r="E18" s="13">
        <v>89.566000000000003</v>
      </c>
      <c r="F18" s="13">
        <v>113.9492</v>
      </c>
      <c r="G18" s="13">
        <v>98.104100000000003</v>
      </c>
      <c r="H18" s="13">
        <v>113.2255</v>
      </c>
      <c r="I18" s="13">
        <v>114.13979999999999</v>
      </c>
      <c r="J18" s="13">
        <v>110.1041</v>
      </c>
      <c r="K18" s="13">
        <v>102.1247</v>
      </c>
      <c r="L18" s="13">
        <v>122.2871</v>
      </c>
    </row>
    <row r="19" spans="1:12" x14ac:dyDescent="0.35">
      <c r="A19" s="9" t="s">
        <v>197</v>
      </c>
      <c r="B19" s="9" t="s">
        <v>153</v>
      </c>
      <c r="C19" s="13">
        <v>99.051599999999993</v>
      </c>
      <c r="D19" s="13">
        <v>94.639399999999995</v>
      </c>
      <c r="E19" s="13">
        <v>109.12820000000001</v>
      </c>
      <c r="F19" s="13">
        <v>92.163399999999996</v>
      </c>
      <c r="G19" s="13">
        <v>101.19759999999999</v>
      </c>
      <c r="H19" s="13">
        <v>99.597499999999997</v>
      </c>
      <c r="I19" s="13">
        <v>100.5397</v>
      </c>
      <c r="J19" s="13">
        <v>104.4151</v>
      </c>
      <c r="K19" s="13">
        <v>93.703999999999994</v>
      </c>
      <c r="L19" s="13">
        <v>111.4238</v>
      </c>
    </row>
    <row r="20" spans="1:12" x14ac:dyDescent="0.35">
      <c r="A20" s="9" t="s">
        <v>197</v>
      </c>
      <c r="B20" s="9" t="s">
        <v>154</v>
      </c>
      <c r="C20" s="13">
        <v>126.1673</v>
      </c>
      <c r="D20" s="13">
        <v>128.0872</v>
      </c>
      <c r="E20" s="13">
        <v>120.1699</v>
      </c>
      <c r="F20" s="13">
        <v>144.15190000000001</v>
      </c>
      <c r="G20" s="13">
        <v>160.19319999999999</v>
      </c>
      <c r="H20" s="13">
        <v>102.4743</v>
      </c>
      <c r="I20" s="13">
        <v>122.6768</v>
      </c>
      <c r="J20" s="13">
        <v>119.7966</v>
      </c>
      <c r="K20" s="13">
        <v>137.1867</v>
      </c>
      <c r="L20" s="13">
        <v>122.4991</v>
      </c>
    </row>
    <row r="21" spans="1:12" x14ac:dyDescent="0.35">
      <c r="A21" s="9" t="s">
        <v>197</v>
      </c>
      <c r="B21" s="9" t="s">
        <v>155</v>
      </c>
      <c r="C21" s="13">
        <v>90.9756</v>
      </c>
      <c r="D21" s="13">
        <v>90.748500000000007</v>
      </c>
      <c r="E21" s="13">
        <v>61.569899999999997</v>
      </c>
      <c r="F21" s="13">
        <v>82.537000000000006</v>
      </c>
      <c r="G21" s="13">
        <v>89.941900000000004</v>
      </c>
      <c r="H21" s="13">
        <v>127.98269999999999</v>
      </c>
      <c r="I21" s="13">
        <v>90.459599999999995</v>
      </c>
      <c r="J21" s="13">
        <v>86.794899999999998</v>
      </c>
      <c r="K21" s="13">
        <v>78.803899999999999</v>
      </c>
      <c r="L21" s="13">
        <v>101.36409999999999</v>
      </c>
    </row>
    <row r="22" spans="1:12" x14ac:dyDescent="0.35">
      <c r="A22" s="9" t="s">
        <v>197</v>
      </c>
      <c r="B22" s="9" t="s">
        <v>156</v>
      </c>
      <c r="C22" s="13">
        <v>114.852</v>
      </c>
      <c r="D22" s="13">
        <v>108.75839999999999</v>
      </c>
      <c r="E22" s="13">
        <v>90.312899999999999</v>
      </c>
      <c r="F22" s="13">
        <v>111.1151</v>
      </c>
      <c r="G22" s="13">
        <v>120.6536</v>
      </c>
      <c r="H22" s="13">
        <v>77.625699999999995</v>
      </c>
      <c r="I22" s="13">
        <v>122.69750000000001</v>
      </c>
      <c r="J22" s="13">
        <v>122.3014</v>
      </c>
      <c r="K22" s="13">
        <v>159.92590000000001</v>
      </c>
      <c r="L22" s="13">
        <v>104.4783</v>
      </c>
    </row>
    <row r="23" spans="1:12" x14ac:dyDescent="0.35">
      <c r="A23" s="9" t="s">
        <v>197</v>
      </c>
      <c r="B23" s="9" t="s">
        <v>157</v>
      </c>
      <c r="C23" s="13">
        <v>92.998599999999996</v>
      </c>
      <c r="D23" s="13">
        <v>87.957999999999998</v>
      </c>
      <c r="E23" s="13">
        <v>66.885199999999998</v>
      </c>
      <c r="F23" s="13">
        <v>52.049900000000001</v>
      </c>
      <c r="G23" s="13">
        <v>94.950199999999995</v>
      </c>
      <c r="H23" s="13">
        <v>91.429500000000004</v>
      </c>
      <c r="I23" s="13">
        <v>84.382599999999996</v>
      </c>
      <c r="J23" s="13">
        <v>91.530100000000004</v>
      </c>
      <c r="K23" s="13">
        <v>77.233599999999996</v>
      </c>
      <c r="L23" s="13">
        <v>107.56310000000001</v>
      </c>
    </row>
    <row r="24" spans="1:12" x14ac:dyDescent="0.35">
      <c r="A24" s="9" t="s">
        <v>197</v>
      </c>
      <c r="B24" s="9" t="s">
        <v>158</v>
      </c>
      <c r="C24" s="13">
        <v>96.453100000000006</v>
      </c>
      <c r="D24" s="13">
        <v>96.215999999999994</v>
      </c>
      <c r="E24" s="13">
        <v>58.1036</v>
      </c>
      <c r="F24" s="13">
        <v>109.3817</v>
      </c>
      <c r="G24" s="13">
        <v>80.010599999999997</v>
      </c>
      <c r="H24" s="13">
        <v>116.2406</v>
      </c>
      <c r="I24" s="13">
        <v>86.678899999999999</v>
      </c>
      <c r="J24" s="13">
        <v>90.754999999999995</v>
      </c>
      <c r="K24" s="13">
        <v>96.469200000000001</v>
      </c>
      <c r="L24" s="13">
        <v>100.0407</v>
      </c>
    </row>
    <row r="25" spans="1:12" x14ac:dyDescent="0.35">
      <c r="A25" s="9" t="s">
        <v>197</v>
      </c>
      <c r="B25" s="9" t="s">
        <v>159</v>
      </c>
      <c r="C25" s="13">
        <v>99.017200000000003</v>
      </c>
      <c r="D25" s="13">
        <v>108.46510000000001</v>
      </c>
      <c r="E25" s="13">
        <v>91.232100000000003</v>
      </c>
      <c r="F25" s="13">
        <v>155.03299999999999</v>
      </c>
      <c r="G25" s="13">
        <v>79.372399999999999</v>
      </c>
      <c r="H25" s="13">
        <v>177.15209999999999</v>
      </c>
      <c r="I25" s="13">
        <v>112.6618</v>
      </c>
      <c r="J25" s="13">
        <v>102.962</v>
      </c>
      <c r="K25" s="13">
        <v>76.766900000000007</v>
      </c>
      <c r="L25" s="13">
        <v>62.174999999999997</v>
      </c>
    </row>
    <row r="26" spans="1:12" x14ac:dyDescent="0.35">
      <c r="A26" s="9" t="s">
        <v>197</v>
      </c>
      <c r="B26" s="9" t="s">
        <v>160</v>
      </c>
      <c r="C26" s="13">
        <v>114.45269999999999</v>
      </c>
      <c r="D26" s="13">
        <v>119.6735</v>
      </c>
      <c r="E26" s="13">
        <v>142.21629999999999</v>
      </c>
      <c r="F26" s="13">
        <v>77.235299999999995</v>
      </c>
      <c r="G26" s="13">
        <v>128.0548</v>
      </c>
      <c r="H26" s="13">
        <v>125.1046</v>
      </c>
      <c r="I26" s="13">
        <v>126.79770000000001</v>
      </c>
      <c r="J26" s="13">
        <v>97.255300000000005</v>
      </c>
      <c r="K26" s="13">
        <v>124.78060000000001</v>
      </c>
      <c r="L26" s="13">
        <v>80.669499999999999</v>
      </c>
    </row>
    <row r="27" spans="1:12" x14ac:dyDescent="0.35">
      <c r="A27" s="9" t="s">
        <v>197</v>
      </c>
      <c r="B27" s="9" t="s">
        <v>161</v>
      </c>
      <c r="C27" s="13">
        <v>120.8732</v>
      </c>
      <c r="D27" s="13">
        <v>111.35760000000001</v>
      </c>
      <c r="E27" s="13">
        <v>136.02520000000001</v>
      </c>
      <c r="F27" s="13">
        <v>107.66079999999999</v>
      </c>
      <c r="G27" s="13">
        <v>123.41540000000001</v>
      </c>
      <c r="H27" s="13">
        <v>94.309799999999996</v>
      </c>
      <c r="I27" s="13">
        <v>138.48650000000001</v>
      </c>
      <c r="J27" s="13">
        <v>106.8163</v>
      </c>
      <c r="K27" s="13">
        <v>156.4683</v>
      </c>
      <c r="L27" s="13">
        <v>107.5873</v>
      </c>
    </row>
    <row r="28" spans="1:12" x14ac:dyDescent="0.35">
      <c r="A28" s="9" t="s">
        <v>197</v>
      </c>
      <c r="B28" s="9" t="s">
        <v>162</v>
      </c>
      <c r="C28" s="13">
        <v>78.422799999999995</v>
      </c>
      <c r="D28" s="13">
        <v>80.5946</v>
      </c>
      <c r="E28" s="13">
        <v>0</v>
      </c>
      <c r="F28" s="13">
        <v>76.561899999999994</v>
      </c>
      <c r="G28" s="13">
        <v>70.964500000000001</v>
      </c>
      <c r="H28" s="13">
        <v>177.9126</v>
      </c>
      <c r="I28" s="13">
        <v>70.9786</v>
      </c>
      <c r="J28" s="13">
        <v>101.241</v>
      </c>
      <c r="K28" s="13">
        <v>108.3523</v>
      </c>
      <c r="L28" s="13">
        <v>63.197000000000003</v>
      </c>
    </row>
    <row r="29" spans="1:12" x14ac:dyDescent="0.35">
      <c r="A29" s="9" t="s">
        <v>197</v>
      </c>
      <c r="B29" s="9" t="s">
        <v>163</v>
      </c>
      <c r="C29" s="13">
        <v>86.8977</v>
      </c>
      <c r="D29" s="13">
        <v>89.1935</v>
      </c>
      <c r="E29" s="13">
        <v>99.633200000000002</v>
      </c>
      <c r="F29" s="13">
        <v>84.026700000000005</v>
      </c>
      <c r="G29" s="13">
        <v>73.418400000000005</v>
      </c>
      <c r="H29" s="13">
        <v>92.793599999999998</v>
      </c>
      <c r="I29" s="13">
        <v>93.588099999999997</v>
      </c>
      <c r="J29" s="13">
        <v>91.817700000000002</v>
      </c>
      <c r="K29" s="13">
        <v>89.934600000000003</v>
      </c>
      <c r="L29" s="13">
        <v>77.914699999999996</v>
      </c>
    </row>
    <row r="30" spans="1:12" x14ac:dyDescent="0.35">
      <c r="A30" s="9" t="s">
        <v>197</v>
      </c>
      <c r="B30" s="9" t="s">
        <v>164</v>
      </c>
      <c r="C30" s="13">
        <v>109.2265</v>
      </c>
      <c r="D30" s="13">
        <v>110.78279999999999</v>
      </c>
      <c r="E30" s="13">
        <v>135.7621</v>
      </c>
      <c r="F30" s="13">
        <v>130.642</v>
      </c>
      <c r="G30" s="13">
        <v>100.2413</v>
      </c>
      <c r="H30" s="13">
        <v>95.147999999999996</v>
      </c>
      <c r="I30" s="13">
        <v>108.5707</v>
      </c>
      <c r="J30" s="13">
        <v>127.0538</v>
      </c>
      <c r="K30" s="13">
        <v>113.32040000000001</v>
      </c>
      <c r="L30" s="13">
        <v>120.1965</v>
      </c>
    </row>
    <row r="31" spans="1:12" x14ac:dyDescent="0.35">
      <c r="A31" s="9" t="s">
        <v>197</v>
      </c>
      <c r="B31" s="9" t="s">
        <v>165</v>
      </c>
      <c r="C31" s="13">
        <v>84.820499999999996</v>
      </c>
      <c r="D31" s="13">
        <v>90.849699999999999</v>
      </c>
      <c r="E31" s="13">
        <v>133.0334</v>
      </c>
      <c r="F31" s="13">
        <v>66.1143</v>
      </c>
      <c r="G31" s="13">
        <v>83.803200000000004</v>
      </c>
      <c r="H31" s="13">
        <v>91.849000000000004</v>
      </c>
      <c r="I31" s="13">
        <v>81.704700000000003</v>
      </c>
      <c r="J31" s="13">
        <v>96.649500000000003</v>
      </c>
      <c r="K31" s="13">
        <v>71.465299999999999</v>
      </c>
      <c r="L31" s="13">
        <v>69.731999999999999</v>
      </c>
    </row>
    <row r="32" spans="1:12" x14ac:dyDescent="0.35">
      <c r="A32" s="9" t="s">
        <v>197</v>
      </c>
      <c r="B32" s="9" t="s">
        <v>166</v>
      </c>
      <c r="C32" s="13">
        <v>78.246499999999997</v>
      </c>
      <c r="D32" s="13">
        <v>67.076300000000003</v>
      </c>
      <c r="E32" s="13">
        <v>60.925899999999999</v>
      </c>
      <c r="F32" s="13">
        <v>21.0014</v>
      </c>
      <c r="G32" s="13">
        <v>53.709499999999998</v>
      </c>
      <c r="H32" s="13">
        <v>169.13499999999999</v>
      </c>
      <c r="I32" s="13">
        <v>96.494100000000003</v>
      </c>
      <c r="J32" s="13">
        <v>82.692099999999996</v>
      </c>
      <c r="K32" s="13">
        <v>105.17400000000001</v>
      </c>
      <c r="L32" s="13">
        <v>87.351299999999995</v>
      </c>
    </row>
    <row r="33" spans="1:12" x14ac:dyDescent="0.35">
      <c r="A33" s="9" t="s">
        <v>197</v>
      </c>
      <c r="B33" s="9" t="s">
        <v>167</v>
      </c>
      <c r="C33" s="13">
        <v>98.943600000000004</v>
      </c>
      <c r="D33" s="13">
        <v>100.8203</v>
      </c>
      <c r="E33" s="13">
        <v>64.738299999999995</v>
      </c>
      <c r="F33" s="13">
        <v>72.814999999999998</v>
      </c>
      <c r="G33" s="13">
        <v>83.670100000000005</v>
      </c>
      <c r="H33" s="13">
        <v>94.200800000000001</v>
      </c>
      <c r="I33" s="13">
        <v>91.449100000000001</v>
      </c>
      <c r="J33" s="13">
        <v>102.49339999999999</v>
      </c>
      <c r="K33" s="13">
        <v>141.06659999999999</v>
      </c>
      <c r="L33" s="13">
        <v>89.140699999999995</v>
      </c>
    </row>
    <row r="34" spans="1:12" x14ac:dyDescent="0.35">
      <c r="A34" s="9" t="s">
        <v>197</v>
      </c>
      <c r="B34" s="9" t="s">
        <v>168</v>
      </c>
      <c r="C34" s="13">
        <v>101.91330000000001</v>
      </c>
      <c r="D34" s="13">
        <v>94.463399999999993</v>
      </c>
      <c r="E34" s="13">
        <v>107.4525</v>
      </c>
      <c r="F34" s="13">
        <v>109.7324</v>
      </c>
      <c r="G34" s="13">
        <v>94.495999999999995</v>
      </c>
      <c r="H34" s="13">
        <v>92.235799999999998</v>
      </c>
      <c r="I34" s="13">
        <v>95.407600000000002</v>
      </c>
      <c r="J34" s="13">
        <v>99.474400000000003</v>
      </c>
      <c r="K34" s="13">
        <v>98.411500000000004</v>
      </c>
      <c r="L34" s="13">
        <v>117.1782</v>
      </c>
    </row>
    <row r="35" spans="1:12" x14ac:dyDescent="0.35">
      <c r="A35" s="9" t="s">
        <v>197</v>
      </c>
      <c r="B35" s="9" t="s">
        <v>169</v>
      </c>
      <c r="C35" s="13">
        <v>89.116</v>
      </c>
      <c r="D35" s="13">
        <v>83.405500000000004</v>
      </c>
      <c r="E35" s="13">
        <v>79.884699999999995</v>
      </c>
      <c r="F35" s="13">
        <v>81.336600000000004</v>
      </c>
      <c r="G35" s="13">
        <v>71.262699999999995</v>
      </c>
      <c r="H35" s="13">
        <v>77.070300000000003</v>
      </c>
      <c r="I35" s="13">
        <v>82.912499999999994</v>
      </c>
      <c r="J35" s="13">
        <v>68.066900000000004</v>
      </c>
      <c r="K35" s="13">
        <v>77.108699999999999</v>
      </c>
      <c r="L35" s="13">
        <v>94.180400000000006</v>
      </c>
    </row>
    <row r="36" spans="1:12" x14ac:dyDescent="0.35">
      <c r="A36" s="9" t="s">
        <v>197</v>
      </c>
      <c r="B36" s="9" t="s">
        <v>170</v>
      </c>
      <c r="C36" s="13">
        <v>116.3668</v>
      </c>
      <c r="D36" s="13">
        <v>120.18170000000001</v>
      </c>
      <c r="E36" s="13">
        <v>106.78579999999999</v>
      </c>
      <c r="F36" s="13">
        <v>105.2236</v>
      </c>
      <c r="G36" s="13">
        <v>126.0364</v>
      </c>
      <c r="H36" s="13">
        <v>89.825800000000001</v>
      </c>
      <c r="I36" s="13">
        <v>99.851900000000001</v>
      </c>
      <c r="J36" s="13">
        <v>117.2803</v>
      </c>
      <c r="K36" s="13">
        <v>147.15440000000001</v>
      </c>
      <c r="L36" s="13">
        <v>93.76</v>
      </c>
    </row>
    <row r="37" spans="1:12" x14ac:dyDescent="0.35">
      <c r="A37" s="9" t="s">
        <v>197</v>
      </c>
      <c r="B37" s="9" t="s">
        <v>171</v>
      </c>
      <c r="C37" s="13">
        <v>103.73869999999999</v>
      </c>
      <c r="D37" s="13">
        <v>107.5844</v>
      </c>
      <c r="E37" s="13">
        <v>94.388900000000007</v>
      </c>
      <c r="F37" s="13">
        <v>82.758499999999998</v>
      </c>
      <c r="G37" s="13">
        <v>104.21299999999999</v>
      </c>
      <c r="H37" s="13">
        <v>82.864599999999996</v>
      </c>
      <c r="I37" s="13">
        <v>109.0436</v>
      </c>
      <c r="J37" s="13">
        <v>88.630899999999997</v>
      </c>
      <c r="K37" s="13">
        <v>83.036000000000001</v>
      </c>
      <c r="L37" s="13">
        <v>119.0291</v>
      </c>
    </row>
    <row r="38" spans="1:12" ht="30.15" customHeight="1" x14ac:dyDescent="0.35">
      <c r="A38" s="9" t="s">
        <v>172</v>
      </c>
      <c r="B38" s="9" t="s">
        <v>173</v>
      </c>
      <c r="C38" s="13">
        <v>108.4928</v>
      </c>
      <c r="D38" s="13">
        <v>108.6307</v>
      </c>
      <c r="E38" s="13">
        <v>106.1396</v>
      </c>
      <c r="F38" s="13">
        <v>82.956100000000006</v>
      </c>
      <c r="G38" s="13">
        <v>108.3073</v>
      </c>
      <c r="H38" s="13">
        <v>111.5765</v>
      </c>
      <c r="I38" s="13">
        <v>111.05549999999999</v>
      </c>
      <c r="J38" s="13">
        <v>105.32040000000001</v>
      </c>
      <c r="K38" s="13">
        <v>129.21299999999999</v>
      </c>
      <c r="L38" s="13">
        <v>88.921700000000001</v>
      </c>
    </row>
    <row r="39" spans="1:12" x14ac:dyDescent="0.35">
      <c r="A39" s="9" t="s">
        <v>172</v>
      </c>
      <c r="B39" s="9" t="s">
        <v>174</v>
      </c>
      <c r="C39" s="13">
        <v>84.820499999999996</v>
      </c>
      <c r="D39" s="13">
        <v>90.849699999999999</v>
      </c>
      <c r="E39" s="13">
        <v>133.0334</v>
      </c>
      <c r="F39" s="13">
        <v>66.1143</v>
      </c>
      <c r="G39" s="13">
        <v>83.803200000000004</v>
      </c>
      <c r="H39" s="13">
        <v>91.849000000000004</v>
      </c>
      <c r="I39" s="13">
        <v>81.704700000000003</v>
      </c>
      <c r="J39" s="13">
        <v>96.649500000000003</v>
      </c>
      <c r="K39" s="13">
        <v>71.465299999999999</v>
      </c>
      <c r="L39" s="13">
        <v>69.731999999999999</v>
      </c>
    </row>
    <row r="40" spans="1:12" x14ac:dyDescent="0.35">
      <c r="A40" s="9" t="s">
        <v>172</v>
      </c>
      <c r="B40" s="9" t="s">
        <v>146</v>
      </c>
      <c r="C40" s="13">
        <v>94.42</v>
      </c>
      <c r="D40" s="13">
        <v>92.4101</v>
      </c>
      <c r="E40" s="13">
        <v>88.472800000000007</v>
      </c>
      <c r="F40" s="13">
        <v>117.82</v>
      </c>
      <c r="G40" s="13">
        <v>83.446600000000004</v>
      </c>
      <c r="H40" s="13">
        <v>72.700599999999994</v>
      </c>
      <c r="I40" s="13">
        <v>108.6092</v>
      </c>
      <c r="J40" s="13">
        <v>91.390699999999995</v>
      </c>
      <c r="K40" s="13">
        <v>68.085899999999995</v>
      </c>
      <c r="L40" s="13">
        <v>106.4742</v>
      </c>
    </row>
    <row r="41" spans="1:12" x14ac:dyDescent="0.35">
      <c r="A41" s="9" t="s">
        <v>172</v>
      </c>
      <c r="B41" s="9" t="s">
        <v>153</v>
      </c>
      <c r="C41" s="13">
        <v>99.051599999999993</v>
      </c>
      <c r="D41" s="13">
        <v>94.639399999999995</v>
      </c>
      <c r="E41" s="13">
        <v>109.12820000000001</v>
      </c>
      <c r="F41" s="13">
        <v>92.163399999999996</v>
      </c>
      <c r="G41" s="13">
        <v>101.19759999999999</v>
      </c>
      <c r="H41" s="13">
        <v>99.597499999999997</v>
      </c>
      <c r="I41" s="13">
        <v>100.5397</v>
      </c>
      <c r="J41" s="13">
        <v>104.4151</v>
      </c>
      <c r="K41" s="13">
        <v>93.703999999999994</v>
      </c>
      <c r="L41" s="13">
        <v>111.4238</v>
      </c>
    </row>
    <row r="42" spans="1:12" x14ac:dyDescent="0.35">
      <c r="A42" s="9" t="s">
        <v>172</v>
      </c>
      <c r="B42" s="9" t="s">
        <v>175</v>
      </c>
      <c r="C42" s="13">
        <v>102.3293</v>
      </c>
      <c r="D42" s="13">
        <v>96.119399999999999</v>
      </c>
      <c r="E42" s="13">
        <v>101.4295</v>
      </c>
      <c r="F42" s="13">
        <v>96.339500000000001</v>
      </c>
      <c r="G42" s="13">
        <v>93.003600000000006</v>
      </c>
      <c r="H42" s="13">
        <v>99.388400000000004</v>
      </c>
      <c r="I42" s="13">
        <v>105.58459999999999</v>
      </c>
      <c r="J42" s="13">
        <v>95.053600000000003</v>
      </c>
      <c r="K42" s="13">
        <v>87.437200000000004</v>
      </c>
      <c r="L42" s="13">
        <v>110.4828</v>
      </c>
    </row>
    <row r="43" spans="1:12" x14ac:dyDescent="0.35">
      <c r="A43" s="9" t="s">
        <v>172</v>
      </c>
      <c r="B43" s="9" t="s">
        <v>176</v>
      </c>
      <c r="C43" s="13">
        <v>90.669600000000003</v>
      </c>
      <c r="D43" s="13">
        <v>93.976900000000001</v>
      </c>
      <c r="E43" s="13">
        <v>79.322199999999995</v>
      </c>
      <c r="F43" s="13">
        <v>128.07390000000001</v>
      </c>
      <c r="G43" s="13">
        <v>83.071200000000005</v>
      </c>
      <c r="H43" s="13">
        <v>100.09950000000001</v>
      </c>
      <c r="I43" s="13">
        <v>83.083799999999997</v>
      </c>
      <c r="J43" s="13">
        <v>97.363399999999999</v>
      </c>
      <c r="K43" s="13">
        <v>99.544200000000004</v>
      </c>
      <c r="L43" s="13">
        <v>92.626499999999993</v>
      </c>
    </row>
    <row r="44" spans="1:12" x14ac:dyDescent="0.35">
      <c r="A44" s="9" t="s">
        <v>172</v>
      </c>
      <c r="B44" s="9" t="s">
        <v>177</v>
      </c>
      <c r="C44" s="13">
        <v>109.83669999999999</v>
      </c>
      <c r="D44" s="13">
        <v>111.7266</v>
      </c>
      <c r="E44" s="13">
        <v>114.2436</v>
      </c>
      <c r="F44" s="13">
        <v>118.0343</v>
      </c>
      <c r="G44" s="13">
        <v>121.1574</v>
      </c>
      <c r="H44" s="13">
        <v>100.13330000000001</v>
      </c>
      <c r="I44" s="13">
        <v>105.6865</v>
      </c>
      <c r="J44" s="13">
        <v>111.5149</v>
      </c>
      <c r="K44" s="13">
        <v>115.10809999999999</v>
      </c>
      <c r="L44" s="13">
        <v>107.80459999999999</v>
      </c>
    </row>
    <row r="45" spans="1:12" x14ac:dyDescent="0.35">
      <c r="A45" s="9" t="s">
        <v>172</v>
      </c>
      <c r="B45" s="9" t="s">
        <v>155</v>
      </c>
      <c r="C45" s="13">
        <v>91.4679</v>
      </c>
      <c r="D45" s="13">
        <v>91.587400000000002</v>
      </c>
      <c r="E45" s="13">
        <v>59.462200000000003</v>
      </c>
      <c r="F45" s="13">
        <v>90.994</v>
      </c>
      <c r="G45" s="13">
        <v>91.026499999999999</v>
      </c>
      <c r="H45" s="13">
        <v>115.5534</v>
      </c>
      <c r="I45" s="13">
        <v>95.025700000000001</v>
      </c>
      <c r="J45" s="13">
        <v>92.174899999999994</v>
      </c>
      <c r="K45" s="13">
        <v>80.098699999999994</v>
      </c>
      <c r="L45" s="13">
        <v>96.280900000000003</v>
      </c>
    </row>
    <row r="46" spans="1:12" x14ac:dyDescent="0.35">
      <c r="A46" s="9" t="s">
        <v>172</v>
      </c>
      <c r="B46" s="9" t="s">
        <v>178</v>
      </c>
      <c r="C46" s="13">
        <v>110.9496</v>
      </c>
      <c r="D46" s="13">
        <v>102.56489999999999</v>
      </c>
      <c r="E46" s="13">
        <v>121.2002</v>
      </c>
      <c r="F46" s="13">
        <v>108.74290000000001</v>
      </c>
      <c r="G46" s="13">
        <v>108.40089999999999</v>
      </c>
      <c r="H46" s="13">
        <v>93.241699999999994</v>
      </c>
      <c r="I46" s="13">
        <v>115.97839999999999</v>
      </c>
      <c r="J46" s="13">
        <v>102.93680000000001</v>
      </c>
      <c r="K46" s="13">
        <v>125.69499999999999</v>
      </c>
      <c r="L46" s="13">
        <v>112.7403</v>
      </c>
    </row>
    <row r="47" spans="1:12" x14ac:dyDescent="0.35">
      <c r="A47" s="9" t="s">
        <v>172</v>
      </c>
      <c r="B47" s="9" t="s">
        <v>179</v>
      </c>
      <c r="C47" s="13">
        <v>92.4148</v>
      </c>
      <c r="D47" s="13">
        <v>96.881399999999999</v>
      </c>
      <c r="E47" s="13">
        <v>84.648899999999998</v>
      </c>
      <c r="F47" s="13">
        <v>87.688699999999997</v>
      </c>
      <c r="G47" s="13">
        <v>94.726799999999997</v>
      </c>
      <c r="H47" s="13">
        <v>85.030799999999999</v>
      </c>
      <c r="I47" s="13">
        <v>92.407200000000003</v>
      </c>
      <c r="J47" s="13">
        <v>92.107799999999997</v>
      </c>
      <c r="K47" s="13">
        <v>85.440299999999993</v>
      </c>
      <c r="L47" s="13">
        <v>96.013400000000004</v>
      </c>
    </row>
    <row r="48" spans="1:12" x14ac:dyDescent="0.35">
      <c r="A48" s="9" t="s">
        <v>172</v>
      </c>
      <c r="B48" s="9" t="s">
        <v>180</v>
      </c>
      <c r="C48" s="13">
        <v>78.422799999999995</v>
      </c>
      <c r="D48" s="13">
        <v>80.5946</v>
      </c>
      <c r="E48" s="13">
        <v>0</v>
      </c>
      <c r="F48" s="13">
        <v>76.561899999999994</v>
      </c>
      <c r="G48" s="13">
        <v>70.964500000000001</v>
      </c>
      <c r="H48" s="13">
        <v>177.9126</v>
      </c>
      <c r="I48" s="13">
        <v>70.9786</v>
      </c>
      <c r="J48" s="13">
        <v>101.241</v>
      </c>
      <c r="K48" s="13">
        <v>108.3523</v>
      </c>
      <c r="L48" s="13">
        <v>63.197000000000003</v>
      </c>
    </row>
    <row r="49" spans="1:12" x14ac:dyDescent="0.35">
      <c r="A49" s="9" t="s">
        <v>172</v>
      </c>
      <c r="B49" s="9" t="s">
        <v>181</v>
      </c>
      <c r="C49" s="13">
        <v>78.246499999999997</v>
      </c>
      <c r="D49" s="13">
        <v>67.076300000000003</v>
      </c>
      <c r="E49" s="13">
        <v>60.925899999999999</v>
      </c>
      <c r="F49" s="13">
        <v>21.0014</v>
      </c>
      <c r="G49" s="13">
        <v>53.709499999999998</v>
      </c>
      <c r="H49" s="13">
        <v>169.13499999999999</v>
      </c>
      <c r="I49" s="13">
        <v>96.494100000000003</v>
      </c>
      <c r="J49" s="13">
        <v>82.692099999999996</v>
      </c>
      <c r="K49" s="13">
        <v>105.17400000000001</v>
      </c>
      <c r="L49" s="13">
        <v>87.351299999999995</v>
      </c>
    </row>
    <row r="50" spans="1:12" x14ac:dyDescent="0.35">
      <c r="A50" s="9" t="s">
        <v>172</v>
      </c>
      <c r="B50" s="9" t="s">
        <v>182</v>
      </c>
      <c r="C50" s="13">
        <v>96.708699999999993</v>
      </c>
      <c r="D50" s="13">
        <v>98.075400000000002</v>
      </c>
      <c r="E50" s="13">
        <v>114.10939999999999</v>
      </c>
      <c r="F50" s="13">
        <v>71.524900000000002</v>
      </c>
      <c r="G50" s="13">
        <v>92.812600000000003</v>
      </c>
      <c r="H50" s="13">
        <v>113.4623</v>
      </c>
      <c r="I50" s="13">
        <v>93.621399999999994</v>
      </c>
      <c r="J50" s="13">
        <v>94.177999999999997</v>
      </c>
      <c r="K50" s="13">
        <v>86.915800000000004</v>
      </c>
      <c r="L50" s="13">
        <v>93.086699999999993</v>
      </c>
    </row>
    <row r="51" spans="1:12" x14ac:dyDescent="0.35">
      <c r="A51" s="9" t="s">
        <v>172</v>
      </c>
      <c r="B51" s="9" t="s">
        <v>183</v>
      </c>
      <c r="C51" s="13">
        <v>99.017200000000003</v>
      </c>
      <c r="D51" s="13">
        <v>108.46510000000001</v>
      </c>
      <c r="E51" s="13">
        <v>91.232100000000003</v>
      </c>
      <c r="F51" s="13">
        <v>155.03299999999999</v>
      </c>
      <c r="G51" s="13">
        <v>79.372399999999999</v>
      </c>
      <c r="H51" s="13">
        <v>177.15209999999999</v>
      </c>
      <c r="I51" s="13">
        <v>112.6618</v>
      </c>
      <c r="J51" s="13">
        <v>102.962</v>
      </c>
      <c r="K51" s="13">
        <v>76.766900000000007</v>
      </c>
      <c r="L51" s="13">
        <v>62.174999999999997</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9"/>
  <sheetViews>
    <sheetView workbookViewId="0"/>
  </sheetViews>
  <sheetFormatPr defaultColWidth="11.61328125" defaultRowHeight="15.5" x14ac:dyDescent="0.35"/>
  <cols>
    <col min="1" max="1" width="14.61328125" bestFit="1" customWidth="1"/>
    <col min="2" max="2" width="15.61328125" bestFit="1" customWidth="1"/>
    <col min="3" max="14" width="10.61328125" bestFit="1" customWidth="1"/>
  </cols>
  <sheetData>
    <row r="1" spans="1:14" ht="20" x14ac:dyDescent="0.4">
      <c r="A1" s="5" t="s">
        <v>302</v>
      </c>
    </row>
    <row r="2" spans="1:14" x14ac:dyDescent="0.35">
      <c r="A2" t="s">
        <v>22</v>
      </c>
    </row>
    <row r="3" spans="1:14" x14ac:dyDescent="0.35">
      <c r="A3" t="s">
        <v>67</v>
      </c>
    </row>
    <row r="4" spans="1:14" x14ac:dyDescent="0.35">
      <c r="A4" t="s">
        <v>208</v>
      </c>
    </row>
    <row r="5" spans="1:14" x14ac:dyDescent="0.35">
      <c r="A5" s="16" t="str">
        <f>HYPERLINK("#'Contents'!A1", "back to contents")</f>
        <v>back to contents</v>
      </c>
    </row>
    <row r="6" spans="1:14" ht="62" x14ac:dyDescent="0.35">
      <c r="A6" s="8" t="s">
        <v>209</v>
      </c>
      <c r="B6" s="8" t="s">
        <v>137</v>
      </c>
      <c r="C6" s="8" t="s">
        <v>210</v>
      </c>
      <c r="D6" s="10" t="s">
        <v>70</v>
      </c>
      <c r="E6" s="8" t="s">
        <v>211</v>
      </c>
      <c r="F6" s="10" t="s">
        <v>282</v>
      </c>
      <c r="G6" s="8" t="s">
        <v>212</v>
      </c>
      <c r="H6" s="10" t="s">
        <v>309</v>
      </c>
      <c r="I6" s="8" t="s">
        <v>213</v>
      </c>
      <c r="J6" s="10" t="s">
        <v>286</v>
      </c>
      <c r="K6" s="8" t="s">
        <v>214</v>
      </c>
      <c r="L6" s="10" t="s">
        <v>287</v>
      </c>
      <c r="M6" s="8" t="s">
        <v>215</v>
      </c>
      <c r="N6" s="12" t="s">
        <v>310</v>
      </c>
    </row>
    <row r="7" spans="1:14" x14ac:dyDescent="0.35">
      <c r="A7" s="9" t="s">
        <v>216</v>
      </c>
      <c r="B7" s="9" t="s">
        <v>138</v>
      </c>
      <c r="C7" s="9">
        <v>2024</v>
      </c>
      <c r="D7" s="13"/>
      <c r="E7" s="9">
        <v>2024</v>
      </c>
      <c r="F7" s="18"/>
      <c r="G7" s="9">
        <v>2024</v>
      </c>
      <c r="H7" s="18"/>
      <c r="I7" s="9">
        <v>2024</v>
      </c>
      <c r="J7" s="18"/>
      <c r="K7" s="9">
        <v>2024</v>
      </c>
      <c r="L7" s="18"/>
      <c r="M7" s="9">
        <v>2024</v>
      </c>
      <c r="N7" s="18"/>
    </row>
    <row r="8" spans="1:14" ht="30.15" customHeight="1" x14ac:dyDescent="0.35">
      <c r="A8" s="9" t="s">
        <v>216</v>
      </c>
      <c r="B8" s="9" t="s">
        <v>216</v>
      </c>
      <c r="C8" s="9">
        <v>2023</v>
      </c>
      <c r="D8" s="13">
        <v>68265.2</v>
      </c>
      <c r="E8" s="9">
        <v>2023</v>
      </c>
      <c r="F8" s="18">
        <v>9.6</v>
      </c>
      <c r="G8" s="9">
        <v>2023</v>
      </c>
      <c r="H8" s="18">
        <v>3.9</v>
      </c>
      <c r="I8" s="9">
        <v>2023</v>
      </c>
      <c r="J8" s="18">
        <v>4.2</v>
      </c>
      <c r="K8" s="9">
        <v>2023</v>
      </c>
      <c r="L8" s="18">
        <v>9.6999999999999993</v>
      </c>
      <c r="M8" s="9">
        <v>2022</v>
      </c>
      <c r="N8" s="18">
        <v>4.2</v>
      </c>
    </row>
    <row r="9" spans="1:14" ht="30.15" customHeight="1" x14ac:dyDescent="0.35">
      <c r="A9" s="9" t="s">
        <v>217</v>
      </c>
      <c r="B9" s="9" t="s">
        <v>218</v>
      </c>
      <c r="C9" s="9">
        <v>2023</v>
      </c>
      <c r="D9" s="13">
        <v>9104.7720000000008</v>
      </c>
      <c r="E9" s="9">
        <v>2023</v>
      </c>
      <c r="F9" s="18">
        <v>8.5</v>
      </c>
      <c r="G9" s="9">
        <v>2023</v>
      </c>
      <c r="H9" s="18">
        <v>3.3</v>
      </c>
      <c r="I9" s="9">
        <v>2023</v>
      </c>
      <c r="J9" s="18">
        <v>2.8</v>
      </c>
      <c r="K9" s="9">
        <v>2023</v>
      </c>
      <c r="L9" s="18">
        <v>9.8000000000000007</v>
      </c>
      <c r="M9" s="9">
        <v>2023</v>
      </c>
      <c r="N9" s="18">
        <v>5</v>
      </c>
    </row>
    <row r="10" spans="1:14" x14ac:dyDescent="0.35">
      <c r="A10" s="9" t="s">
        <v>217</v>
      </c>
      <c r="B10" s="9" t="s">
        <v>219</v>
      </c>
      <c r="C10" s="9">
        <v>2023</v>
      </c>
      <c r="D10" s="13">
        <v>11742.796</v>
      </c>
      <c r="E10" s="9">
        <v>2023</v>
      </c>
      <c r="F10" s="18">
        <v>9.4</v>
      </c>
      <c r="G10" s="9">
        <v>2022</v>
      </c>
      <c r="H10" s="18">
        <v>6.1</v>
      </c>
      <c r="I10" s="9">
        <v>2023</v>
      </c>
      <c r="J10" s="18">
        <v>3.1</v>
      </c>
      <c r="K10" s="9">
        <v>2023</v>
      </c>
      <c r="L10" s="18">
        <v>9.4</v>
      </c>
      <c r="M10" s="9">
        <v>2023</v>
      </c>
      <c r="N10" s="18">
        <v>4</v>
      </c>
    </row>
    <row r="11" spans="1:14" x14ac:dyDescent="0.35">
      <c r="A11" s="9" t="s">
        <v>217</v>
      </c>
      <c r="B11" s="9" t="s">
        <v>220</v>
      </c>
      <c r="C11" s="9">
        <v>2023</v>
      </c>
      <c r="D11" s="13">
        <v>6447.71</v>
      </c>
      <c r="E11" s="9">
        <v>2023</v>
      </c>
      <c r="F11" s="18">
        <v>8.9</v>
      </c>
      <c r="G11" s="9">
        <v>2022</v>
      </c>
      <c r="H11" s="18">
        <v>5.7</v>
      </c>
      <c r="I11" s="9">
        <v>2023</v>
      </c>
      <c r="J11" s="18">
        <v>4.9000000000000004</v>
      </c>
      <c r="K11" s="9">
        <v>2023</v>
      </c>
      <c r="L11" s="18">
        <v>15.7</v>
      </c>
      <c r="M11" s="9">
        <v>2023</v>
      </c>
      <c r="N11" s="18">
        <v>3.4</v>
      </c>
    </row>
    <row r="12" spans="1:14" x14ac:dyDescent="0.35">
      <c r="A12" s="9" t="s">
        <v>217</v>
      </c>
      <c r="B12" s="9" t="s">
        <v>221</v>
      </c>
      <c r="C12" s="9">
        <v>2023</v>
      </c>
      <c r="D12" s="13">
        <v>3850.8939999999998</v>
      </c>
      <c r="E12" s="9">
        <v>2023</v>
      </c>
      <c r="F12" s="18">
        <v>8.3000000000000007</v>
      </c>
      <c r="G12" s="9">
        <v>2022</v>
      </c>
      <c r="H12" s="18">
        <v>4.4000000000000004</v>
      </c>
      <c r="I12" s="9">
        <v>2023</v>
      </c>
      <c r="J12" s="18">
        <v>3.9</v>
      </c>
      <c r="K12" s="9">
        <v>2023</v>
      </c>
      <c r="L12" s="18">
        <v>13.3</v>
      </c>
      <c r="M12" s="9">
        <v>2023</v>
      </c>
      <c r="N12" s="18">
        <v>4.5</v>
      </c>
    </row>
    <row r="13" spans="1:14" x14ac:dyDescent="0.35">
      <c r="A13" s="9" t="s">
        <v>217</v>
      </c>
      <c r="B13" s="9" t="s">
        <v>222</v>
      </c>
      <c r="C13" s="9">
        <v>2023</v>
      </c>
      <c r="D13" s="13">
        <v>920.70100000000002</v>
      </c>
      <c r="E13" s="9">
        <v>2023</v>
      </c>
      <c r="F13" s="18">
        <v>10.7</v>
      </c>
      <c r="G13" s="9">
        <v>2022</v>
      </c>
      <c r="H13" s="18">
        <v>5.8</v>
      </c>
      <c r="I13" s="9">
        <v>2023</v>
      </c>
      <c r="J13" s="18">
        <v>4.5</v>
      </c>
      <c r="K13" s="9">
        <v>2023</v>
      </c>
      <c r="L13" s="18">
        <v>7</v>
      </c>
      <c r="M13" s="9">
        <v>2019</v>
      </c>
      <c r="N13" s="18">
        <v>8.9</v>
      </c>
    </row>
    <row r="14" spans="1:14" x14ac:dyDescent="0.35">
      <c r="A14" s="9" t="s">
        <v>217</v>
      </c>
      <c r="B14" s="9" t="s">
        <v>223</v>
      </c>
      <c r="C14" s="9">
        <v>2023</v>
      </c>
      <c r="D14" s="13">
        <v>10827.529</v>
      </c>
      <c r="E14" s="9">
        <v>2023</v>
      </c>
      <c r="F14" s="18">
        <v>8.4</v>
      </c>
      <c r="G14" s="9">
        <v>2023</v>
      </c>
      <c r="H14" s="18">
        <v>3.4</v>
      </c>
      <c r="I14" s="9">
        <v>2023</v>
      </c>
      <c r="J14" s="18">
        <v>2.2000000000000002</v>
      </c>
      <c r="K14" s="9">
        <v>2023</v>
      </c>
      <c r="L14" s="18">
        <v>10.4</v>
      </c>
      <c r="M14" s="9">
        <v>2023</v>
      </c>
      <c r="N14" s="18">
        <v>4.4000000000000004</v>
      </c>
    </row>
    <row r="15" spans="1:14" x14ac:dyDescent="0.35">
      <c r="A15" s="9" t="s">
        <v>217</v>
      </c>
      <c r="B15" s="9" t="s">
        <v>224</v>
      </c>
      <c r="C15" s="9">
        <v>2023</v>
      </c>
      <c r="D15" s="13">
        <v>5932.6540000000005</v>
      </c>
      <c r="E15" s="9">
        <v>2023</v>
      </c>
      <c r="F15" s="18">
        <v>9.6999999999999993</v>
      </c>
      <c r="G15" s="9">
        <v>2022</v>
      </c>
      <c r="H15" s="18">
        <v>2.8</v>
      </c>
      <c r="I15" s="9">
        <v>2023</v>
      </c>
      <c r="J15" s="18">
        <v>3.5</v>
      </c>
      <c r="K15" s="9">
        <v>2023</v>
      </c>
      <c r="L15" s="18">
        <v>9.8000000000000007</v>
      </c>
      <c r="M15" s="9">
        <v>2021</v>
      </c>
      <c r="N15" s="18">
        <v>4.7</v>
      </c>
    </row>
    <row r="16" spans="1:14" x14ac:dyDescent="0.35">
      <c r="A16" s="9" t="s">
        <v>217</v>
      </c>
      <c r="B16" s="9" t="s">
        <v>225</v>
      </c>
      <c r="C16" s="9">
        <v>2023</v>
      </c>
      <c r="D16" s="13">
        <v>1365.884</v>
      </c>
      <c r="E16" s="9">
        <v>2023</v>
      </c>
      <c r="F16" s="18">
        <v>8</v>
      </c>
      <c r="G16" s="9">
        <v>2022</v>
      </c>
      <c r="H16" s="18">
        <v>2.1</v>
      </c>
      <c r="I16" s="9">
        <v>2023</v>
      </c>
      <c r="J16" s="18">
        <v>1.7</v>
      </c>
      <c r="K16" s="9">
        <v>2023</v>
      </c>
      <c r="L16" s="18">
        <v>11.7</v>
      </c>
      <c r="M16" s="9">
        <v>2023</v>
      </c>
      <c r="N16" s="18">
        <v>4.7</v>
      </c>
    </row>
    <row r="17" spans="1:14" x14ac:dyDescent="0.35">
      <c r="A17" s="9" t="s">
        <v>217</v>
      </c>
      <c r="B17" s="9" t="s">
        <v>226</v>
      </c>
      <c r="C17" s="9">
        <v>2023</v>
      </c>
      <c r="D17" s="13">
        <v>5563.97</v>
      </c>
      <c r="E17" s="9">
        <v>2023</v>
      </c>
      <c r="F17" s="18">
        <v>7.8</v>
      </c>
      <c r="G17" s="9">
        <v>2023</v>
      </c>
      <c r="H17" s="18">
        <v>2.8</v>
      </c>
      <c r="I17" s="9">
        <v>2023</v>
      </c>
      <c r="J17" s="18">
        <v>1.8</v>
      </c>
      <c r="K17" s="9">
        <v>2023</v>
      </c>
      <c r="L17" s="18">
        <v>11</v>
      </c>
      <c r="M17" s="9">
        <v>2023</v>
      </c>
      <c r="N17" s="18">
        <v>3.7</v>
      </c>
    </row>
    <row r="18" spans="1:14" x14ac:dyDescent="0.35">
      <c r="A18" s="9" t="s">
        <v>217</v>
      </c>
      <c r="B18" s="9" t="s">
        <v>227</v>
      </c>
      <c r="C18" s="9">
        <v>2023</v>
      </c>
      <c r="D18" s="13">
        <v>68172.976999999999</v>
      </c>
      <c r="E18" s="9">
        <v>2023</v>
      </c>
      <c r="F18" s="18">
        <v>9.9</v>
      </c>
      <c r="G18" s="9">
        <v>2022</v>
      </c>
      <c r="H18" s="18">
        <v>8.6999999999999993</v>
      </c>
      <c r="I18" s="9">
        <v>2023</v>
      </c>
      <c r="J18" s="18">
        <v>4</v>
      </c>
      <c r="K18" s="9">
        <v>2023</v>
      </c>
      <c r="L18" s="18">
        <v>9.4</v>
      </c>
      <c r="M18" s="9">
        <v>2022</v>
      </c>
      <c r="N18" s="18">
        <v>3.6</v>
      </c>
    </row>
    <row r="19" spans="1:14" x14ac:dyDescent="0.35">
      <c r="A19" s="9" t="s">
        <v>217</v>
      </c>
      <c r="B19" s="9" t="s">
        <v>228</v>
      </c>
      <c r="C19" s="9">
        <v>2023</v>
      </c>
      <c r="D19" s="13">
        <v>84358.845000000001</v>
      </c>
      <c r="E19" s="9">
        <v>2023</v>
      </c>
      <c r="F19" s="18">
        <v>8.3000000000000007</v>
      </c>
      <c r="G19" s="9">
        <v>2022</v>
      </c>
      <c r="H19" s="18">
        <v>4.4000000000000004</v>
      </c>
      <c r="I19" s="9">
        <v>2023</v>
      </c>
      <c r="J19" s="18">
        <v>3.2</v>
      </c>
      <c r="K19" s="9">
        <v>2023</v>
      </c>
      <c r="L19" s="18">
        <v>12.3</v>
      </c>
      <c r="M19" s="9">
        <v>2023</v>
      </c>
      <c r="N19" s="18">
        <v>4.3</v>
      </c>
    </row>
    <row r="20" spans="1:14" x14ac:dyDescent="0.35">
      <c r="A20" s="9" t="s">
        <v>217</v>
      </c>
      <c r="B20" s="9" t="s">
        <v>229</v>
      </c>
      <c r="C20" s="9">
        <v>2023</v>
      </c>
      <c r="D20" s="13">
        <v>10413.982</v>
      </c>
      <c r="E20" s="9">
        <v>2023</v>
      </c>
      <c r="F20" s="18">
        <v>6.8</v>
      </c>
      <c r="G20" s="9">
        <v>2022</v>
      </c>
      <c r="H20" s="18">
        <v>5.8</v>
      </c>
      <c r="I20" s="9">
        <v>2023</v>
      </c>
      <c r="J20" s="18">
        <v>3.4</v>
      </c>
      <c r="K20" s="9">
        <v>2023</v>
      </c>
      <c r="L20" s="18">
        <v>12.2</v>
      </c>
      <c r="M20" s="9">
        <v>2023</v>
      </c>
      <c r="N20" s="18">
        <v>3.9</v>
      </c>
    </row>
    <row r="21" spans="1:14" x14ac:dyDescent="0.35">
      <c r="A21" s="9" t="s">
        <v>217</v>
      </c>
      <c r="B21" s="9" t="s">
        <v>230</v>
      </c>
      <c r="C21" s="9">
        <v>2023</v>
      </c>
      <c r="D21" s="13">
        <v>9599.7440000000006</v>
      </c>
      <c r="E21" s="9">
        <v>2023</v>
      </c>
      <c r="F21" s="18">
        <v>9.1</v>
      </c>
      <c r="G21" s="9">
        <v>2022</v>
      </c>
      <c r="H21" s="18">
        <v>5.0999999999999996</v>
      </c>
      <c r="I21" s="9">
        <v>2023</v>
      </c>
      <c r="J21" s="18">
        <v>3</v>
      </c>
      <c r="K21" s="9">
        <v>2023</v>
      </c>
      <c r="L21" s="18">
        <v>13.4</v>
      </c>
      <c r="M21" s="9">
        <v>2023</v>
      </c>
      <c r="N21" s="18">
        <v>5.2</v>
      </c>
    </row>
    <row r="22" spans="1:14" x14ac:dyDescent="0.35">
      <c r="A22" s="9" t="s">
        <v>217</v>
      </c>
      <c r="B22" s="9" t="s">
        <v>231</v>
      </c>
      <c r="C22" s="9">
        <v>2023</v>
      </c>
      <c r="D22" s="13">
        <v>5271.3950000000004</v>
      </c>
      <c r="E22" s="9">
        <v>2023</v>
      </c>
      <c r="F22" s="18">
        <v>10.3</v>
      </c>
      <c r="G22" s="9">
        <v>2022</v>
      </c>
      <c r="H22" s="18">
        <v>1.9</v>
      </c>
      <c r="I22" s="9">
        <v>2023</v>
      </c>
      <c r="J22" s="18">
        <v>3.2</v>
      </c>
      <c r="K22" s="9">
        <v>2023</v>
      </c>
      <c r="L22" s="18">
        <v>6.6</v>
      </c>
      <c r="M22" s="9">
        <v>2021</v>
      </c>
      <c r="N22" s="18">
        <v>3.3</v>
      </c>
    </row>
    <row r="23" spans="1:14" x14ac:dyDescent="0.35">
      <c r="A23" s="9" t="s">
        <v>217</v>
      </c>
      <c r="B23" s="9" t="s">
        <v>232</v>
      </c>
      <c r="C23" s="9">
        <v>2023</v>
      </c>
      <c r="D23" s="13">
        <v>58997.201000000001</v>
      </c>
      <c r="E23" s="9">
        <v>2023</v>
      </c>
      <c r="F23" s="18">
        <v>6.4</v>
      </c>
      <c r="G23" s="9">
        <v>2022</v>
      </c>
      <c r="H23" s="18">
        <v>2.4</v>
      </c>
      <c r="I23" s="9">
        <v>2023</v>
      </c>
      <c r="J23" s="18">
        <v>2.5</v>
      </c>
      <c r="K23" s="9">
        <v>2023</v>
      </c>
      <c r="L23" s="18">
        <v>11.4</v>
      </c>
      <c r="M23" s="9">
        <v>2023</v>
      </c>
      <c r="N23" s="18">
        <v>3.1</v>
      </c>
    </row>
    <row r="24" spans="1:14" x14ac:dyDescent="0.35">
      <c r="A24" s="9" t="s">
        <v>217</v>
      </c>
      <c r="B24" s="9" t="s">
        <v>233</v>
      </c>
      <c r="C24" s="9">
        <v>2023</v>
      </c>
      <c r="D24" s="13">
        <v>1883.008</v>
      </c>
      <c r="E24" s="9">
        <v>2023</v>
      </c>
      <c r="F24" s="18">
        <v>7.7</v>
      </c>
      <c r="G24" s="9">
        <v>2022</v>
      </c>
      <c r="H24" s="18">
        <v>4.9000000000000004</v>
      </c>
      <c r="I24" s="9">
        <v>2023</v>
      </c>
      <c r="J24" s="18">
        <v>2.6</v>
      </c>
      <c r="K24" s="9">
        <v>2023</v>
      </c>
      <c r="L24" s="18">
        <v>14.9</v>
      </c>
      <c r="M24" s="9">
        <v>2023</v>
      </c>
      <c r="N24" s="18">
        <v>5.6</v>
      </c>
    </row>
    <row r="25" spans="1:14" x14ac:dyDescent="0.35">
      <c r="A25" s="9" t="s">
        <v>217</v>
      </c>
      <c r="B25" s="9" t="s">
        <v>234</v>
      </c>
      <c r="C25" s="9">
        <v>2023</v>
      </c>
      <c r="D25" s="13">
        <v>2857.279</v>
      </c>
      <c r="E25" s="9">
        <v>2023</v>
      </c>
      <c r="F25" s="18">
        <v>7.2</v>
      </c>
      <c r="G25" s="9">
        <v>2022</v>
      </c>
      <c r="H25" s="18">
        <v>3.9</v>
      </c>
      <c r="I25" s="9">
        <v>2023</v>
      </c>
      <c r="J25" s="18">
        <v>2.8</v>
      </c>
      <c r="K25" s="9">
        <v>2023</v>
      </c>
      <c r="L25" s="18">
        <v>12.9</v>
      </c>
      <c r="M25" s="9">
        <v>2023</v>
      </c>
      <c r="N25" s="18">
        <v>4.9000000000000004</v>
      </c>
    </row>
    <row r="26" spans="1:14" x14ac:dyDescent="0.35">
      <c r="A26" s="9" t="s">
        <v>217</v>
      </c>
      <c r="B26" s="9" t="s">
        <v>235</v>
      </c>
      <c r="C26" s="9">
        <v>2023</v>
      </c>
      <c r="D26" s="13">
        <v>660.80899999999997</v>
      </c>
      <c r="E26" s="9">
        <v>2023</v>
      </c>
      <c r="F26" s="18">
        <v>9.5</v>
      </c>
      <c r="G26" s="9">
        <v>2023</v>
      </c>
      <c r="H26" s="18">
        <v>7.5</v>
      </c>
      <c r="I26" s="9">
        <v>2023</v>
      </c>
      <c r="J26" s="18">
        <v>4.3</v>
      </c>
      <c r="K26" s="9">
        <v>2023</v>
      </c>
      <c r="L26" s="18">
        <v>6.6</v>
      </c>
      <c r="M26" s="9">
        <v>2023</v>
      </c>
      <c r="N26" s="18">
        <v>3.8</v>
      </c>
    </row>
    <row r="27" spans="1:14" x14ac:dyDescent="0.35">
      <c r="A27" s="9" t="s">
        <v>217</v>
      </c>
      <c r="B27" s="9" t="s">
        <v>236</v>
      </c>
      <c r="C27" s="9">
        <v>2023</v>
      </c>
      <c r="D27" s="13">
        <v>542.05100000000004</v>
      </c>
      <c r="E27" s="9">
        <v>2023</v>
      </c>
      <c r="F27" s="18">
        <v>8.1</v>
      </c>
      <c r="G27" s="9">
        <v>2022</v>
      </c>
      <c r="H27" s="18">
        <v>4.8</v>
      </c>
      <c r="I27" s="9">
        <v>2023</v>
      </c>
      <c r="J27" s="18">
        <v>3.6</v>
      </c>
      <c r="K27" s="9">
        <v>2023</v>
      </c>
      <c r="L27" s="18">
        <v>7.3</v>
      </c>
      <c r="M27" s="9">
        <v>2023</v>
      </c>
      <c r="N27" s="18">
        <v>4.2</v>
      </c>
    </row>
    <row r="28" spans="1:14" x14ac:dyDescent="0.35">
      <c r="A28" s="9" t="s">
        <v>217</v>
      </c>
      <c r="B28" s="9" t="s">
        <v>237</v>
      </c>
      <c r="C28" s="9">
        <v>2023</v>
      </c>
      <c r="D28" s="13">
        <v>17811.291000000001</v>
      </c>
      <c r="E28" s="9">
        <v>2023</v>
      </c>
      <c r="F28" s="18">
        <v>9.1999999999999993</v>
      </c>
      <c r="G28" s="9">
        <v>2023</v>
      </c>
      <c r="H28" s="18">
        <v>2.4</v>
      </c>
      <c r="I28" s="9">
        <v>2023</v>
      </c>
      <c r="J28" s="18">
        <v>3.6</v>
      </c>
      <c r="K28" s="9">
        <v>2023</v>
      </c>
      <c r="L28" s="18">
        <v>9.5</v>
      </c>
      <c r="M28" s="9">
        <v>2023</v>
      </c>
      <c r="N28" s="18">
        <v>3.8</v>
      </c>
    </row>
    <row r="29" spans="1:14" x14ac:dyDescent="0.35">
      <c r="A29" s="9" t="s">
        <v>217</v>
      </c>
      <c r="B29" s="9" t="s">
        <v>238</v>
      </c>
      <c r="C29" s="9">
        <v>2023</v>
      </c>
      <c r="D29" s="13">
        <v>36753.735999999997</v>
      </c>
      <c r="E29" s="9">
        <v>2023</v>
      </c>
      <c r="F29" s="18">
        <v>7.4</v>
      </c>
      <c r="G29" s="9">
        <v>2022</v>
      </c>
      <c r="H29" s="18">
        <v>3.3</v>
      </c>
      <c r="I29" s="9">
        <v>2023</v>
      </c>
      <c r="J29" s="18">
        <v>3.9</v>
      </c>
      <c r="K29" s="9">
        <v>2023</v>
      </c>
      <c r="L29" s="18">
        <v>11.1</v>
      </c>
      <c r="M29" s="9">
        <v>2023</v>
      </c>
      <c r="N29" s="18">
        <v>4</v>
      </c>
    </row>
    <row r="30" spans="1:14" x14ac:dyDescent="0.35">
      <c r="A30" s="9" t="s">
        <v>217</v>
      </c>
      <c r="B30" s="9" t="s">
        <v>239</v>
      </c>
      <c r="C30" s="9">
        <v>2023</v>
      </c>
      <c r="D30" s="13">
        <v>10467.366</v>
      </c>
      <c r="E30" s="9">
        <v>2023</v>
      </c>
      <c r="F30" s="18">
        <v>8.1</v>
      </c>
      <c r="G30" s="9">
        <v>2022</v>
      </c>
      <c r="H30" s="18">
        <v>3.9</v>
      </c>
      <c r="I30" s="9">
        <v>2023</v>
      </c>
      <c r="J30" s="18">
        <v>2.5</v>
      </c>
      <c r="K30" s="9">
        <v>2023</v>
      </c>
      <c r="L30" s="18">
        <v>11.2</v>
      </c>
      <c r="M30" s="9">
        <v>2023</v>
      </c>
      <c r="N30" s="18">
        <v>3.5</v>
      </c>
    </row>
    <row r="31" spans="1:14" x14ac:dyDescent="0.35">
      <c r="A31" s="9" t="s">
        <v>217</v>
      </c>
      <c r="B31" s="9" t="s">
        <v>240</v>
      </c>
      <c r="C31" s="9">
        <v>2023</v>
      </c>
      <c r="D31" s="13">
        <v>19054.547999999999</v>
      </c>
      <c r="E31" s="9">
        <v>2023</v>
      </c>
      <c r="F31" s="18">
        <v>8.4</v>
      </c>
      <c r="G31" s="9">
        <v>2022</v>
      </c>
      <c r="H31" s="18">
        <v>3.4</v>
      </c>
      <c r="I31" s="9">
        <v>2023</v>
      </c>
      <c r="J31" s="18">
        <v>5.6</v>
      </c>
      <c r="K31" s="9">
        <v>2023</v>
      </c>
      <c r="L31" s="18">
        <v>12.8</v>
      </c>
      <c r="M31" s="9">
        <v>2023</v>
      </c>
      <c r="N31" s="18">
        <v>5.8</v>
      </c>
    </row>
    <row r="32" spans="1:14" x14ac:dyDescent="0.35">
      <c r="A32" s="9" t="s">
        <v>217</v>
      </c>
      <c r="B32" s="9" t="s">
        <v>241</v>
      </c>
      <c r="C32" s="9">
        <v>2023</v>
      </c>
      <c r="D32" s="13">
        <v>5428.7920000000004</v>
      </c>
      <c r="E32" s="9">
        <v>2023</v>
      </c>
      <c r="F32" s="18">
        <v>9</v>
      </c>
      <c r="G32" s="9">
        <v>2023</v>
      </c>
      <c r="H32" s="18">
        <v>3.1</v>
      </c>
      <c r="I32" s="9">
        <v>2023</v>
      </c>
      <c r="J32" s="18">
        <v>5.6</v>
      </c>
      <c r="K32" s="9">
        <v>2023</v>
      </c>
      <c r="L32" s="18">
        <v>10</v>
      </c>
      <c r="M32" s="9">
        <v>2023</v>
      </c>
      <c r="N32" s="18">
        <v>4.9000000000000004</v>
      </c>
    </row>
    <row r="33" spans="1:14" x14ac:dyDescent="0.35">
      <c r="A33" s="9" t="s">
        <v>217</v>
      </c>
      <c r="B33" s="9" t="s">
        <v>242</v>
      </c>
      <c r="C33" s="9">
        <v>2023</v>
      </c>
      <c r="D33" s="13">
        <v>2116.9720000000002</v>
      </c>
      <c r="E33" s="9">
        <v>2023</v>
      </c>
      <c r="F33" s="18">
        <v>8</v>
      </c>
      <c r="G33" s="9">
        <v>2023</v>
      </c>
      <c r="H33" s="18">
        <v>6</v>
      </c>
      <c r="I33" s="9">
        <v>2023</v>
      </c>
      <c r="J33" s="18">
        <v>1.8</v>
      </c>
      <c r="K33" s="9">
        <v>2023</v>
      </c>
      <c r="L33" s="18">
        <v>10.199999999999999</v>
      </c>
      <c r="M33" s="9">
        <v>2023</v>
      </c>
      <c r="N33" s="18">
        <v>3</v>
      </c>
    </row>
    <row r="34" spans="1:14" x14ac:dyDescent="0.35">
      <c r="A34" s="9" t="s">
        <v>217</v>
      </c>
      <c r="B34" s="9" t="s">
        <v>243</v>
      </c>
      <c r="C34" s="9">
        <v>2023</v>
      </c>
      <c r="D34" s="13">
        <v>48085.360999999997</v>
      </c>
      <c r="E34" s="9">
        <v>2023</v>
      </c>
      <c r="F34" s="18">
        <v>6.6</v>
      </c>
      <c r="G34" s="9">
        <v>2023</v>
      </c>
      <c r="H34" s="18">
        <v>2.7</v>
      </c>
      <c r="I34" s="9">
        <v>2023</v>
      </c>
      <c r="J34" s="18">
        <v>2.6</v>
      </c>
      <c r="K34" s="9">
        <v>2023</v>
      </c>
      <c r="L34" s="18">
        <v>9</v>
      </c>
      <c r="M34" s="9">
        <v>2023</v>
      </c>
      <c r="N34" s="18">
        <v>3.5</v>
      </c>
    </row>
    <row r="35" spans="1:14" x14ac:dyDescent="0.35">
      <c r="A35" s="9" t="s">
        <v>217</v>
      </c>
      <c r="B35" s="9" t="s">
        <v>244</v>
      </c>
      <c r="C35" s="9">
        <v>2023</v>
      </c>
      <c r="D35" s="13">
        <v>10521.556</v>
      </c>
      <c r="E35" s="9">
        <v>2023</v>
      </c>
      <c r="F35" s="18">
        <v>9.5</v>
      </c>
      <c r="G35" s="9">
        <v>2022</v>
      </c>
      <c r="H35" s="18">
        <v>3.3</v>
      </c>
      <c r="I35" s="9">
        <v>2023</v>
      </c>
      <c r="J35" s="18">
        <v>2.1</v>
      </c>
      <c r="K35" s="9">
        <v>2023</v>
      </c>
      <c r="L35" s="18">
        <v>9</v>
      </c>
      <c r="M35" s="9">
        <v>2023</v>
      </c>
      <c r="N35" s="18">
        <v>4.2</v>
      </c>
    </row>
    <row r="36" spans="1:14" ht="30.15" customHeight="1" x14ac:dyDescent="0.35">
      <c r="A36" s="9" t="s">
        <v>245</v>
      </c>
      <c r="B36" s="9" t="s">
        <v>246</v>
      </c>
      <c r="C36" s="9">
        <v>2023</v>
      </c>
      <c r="D36" s="13">
        <v>1829.954</v>
      </c>
      <c r="E36" s="9">
        <v>2023</v>
      </c>
      <c r="F36" s="18">
        <v>9.1999999999999993</v>
      </c>
      <c r="G36" s="9">
        <v>2021</v>
      </c>
      <c r="H36" s="18">
        <v>7.6</v>
      </c>
      <c r="I36" s="9">
        <v>2023</v>
      </c>
      <c r="J36" s="18">
        <v>1.9</v>
      </c>
      <c r="K36" s="9">
        <v>2023</v>
      </c>
      <c r="L36" s="18">
        <v>12.2</v>
      </c>
      <c r="M36" s="9">
        <v>2021</v>
      </c>
      <c r="N36" s="18">
        <v>6.8</v>
      </c>
    </row>
    <row r="37" spans="1:14" x14ac:dyDescent="0.35">
      <c r="A37" s="9" t="s">
        <v>245</v>
      </c>
      <c r="B37" s="9" t="s">
        <v>247</v>
      </c>
      <c r="C37" s="9">
        <v>2023</v>
      </c>
      <c r="D37" s="13">
        <v>5488.9840000000004</v>
      </c>
      <c r="E37" s="9">
        <v>2023</v>
      </c>
      <c r="F37" s="18">
        <v>9.4</v>
      </c>
      <c r="G37" s="9">
        <v>2022</v>
      </c>
      <c r="H37" s="18">
        <v>3</v>
      </c>
      <c r="I37" s="9">
        <v>2023</v>
      </c>
      <c r="J37" s="18">
        <v>2</v>
      </c>
      <c r="K37" s="9">
        <v>2023</v>
      </c>
      <c r="L37" s="18">
        <v>8.4</v>
      </c>
      <c r="M37" s="9">
        <v>2020</v>
      </c>
      <c r="N37" s="18">
        <v>3.3</v>
      </c>
    </row>
    <row r="38" spans="1:14" x14ac:dyDescent="0.35">
      <c r="A38" s="9" t="s">
        <v>245</v>
      </c>
      <c r="B38" s="9" t="s">
        <v>248</v>
      </c>
      <c r="C38" s="9">
        <v>2023</v>
      </c>
      <c r="D38" s="13">
        <v>8815.3850000000002</v>
      </c>
      <c r="E38" s="9">
        <v>2023</v>
      </c>
      <c r="F38" s="18">
        <v>9</v>
      </c>
      <c r="G38" s="9">
        <v>2022</v>
      </c>
      <c r="H38" s="18">
        <v>4.5</v>
      </c>
      <c r="I38" s="9">
        <v>2023</v>
      </c>
      <c r="J38" s="18">
        <v>3.3</v>
      </c>
      <c r="K38" s="9">
        <v>2023</v>
      </c>
      <c r="L38" s="18">
        <v>8.5</v>
      </c>
      <c r="M38" s="9">
        <v>2023</v>
      </c>
      <c r="N38" s="18">
        <v>4.2</v>
      </c>
    </row>
    <row r="39" spans="1:14" x14ac:dyDescent="0.35">
      <c r="A39" s="9" t="s">
        <v>245</v>
      </c>
      <c r="B39" s="9" t="s">
        <v>249</v>
      </c>
      <c r="C39" s="9">
        <v>2023</v>
      </c>
      <c r="D39" s="13">
        <v>85279.553</v>
      </c>
      <c r="E39" s="9">
        <v>2023</v>
      </c>
      <c r="F39" s="18">
        <v>11.2</v>
      </c>
      <c r="G39" s="9">
        <v>2022</v>
      </c>
      <c r="H39" s="18">
        <v>7.4</v>
      </c>
      <c r="I39" s="9">
        <v>2023</v>
      </c>
      <c r="J39" s="18">
        <v>10</v>
      </c>
      <c r="K39" s="9">
        <v>2023</v>
      </c>
      <c r="L39" s="18">
        <v>5.9</v>
      </c>
      <c r="M39" s="9">
        <v>2023</v>
      </c>
      <c r="N39" s="18">
        <v>6.6</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1"/>
  <sheetViews>
    <sheetView workbookViewId="0"/>
  </sheetViews>
  <sheetFormatPr defaultColWidth="11.61328125" defaultRowHeight="15.5" x14ac:dyDescent="0.35"/>
  <cols>
    <col min="1" max="1" width="38.61328125" bestFit="1" customWidth="1"/>
    <col min="2" max="7" width="10.61328125" bestFit="1" customWidth="1"/>
  </cols>
  <sheetData>
    <row r="1" spans="1:7" ht="20" x14ac:dyDescent="0.4">
      <c r="A1" s="5" t="s">
        <v>301</v>
      </c>
    </row>
    <row r="2" spans="1:7" x14ac:dyDescent="0.35">
      <c r="A2" t="s">
        <v>22</v>
      </c>
    </row>
    <row r="3" spans="1:7" x14ac:dyDescent="0.35">
      <c r="A3" t="s">
        <v>67</v>
      </c>
    </row>
    <row r="4" spans="1:7" x14ac:dyDescent="0.35">
      <c r="A4" t="s">
        <v>250</v>
      </c>
    </row>
    <row r="5" spans="1:7" x14ac:dyDescent="0.35">
      <c r="A5" s="16" t="str">
        <f>HYPERLINK("#'Contents'!A1", "back to contents")</f>
        <v>back to contents</v>
      </c>
    </row>
    <row r="6" spans="1:7" ht="46.5" x14ac:dyDescent="0.35">
      <c r="A6" s="8" t="s">
        <v>251</v>
      </c>
      <c r="B6" s="8" t="s">
        <v>252</v>
      </c>
      <c r="C6" s="10" t="s">
        <v>138</v>
      </c>
      <c r="D6" s="10" t="s">
        <v>253</v>
      </c>
      <c r="E6" s="10" t="s">
        <v>254</v>
      </c>
      <c r="F6" s="10" t="s">
        <v>255</v>
      </c>
      <c r="G6" s="10" t="s">
        <v>311</v>
      </c>
    </row>
    <row r="7" spans="1:7" x14ac:dyDescent="0.35">
      <c r="A7" s="9" t="s">
        <v>256</v>
      </c>
      <c r="B7" s="9" t="s">
        <v>257</v>
      </c>
      <c r="C7" s="13">
        <v>5490.1</v>
      </c>
      <c r="D7" s="13">
        <v>57690.3</v>
      </c>
      <c r="E7" s="13">
        <v>3164.4</v>
      </c>
      <c r="F7" s="13">
        <v>1920.4</v>
      </c>
      <c r="G7" s="13">
        <v>68265.2</v>
      </c>
    </row>
    <row r="8" spans="1:7" x14ac:dyDescent="0.35">
      <c r="A8" s="9" t="s">
        <v>256</v>
      </c>
      <c r="B8" s="9" t="s">
        <v>258</v>
      </c>
      <c r="C8" s="13">
        <v>2669</v>
      </c>
      <c r="D8" s="13">
        <v>28283.1</v>
      </c>
      <c r="E8" s="13">
        <v>1552.9</v>
      </c>
      <c r="F8" s="13">
        <v>945.5</v>
      </c>
      <c r="G8" s="13">
        <v>33450.400000000001</v>
      </c>
    </row>
    <row r="9" spans="1:7" x14ac:dyDescent="0.35">
      <c r="A9" s="9" t="s">
        <v>256</v>
      </c>
      <c r="B9" s="9" t="s">
        <v>259</v>
      </c>
      <c r="C9" s="13">
        <v>2821.1</v>
      </c>
      <c r="D9" s="13">
        <v>29407.200000000001</v>
      </c>
      <c r="E9" s="13">
        <v>1611.5</v>
      </c>
      <c r="F9" s="13">
        <v>974.9</v>
      </c>
      <c r="G9" s="13">
        <v>34814.800000000003</v>
      </c>
    </row>
    <row r="10" spans="1:7" ht="30.75" customHeight="1" x14ac:dyDescent="0.35">
      <c r="A10" s="9" t="s">
        <v>260</v>
      </c>
      <c r="B10" s="9" t="s">
        <v>257</v>
      </c>
      <c r="C10" s="13">
        <v>45.9</v>
      </c>
      <c r="D10" s="13">
        <v>563.6</v>
      </c>
      <c r="E10" s="13">
        <v>27.4</v>
      </c>
      <c r="F10" s="13">
        <v>20</v>
      </c>
      <c r="G10" s="13">
        <v>657</v>
      </c>
    </row>
    <row r="11" spans="1:7" x14ac:dyDescent="0.35">
      <c r="A11" s="9" t="s">
        <v>261</v>
      </c>
      <c r="B11" s="9" t="s">
        <v>257</v>
      </c>
      <c r="C11" s="13">
        <v>8.4</v>
      </c>
      <c r="D11" s="13">
        <v>9.8000000000000007</v>
      </c>
      <c r="E11" s="13">
        <v>8.6999999999999993</v>
      </c>
      <c r="F11" s="13">
        <v>10.4</v>
      </c>
      <c r="G11" s="13">
        <v>9.6</v>
      </c>
    </row>
    <row r="12" spans="1:7" x14ac:dyDescent="0.35">
      <c r="A12" s="9" t="s">
        <v>262</v>
      </c>
      <c r="B12" s="9" t="s">
        <v>257</v>
      </c>
      <c r="C12" s="13">
        <v>44.1</v>
      </c>
      <c r="D12" s="13">
        <v>49.9</v>
      </c>
      <c r="E12" s="13">
        <v>47.4</v>
      </c>
      <c r="F12" s="13">
        <v>55.2</v>
      </c>
      <c r="G12" s="13">
        <v>49.5</v>
      </c>
    </row>
    <row r="13" spans="1:7" x14ac:dyDescent="0.35">
      <c r="A13" s="9" t="s">
        <v>263</v>
      </c>
      <c r="B13" s="9" t="s">
        <v>257</v>
      </c>
      <c r="C13" s="13">
        <v>1.28</v>
      </c>
      <c r="D13" s="13">
        <v>1.44</v>
      </c>
      <c r="E13" s="13">
        <v>1.39</v>
      </c>
      <c r="F13" s="13">
        <v>1.64</v>
      </c>
      <c r="G13" s="13">
        <v>1.43</v>
      </c>
    </row>
    <row r="14" spans="1:7" ht="30.75" customHeight="1" x14ac:dyDescent="0.35">
      <c r="A14" s="9" t="s">
        <v>264</v>
      </c>
      <c r="B14" s="9" t="s">
        <v>257</v>
      </c>
      <c r="C14" s="13">
        <v>3.7</v>
      </c>
      <c r="D14" s="13">
        <v>3.9</v>
      </c>
      <c r="E14" s="13">
        <v>4</v>
      </c>
      <c r="F14" s="13">
        <v>3.3</v>
      </c>
      <c r="G14" s="13">
        <v>3.9</v>
      </c>
    </row>
    <row r="15" spans="1:7" x14ac:dyDescent="0.35">
      <c r="A15" s="9" t="s">
        <v>265</v>
      </c>
      <c r="B15" s="9" t="s">
        <v>257</v>
      </c>
      <c r="C15" s="13">
        <v>5.7</v>
      </c>
      <c r="D15" s="13">
        <v>6.3</v>
      </c>
      <c r="E15" s="13">
        <v>6.3</v>
      </c>
      <c r="F15" s="13">
        <v>5.6</v>
      </c>
      <c r="G15" s="13">
        <v>6.3</v>
      </c>
    </row>
    <row r="16" spans="1:7" x14ac:dyDescent="0.35">
      <c r="A16" s="9" t="s">
        <v>266</v>
      </c>
      <c r="B16" s="9" t="s">
        <v>257</v>
      </c>
      <c r="C16" s="13">
        <v>4</v>
      </c>
      <c r="D16" s="13">
        <v>4.2</v>
      </c>
      <c r="E16" s="13">
        <v>4.0999999999999996</v>
      </c>
      <c r="F16" s="13">
        <v>4</v>
      </c>
      <c r="G16" s="13">
        <v>4.2</v>
      </c>
    </row>
    <row r="17" spans="1:7" ht="30.75" customHeight="1" x14ac:dyDescent="0.35">
      <c r="A17" s="9" t="s">
        <v>267</v>
      </c>
      <c r="B17" s="9" t="s">
        <v>257</v>
      </c>
      <c r="C17" s="13">
        <v>63.4</v>
      </c>
      <c r="D17" s="13">
        <v>544.1</v>
      </c>
      <c r="E17" s="13">
        <v>36.1</v>
      </c>
      <c r="F17" s="13">
        <v>17.3</v>
      </c>
      <c r="G17" s="13">
        <v>662.1</v>
      </c>
    </row>
    <row r="18" spans="1:7" x14ac:dyDescent="0.35">
      <c r="A18" s="9" t="s">
        <v>268</v>
      </c>
      <c r="B18" s="9" t="s">
        <v>257</v>
      </c>
      <c r="C18" s="13">
        <v>11.6</v>
      </c>
      <c r="D18" s="13">
        <v>9.4</v>
      </c>
      <c r="E18" s="13">
        <v>11.4</v>
      </c>
      <c r="F18" s="13">
        <v>9</v>
      </c>
      <c r="G18" s="13">
        <v>9.6999999999999993</v>
      </c>
    </row>
    <row r="19" spans="1:7" ht="30.75" customHeight="1" x14ac:dyDescent="0.35">
      <c r="A19" s="9" t="s">
        <v>269</v>
      </c>
      <c r="B19" s="9" t="s">
        <v>257</v>
      </c>
      <c r="C19" s="13">
        <v>117</v>
      </c>
      <c r="D19" s="13">
        <v>98</v>
      </c>
      <c r="E19" s="13">
        <v>107</v>
      </c>
      <c r="F19" s="13">
        <v>101</v>
      </c>
      <c r="G19" s="13">
        <v>100</v>
      </c>
    </row>
    <row r="20" spans="1:7" x14ac:dyDescent="0.35">
      <c r="A20" s="9" t="s">
        <v>269</v>
      </c>
      <c r="B20" s="9" t="s">
        <v>258</v>
      </c>
      <c r="C20" s="13">
        <v>116</v>
      </c>
      <c r="D20" s="13">
        <v>98</v>
      </c>
      <c r="E20" s="13">
        <v>107</v>
      </c>
      <c r="F20" s="13">
        <v>99</v>
      </c>
      <c r="G20" s="13">
        <v>100</v>
      </c>
    </row>
    <row r="21" spans="1:7" x14ac:dyDescent="0.35">
      <c r="A21" s="9" t="s">
        <v>269</v>
      </c>
      <c r="B21" s="9" t="s">
        <v>259</v>
      </c>
      <c r="C21" s="13">
        <v>119</v>
      </c>
      <c r="D21" s="13">
        <v>98</v>
      </c>
      <c r="E21" s="13">
        <v>106</v>
      </c>
      <c r="F21" s="13">
        <v>103</v>
      </c>
      <c r="G21" s="13">
        <v>100</v>
      </c>
    </row>
    <row r="22" spans="1:7" ht="30.75" customHeight="1" x14ac:dyDescent="0.35">
      <c r="A22" s="9" t="s">
        <v>270</v>
      </c>
      <c r="B22" s="9" t="s">
        <v>258</v>
      </c>
      <c r="C22" s="13">
        <v>344</v>
      </c>
      <c r="D22" s="13">
        <v>297</v>
      </c>
      <c r="E22" s="13">
        <v>315</v>
      </c>
      <c r="F22" s="13">
        <v>302</v>
      </c>
      <c r="G22" s="13">
        <v>302</v>
      </c>
    </row>
    <row r="23" spans="1:7" x14ac:dyDescent="0.35">
      <c r="A23" s="9" t="s">
        <v>270</v>
      </c>
      <c r="B23" s="9" t="s">
        <v>259</v>
      </c>
      <c r="C23" s="13">
        <v>326</v>
      </c>
      <c r="D23" s="13">
        <v>259</v>
      </c>
      <c r="E23" s="13">
        <v>276</v>
      </c>
      <c r="F23" s="13">
        <v>297</v>
      </c>
      <c r="G23" s="13">
        <v>267</v>
      </c>
    </row>
    <row r="24" spans="1:7" x14ac:dyDescent="0.35">
      <c r="A24" s="9" t="s">
        <v>271</v>
      </c>
      <c r="B24" s="9" t="s">
        <v>258</v>
      </c>
      <c r="C24" s="13">
        <v>178</v>
      </c>
      <c r="D24" s="13">
        <v>143</v>
      </c>
      <c r="E24" s="13">
        <v>161</v>
      </c>
      <c r="F24" s="13">
        <v>130</v>
      </c>
      <c r="G24" s="13">
        <v>147</v>
      </c>
    </row>
    <row r="25" spans="1:7" x14ac:dyDescent="0.35">
      <c r="A25" s="9" t="s">
        <v>271</v>
      </c>
      <c r="B25" s="9" t="s">
        <v>259</v>
      </c>
      <c r="C25" s="13">
        <v>116</v>
      </c>
      <c r="D25" s="13">
        <v>78</v>
      </c>
      <c r="E25" s="13">
        <v>85</v>
      </c>
      <c r="F25" s="13">
        <v>86</v>
      </c>
      <c r="G25" s="13">
        <v>82</v>
      </c>
    </row>
    <row r="26" spans="1:7" x14ac:dyDescent="0.35">
      <c r="A26" s="9" t="s">
        <v>272</v>
      </c>
      <c r="B26" s="9" t="s">
        <v>258</v>
      </c>
      <c r="C26" s="13">
        <v>73</v>
      </c>
      <c r="D26" s="13">
        <v>52</v>
      </c>
      <c r="E26" s="13">
        <v>54</v>
      </c>
      <c r="F26" s="13">
        <v>54</v>
      </c>
      <c r="G26" s="13">
        <v>54</v>
      </c>
    </row>
    <row r="27" spans="1:7" x14ac:dyDescent="0.35">
      <c r="A27" s="9" t="s">
        <v>272</v>
      </c>
      <c r="B27" s="9" t="s">
        <v>259</v>
      </c>
      <c r="C27" s="13">
        <v>100</v>
      </c>
      <c r="D27" s="13">
        <v>67</v>
      </c>
      <c r="E27" s="13">
        <v>72</v>
      </c>
      <c r="F27" s="13">
        <v>73</v>
      </c>
      <c r="G27" s="13">
        <v>70</v>
      </c>
    </row>
    <row r="28" spans="1:7" x14ac:dyDescent="0.35">
      <c r="A28" s="9" t="s">
        <v>273</v>
      </c>
      <c r="B28" s="9" t="s">
        <v>258</v>
      </c>
      <c r="C28" s="13">
        <v>139</v>
      </c>
      <c r="D28" s="13">
        <v>142</v>
      </c>
      <c r="E28" s="13">
        <v>156</v>
      </c>
      <c r="F28" s="13">
        <v>146</v>
      </c>
      <c r="G28" s="13">
        <v>143</v>
      </c>
    </row>
    <row r="29" spans="1:7" x14ac:dyDescent="0.35">
      <c r="A29" s="9" t="s">
        <v>273</v>
      </c>
      <c r="B29" s="9" t="s">
        <v>259</v>
      </c>
      <c r="C29" s="13">
        <v>167</v>
      </c>
      <c r="D29" s="13">
        <v>143</v>
      </c>
      <c r="E29" s="13">
        <v>166</v>
      </c>
      <c r="F29" s="13">
        <v>153</v>
      </c>
      <c r="G29" s="13">
        <v>146</v>
      </c>
    </row>
    <row r="30" spans="1:7" x14ac:dyDescent="0.35">
      <c r="A30" s="9" t="s">
        <v>274</v>
      </c>
      <c r="B30" s="9" t="s">
        <v>258</v>
      </c>
      <c r="C30" s="13">
        <v>106</v>
      </c>
      <c r="D30" s="13">
        <v>101</v>
      </c>
      <c r="E30" s="13">
        <v>104</v>
      </c>
      <c r="F30" s="13">
        <v>107</v>
      </c>
      <c r="G30" s="13">
        <v>101</v>
      </c>
    </row>
    <row r="31" spans="1:7" x14ac:dyDescent="0.35">
      <c r="A31" s="9" t="s">
        <v>274</v>
      </c>
      <c r="B31" s="9" t="s">
        <v>259</v>
      </c>
      <c r="C31" s="13">
        <v>215</v>
      </c>
      <c r="D31" s="13">
        <v>191</v>
      </c>
      <c r="E31" s="13">
        <v>187</v>
      </c>
      <c r="F31" s="13">
        <v>223</v>
      </c>
      <c r="G31" s="13">
        <v>194</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A53788527</value>
    </field>
    <field name="Objective-Title">
      <value order="0">NRS - Chapter 1 - Workbook</value>
    </field>
    <field name="Objective-Description">
      <value order="0"/>
    </field>
    <field name="Objective-CreationStamp">
      <value order="0">2025-08-12T09:48:14Z</value>
    </field>
    <field name="Objective-IsApproved">
      <value order="0">false</value>
    </field>
    <field name="Objective-IsPublished">
      <value order="0">false</value>
    </field>
    <field name="Objective-DatePublished">
      <value order="0"/>
    </field>
    <field name="Objective-ModificationStamp">
      <value order="0">2025-08-21T09:25:11Z</value>
    </field>
    <field name="Objective-Owner">
      <value order="0">Watson, Beth B (U442941)</value>
    </field>
    <field name="Objective-Path">
      <value order="0">Objective Global Folder:SG File Plan:People, communities and living:Population and migration:Demography:Research and analysis: Demography:National Records of Scotland (NRS): Vital Events: Publication: Vital Events Reference Tables: (2024): 2025-2030</value>
    </field>
    <field name="Objective-Parent">
      <value order="0">National Records of Scotland (NRS): Vital Events: Publication: Vital Events Reference Tables: (2024): 2025-2030</value>
    </field>
    <field name="Objective-State">
      <value order="0">Being Drafted</value>
    </field>
    <field name="Objective-VersionId">
      <value order="0">vA81428686</value>
    </field>
    <field name="Objective-Version">
      <value order="0">0.2</value>
    </field>
    <field name="Objective-VersionNumber">
      <value order="0">2</value>
    </field>
    <field name="Objective-VersionComment">
      <value order="0"/>
    </field>
    <field name="Objective-FileNumber">
      <value order="0">STAT/769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Contents</vt:lpstr>
      <vt:lpstr>Notes</vt:lpstr>
      <vt:lpstr>Table_1.01a</vt:lpstr>
      <vt:lpstr>Table_1.01b</vt:lpstr>
      <vt:lpstr>Table_1.02</vt:lpstr>
      <vt:lpstr>Table_1.03</vt:lpstr>
      <vt:lpstr>Table_1.04</vt:lpstr>
      <vt:lpstr>Table_1.05</vt:lpstr>
      <vt:lpstr>Table_1.06</vt:lpstr>
      <vt:lpstr>Table_1.07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2025-08-07T20:48:15Z</dcterms:created>
  <dcterms:modified xsi:type="dcterms:W3CDTF">2025-12-03T11:36:41Z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A53788527</vt:lpwstr>
  </property>
  <property fmtid="{D5CDD505-2E9C-101B-9397-08002B2CF9AE}" pid="4" name="Objective-Title">
    <vt:lpwstr>NRS - Chapter 1 - Workbook</vt:lpwstr>
  </property>
  <property fmtid="{D5CDD505-2E9C-101B-9397-08002B2CF9AE}" pid="5" name="Objective-Description">
    <vt:lpwstr/>
  </property>
  <property fmtid="{D5CDD505-2E9C-101B-9397-08002B2CF9AE}" pid="6" name="Objective-CreationStamp">
    <vt:filetime>2025-08-12T09:48:14Z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2025-08-21T09:25:11Z</vt:filetime>
  </property>
  <property fmtid="{D5CDD505-2E9C-101B-9397-08002B2CF9AE}" pid="11" name="Objective-Owner">
    <vt:lpwstr>Watson, Beth B (U442941)</vt:lpwstr>
  </property>
  <property fmtid="{D5CDD505-2E9C-101B-9397-08002B2CF9AE}" pid="12" name="Objective-Path">
    <vt:lpwstr>Objective Global Folder:SG File Plan:People, communities and living:Population and migration:Demography:Research and analysis: Demography:National Records of Scotland (NRS): Vital Events: Publication: Vital Events Reference Tables: (2024): 2025-2030</vt:lpwstr>
  </property>
  <property fmtid="{D5CDD505-2E9C-101B-9397-08002B2CF9AE}" pid="13" name="Objective-Parent">
    <vt:lpwstr>National Records of Scotland (NRS): Vital Events: Publication: Vital Events Reference Tables: (2024): 2025-2030</vt:lpwstr>
  </property>
  <property fmtid="{D5CDD505-2E9C-101B-9397-08002B2CF9AE}" pid="14" name="Objective-State">
    <vt:lpwstr>Being Drafted</vt:lpwstr>
  </property>
  <property fmtid="{D5CDD505-2E9C-101B-9397-08002B2CF9AE}" pid="15" name="Objective-VersionId">
    <vt:lpwstr>vA81428686</vt:lpwstr>
  </property>
  <property fmtid="{D5CDD505-2E9C-101B-9397-08002B2CF9AE}" pid="16" name="Objective-Version">
    <vt:lpwstr>0.2</vt:lpwstr>
  </property>
  <property fmtid="{D5CDD505-2E9C-101B-9397-08002B2CF9AE}" pid="17" name="Objective-VersionNumber">
    <vt:r8>2</vt:r8>
  </property>
  <property fmtid="{D5CDD505-2E9C-101B-9397-08002B2CF9AE}" pid="18" name="Objective-VersionComment">
    <vt:lpwstr/>
  </property>
  <property fmtid="{D5CDD505-2E9C-101B-9397-08002B2CF9AE}" pid="19" name="Objective-FileNumber">
    <vt:lpwstr>STAT/769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